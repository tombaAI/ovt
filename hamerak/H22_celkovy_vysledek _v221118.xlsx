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incz-my.sharepoint.com/personal/tbauer_ext_csas_cz/Documents/Documents/_TB_osobni_2022/ovt/hamerak_2022/"/>
    </mc:Choice>
  </mc:AlternateContent>
  <xr:revisionPtr revIDLastSave="48" documentId="8_{FDA78F0D-9F21-45F3-B573-C3B9E8608A16}" xr6:coauthVersionLast="47" xr6:coauthVersionMax="47" xr10:uidLastSave="{46F2523B-77AF-4E5B-9EBF-9C398165E413}"/>
  <bookViews>
    <workbookView xWindow="-120" yWindow="-120" windowWidth="29040" windowHeight="15840" xr2:uid="{C3C5EF8C-3181-46D3-B6DF-756952D6930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3" i="1"/>
  <c r="E22" i="1"/>
  <c r="E21" i="1"/>
  <c r="E8" i="1"/>
  <c r="E9" i="1"/>
  <c r="E10" i="1"/>
  <c r="E12" i="1"/>
  <c r="F12" i="1"/>
  <c r="F5" i="1"/>
  <c r="F6" i="1"/>
  <c r="F7" i="1"/>
  <c r="F8" i="1"/>
  <c r="F9" i="1"/>
  <c r="F10" i="1"/>
  <c r="F11" i="1"/>
  <c r="F4" i="1"/>
  <c r="D11" i="1" l="1"/>
  <c r="D10" i="1"/>
  <c r="D9" i="1"/>
  <c r="D8" i="1"/>
  <c r="D7" i="1"/>
  <c r="D6" i="1"/>
  <c r="G6" i="1" s="1"/>
  <c r="D5" i="1"/>
  <c r="D4" i="1"/>
  <c r="G4" i="1" s="1"/>
  <c r="D38" i="1"/>
  <c r="D37" i="1"/>
  <c r="D36" i="1"/>
  <c r="D35" i="1"/>
  <c r="D34" i="1"/>
  <c r="D33" i="1"/>
  <c r="D32" i="1"/>
  <c r="D31" i="1"/>
  <c r="D39" i="1" s="1"/>
  <c r="D24" i="1"/>
  <c r="D23" i="1"/>
  <c r="D22" i="1"/>
  <c r="D21" i="1"/>
  <c r="D20" i="1"/>
  <c r="D19" i="1"/>
  <c r="D18" i="1"/>
  <c r="D17" i="1"/>
  <c r="D45" i="1"/>
  <c r="D46" i="1"/>
  <c r="D47" i="1"/>
  <c r="D48" i="1"/>
  <c r="D49" i="1"/>
  <c r="D50" i="1"/>
  <c r="D51" i="1"/>
  <c r="D44" i="1"/>
  <c r="G5" i="1" l="1"/>
  <c r="G7" i="1"/>
  <c r="G8" i="1"/>
  <c r="G9" i="1"/>
  <c r="G10" i="1"/>
  <c r="G11" i="1"/>
  <c r="D12" i="1"/>
  <c r="D25" i="1"/>
  <c r="D52" i="1"/>
  <c r="G12" i="1" l="1"/>
</calcChain>
</file>

<file path=xl/sharedStrings.xml><?xml version="1.0" encoding="utf-8"?>
<sst xmlns="http://schemas.openxmlformats.org/spreadsheetml/2006/main" count="60" uniqueCount="18">
  <si>
    <t>Prodeje Hamerák 2021</t>
  </si>
  <si>
    <t>Položka</t>
  </si>
  <si>
    <t>Celkem</t>
  </si>
  <si>
    <t>Závod</t>
  </si>
  <si>
    <t>Splutí víkend</t>
  </si>
  <si>
    <t>Splutí sobota</t>
  </si>
  <si>
    <t>Splutí neděle</t>
  </si>
  <si>
    <t>Permice víkend</t>
  </si>
  <si>
    <t>Permice sobota</t>
  </si>
  <si>
    <t>Permice neděle</t>
  </si>
  <si>
    <t>Kelímek</t>
  </si>
  <si>
    <t>Prodeje Hamerák 2022</t>
  </si>
  <si>
    <t>Příjem</t>
  </si>
  <si>
    <t>Prodej</t>
  </si>
  <si>
    <t>Cena</t>
  </si>
  <si>
    <t>Změna počet</t>
  </si>
  <si>
    <t>Změna příjem</t>
  </si>
  <si>
    <t>Poměr dopravy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</si>
</sst>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4" xfId="0" applyFont="1" applyFill="1" applyBorder="1"/>
    <xf numFmtId="0" fontId="2" fillId="2" borderId="15" xfId="0" applyFont="1" applyFill="1" applyBorder="1"/>
    <xf numFmtId="0" fontId="0" fillId="0" borderId="16" xfId="0" applyBorder="1"/>
    <xf numFmtId="0" fontId="4" fillId="0" borderId="16" xfId="0" applyFont="1" applyBorder="1"/>
    <xf numFmtId="0" fontId="0" fillId="0" borderId="14" xfId="0" applyBorder="1"/>
    <xf numFmtId="0" fontId="2" fillId="0" borderId="17" xfId="0" applyFont="1" applyBorder="1"/>
    <xf numFmtId="164" fontId="0" fillId="0" borderId="11" xfId="0" applyNumberFormat="1" applyBorder="1"/>
    <xf numFmtId="164" fontId="0" fillId="0" borderId="6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164" fontId="0" fillId="0" borderId="9" xfId="0" applyNumberFormat="1" applyBorder="1"/>
    <xf numFmtId="164" fontId="0" fillId="0" borderId="14" xfId="0" applyNumberFormat="1" applyBorder="1"/>
    <xf numFmtId="164" fontId="2" fillId="0" borderId="17" xfId="0" applyNumberFormat="1" applyFont="1" applyBorder="1"/>
    <xf numFmtId="9" fontId="0" fillId="0" borderId="11" xfId="1" applyFont="1" applyBorder="1"/>
    <xf numFmtId="9" fontId="0" fillId="0" borderId="6" xfId="1" applyFont="1" applyBorder="1"/>
    <xf numFmtId="9" fontId="0" fillId="0" borderId="12" xfId="1" applyFont="1" applyBorder="1"/>
    <xf numFmtId="9" fontId="0" fillId="0" borderId="13" xfId="1" applyFont="1" applyBorder="1"/>
    <xf numFmtId="9" fontId="0" fillId="0" borderId="9" xfId="1" applyFont="1" applyBorder="1"/>
    <xf numFmtId="9" fontId="0" fillId="0" borderId="14" xfId="1" applyFont="1" applyBorder="1"/>
    <xf numFmtId="9" fontId="2" fillId="0" borderId="17" xfId="1" applyFont="1" applyBorder="1"/>
    <xf numFmtId="0" fontId="5" fillId="0" borderId="16" xfId="0" applyFon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3">
    <cellStyle name="Normální" xfId="0" builtinId="0"/>
    <cellStyle name="Normální 2" xfId="2" xr:uid="{36291909-7365-414A-A912-101FF9275586}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51578-5521-42CD-9259-3B9F7B8D8327}">
  <sheetPr>
    <pageSetUpPr fitToPage="1"/>
  </sheetPr>
  <dimension ref="A1:G52"/>
  <sheetViews>
    <sheetView tabSelected="1" workbookViewId="0">
      <selection activeCell="E32" sqref="E32"/>
    </sheetView>
  </sheetViews>
  <sheetFormatPr defaultRowHeight="14.4" x14ac:dyDescent="0.3"/>
  <cols>
    <col min="1" max="1" width="17.6640625" customWidth="1"/>
    <col min="2" max="2" width="18.6640625" customWidth="1"/>
    <col min="4" max="4" width="11.109375" bestFit="1" customWidth="1"/>
    <col min="5" max="5" width="15.5546875" bestFit="1" customWidth="1"/>
    <col min="6" max="6" width="13.5546875" bestFit="1" customWidth="1"/>
    <col min="7" max="7" width="12.6640625" bestFit="1" customWidth="1"/>
  </cols>
  <sheetData>
    <row r="1" spans="1:7" ht="15" thickBot="1" x14ac:dyDescent="0.35"/>
    <row r="2" spans="1:7" ht="21" x14ac:dyDescent="0.4">
      <c r="A2" s="31" t="s">
        <v>11</v>
      </c>
      <c r="B2" s="32"/>
      <c r="C2" s="32"/>
      <c r="D2" s="32"/>
      <c r="E2" s="32"/>
      <c r="F2" s="32"/>
      <c r="G2" s="33"/>
    </row>
    <row r="3" spans="1:7" ht="15" thickBot="1" x14ac:dyDescent="0.35">
      <c r="A3" s="10" t="s">
        <v>1</v>
      </c>
      <c r="B3" s="10" t="s">
        <v>2</v>
      </c>
      <c r="C3" s="11" t="s">
        <v>14</v>
      </c>
      <c r="D3" s="11" t="s">
        <v>12</v>
      </c>
      <c r="E3" s="11" t="s">
        <v>17</v>
      </c>
      <c r="F3" s="11" t="s">
        <v>15</v>
      </c>
      <c r="G3" s="11" t="s">
        <v>16</v>
      </c>
    </row>
    <row r="4" spans="1:7" x14ac:dyDescent="0.3">
      <c r="A4" s="1" t="s">
        <v>3</v>
      </c>
      <c r="B4" s="3">
        <v>275</v>
      </c>
      <c r="C4" s="7">
        <v>160</v>
      </c>
      <c r="D4" s="16">
        <f>B4*C4</f>
        <v>44000</v>
      </c>
      <c r="E4" s="23"/>
      <c r="F4" s="23">
        <f>B4/B17-1</f>
        <v>7.421875E-2</v>
      </c>
      <c r="G4" s="23">
        <f>D4/D17-1</f>
        <v>0.14583333333333326</v>
      </c>
    </row>
    <row r="5" spans="1:7" x14ac:dyDescent="0.3">
      <c r="A5" s="3" t="s">
        <v>4</v>
      </c>
      <c r="B5" s="3">
        <v>86</v>
      </c>
      <c r="C5" s="2">
        <v>160</v>
      </c>
      <c r="D5" s="17">
        <f t="shared" ref="D5:D11" si="0">B5*C5</f>
        <v>13760</v>
      </c>
      <c r="E5" s="24"/>
      <c r="F5" s="24">
        <f t="shared" ref="F5:F11" si="1">B5/B18-1</f>
        <v>-0.37681159420289856</v>
      </c>
      <c r="G5" s="24">
        <f t="shared" ref="G5:G12" si="2">D5/D18-1</f>
        <v>-0.33526570048309179</v>
      </c>
    </row>
    <row r="6" spans="1:7" x14ac:dyDescent="0.3">
      <c r="A6" s="3" t="s">
        <v>5</v>
      </c>
      <c r="B6" s="3">
        <v>81</v>
      </c>
      <c r="C6" s="2">
        <v>120</v>
      </c>
      <c r="D6" s="17">
        <f t="shared" si="0"/>
        <v>9720</v>
      </c>
      <c r="E6" s="24"/>
      <c r="F6" s="24">
        <f t="shared" si="1"/>
        <v>-0.43356643356643354</v>
      </c>
      <c r="G6" s="24">
        <f t="shared" si="2"/>
        <v>-0.32027972027972029</v>
      </c>
    </row>
    <row r="7" spans="1:7" ht="15" thickBot="1" x14ac:dyDescent="0.35">
      <c r="A7" s="4" t="s">
        <v>6</v>
      </c>
      <c r="B7" s="4">
        <v>118</v>
      </c>
      <c r="C7" s="8">
        <v>140</v>
      </c>
      <c r="D7" s="18">
        <f t="shared" si="0"/>
        <v>16520</v>
      </c>
      <c r="E7" s="25"/>
      <c r="F7" s="25">
        <f t="shared" si="1"/>
        <v>-0.14492753623188404</v>
      </c>
      <c r="G7" s="25">
        <f t="shared" si="2"/>
        <v>-2.4154589371980784E-3</v>
      </c>
    </row>
    <row r="8" spans="1:7" x14ac:dyDescent="0.3">
      <c r="A8" s="6" t="s">
        <v>7</v>
      </c>
      <c r="B8" s="6">
        <v>157</v>
      </c>
      <c r="C8" s="9">
        <v>220</v>
      </c>
      <c r="D8" s="19">
        <f t="shared" si="0"/>
        <v>34540</v>
      </c>
      <c r="E8" s="26">
        <f>B8/(B4+B5)</f>
        <v>0.43490304709141275</v>
      </c>
      <c r="F8" s="26">
        <f t="shared" si="1"/>
        <v>-0.23414634146341462</v>
      </c>
      <c r="G8" s="26">
        <f t="shared" si="2"/>
        <v>-0.15756097560975613</v>
      </c>
    </row>
    <row r="9" spans="1:7" x14ac:dyDescent="0.3">
      <c r="A9" s="3" t="s">
        <v>8</v>
      </c>
      <c r="B9" s="3">
        <v>114</v>
      </c>
      <c r="C9" s="2">
        <v>160</v>
      </c>
      <c r="D9" s="17">
        <f t="shared" si="0"/>
        <v>18240</v>
      </c>
      <c r="E9" s="24">
        <f>B9/B6</f>
        <v>1.4074074074074074</v>
      </c>
      <c r="F9" s="24">
        <f t="shared" si="1"/>
        <v>1.7857142857142794E-2</v>
      </c>
      <c r="G9" s="24">
        <f t="shared" si="2"/>
        <v>8.5714285714285632E-2</v>
      </c>
    </row>
    <row r="10" spans="1:7" ht="15" thickBot="1" x14ac:dyDescent="0.35">
      <c r="A10" s="4" t="s">
        <v>9</v>
      </c>
      <c r="B10" s="4">
        <v>69</v>
      </c>
      <c r="C10" s="5">
        <v>160</v>
      </c>
      <c r="D10" s="20">
        <f t="shared" si="0"/>
        <v>11040</v>
      </c>
      <c r="E10" s="27">
        <f>B10/B7</f>
        <v>0.5847457627118644</v>
      </c>
      <c r="F10" s="27">
        <f t="shared" si="1"/>
        <v>-6.7567567567567544E-2</v>
      </c>
      <c r="G10" s="27">
        <f t="shared" si="2"/>
        <v>-5.4054054054053502E-3</v>
      </c>
    </row>
    <row r="11" spans="1:7" ht="15" thickBot="1" x14ac:dyDescent="0.35">
      <c r="A11" s="12" t="s">
        <v>10</v>
      </c>
      <c r="B11" s="30">
        <v>107</v>
      </c>
      <c r="C11" s="14">
        <v>50</v>
      </c>
      <c r="D11" s="21">
        <f t="shared" si="0"/>
        <v>5350</v>
      </c>
      <c r="E11" s="28"/>
      <c r="F11" s="28">
        <f t="shared" si="1"/>
        <v>-0.50232558139534889</v>
      </c>
      <c r="G11" s="28">
        <f t="shared" si="2"/>
        <v>-0.50232558139534889</v>
      </c>
    </row>
    <row r="12" spans="1:7" x14ac:dyDescent="0.3">
      <c r="C12" s="15" t="s">
        <v>2</v>
      </c>
      <c r="D12" s="22">
        <f>SUM(D4:D11)</f>
        <v>153170</v>
      </c>
      <c r="E12" s="29">
        <f>SUM(B8:B10)/SUM(B4:B7)</f>
        <v>0.6071428571428571</v>
      </c>
      <c r="F12" s="29">
        <f>SUM(B4:B11)/SUM(B17:B24)-1</f>
        <v>-0.21389539422326309</v>
      </c>
      <c r="G12" s="29">
        <f t="shared" si="2"/>
        <v>-9.6928247155238512E-2</v>
      </c>
    </row>
    <row r="14" spans="1:7" ht="15" thickBot="1" x14ac:dyDescent="0.35"/>
    <row r="15" spans="1:7" ht="21" x14ac:dyDescent="0.4">
      <c r="A15" s="31" t="s">
        <v>0</v>
      </c>
      <c r="B15" s="32"/>
      <c r="C15" s="32"/>
      <c r="D15" s="32"/>
      <c r="E15" s="33"/>
    </row>
    <row r="16" spans="1:7" ht="15" thickBot="1" x14ac:dyDescent="0.35">
      <c r="A16" s="10" t="s">
        <v>1</v>
      </c>
      <c r="B16" s="10" t="s">
        <v>13</v>
      </c>
      <c r="C16" s="11" t="s">
        <v>14</v>
      </c>
      <c r="D16" s="11" t="s">
        <v>12</v>
      </c>
      <c r="E16" s="11" t="s">
        <v>17</v>
      </c>
    </row>
    <row r="17" spans="1:5" x14ac:dyDescent="0.3">
      <c r="A17" s="1" t="s">
        <v>3</v>
      </c>
      <c r="B17" s="3">
        <v>256</v>
      </c>
      <c r="C17" s="7">
        <v>150</v>
      </c>
      <c r="D17" s="16">
        <f>B17*C17</f>
        <v>38400</v>
      </c>
      <c r="E17" s="23"/>
    </row>
    <row r="18" spans="1:5" x14ac:dyDescent="0.3">
      <c r="A18" s="3" t="s">
        <v>4</v>
      </c>
      <c r="B18" s="3">
        <v>138</v>
      </c>
      <c r="C18" s="2">
        <v>150</v>
      </c>
      <c r="D18" s="17">
        <f t="shared" ref="D18:D24" si="3">B18*C18</f>
        <v>20700</v>
      </c>
      <c r="E18" s="24"/>
    </row>
    <row r="19" spans="1:5" x14ac:dyDescent="0.3">
      <c r="A19" s="3" t="s">
        <v>5</v>
      </c>
      <c r="B19" s="3">
        <v>143</v>
      </c>
      <c r="C19" s="2">
        <v>100</v>
      </c>
      <c r="D19" s="17">
        <f t="shared" si="3"/>
        <v>14300</v>
      </c>
      <c r="E19" s="24"/>
    </row>
    <row r="20" spans="1:5" ht="15" thickBot="1" x14ac:dyDescent="0.35">
      <c r="A20" s="4" t="s">
        <v>6</v>
      </c>
      <c r="B20" s="4">
        <v>138</v>
      </c>
      <c r="C20" s="8">
        <v>120</v>
      </c>
      <c r="D20" s="18">
        <f t="shared" si="3"/>
        <v>16560</v>
      </c>
      <c r="E20" s="25"/>
    </row>
    <row r="21" spans="1:5" x14ac:dyDescent="0.3">
      <c r="A21" s="6" t="s">
        <v>7</v>
      </c>
      <c r="B21" s="6">
        <v>205</v>
      </c>
      <c r="C21" s="9">
        <v>200</v>
      </c>
      <c r="D21" s="19">
        <f t="shared" si="3"/>
        <v>41000</v>
      </c>
      <c r="E21" s="26">
        <f>B21/(B17+B18)</f>
        <v>0.52030456852791873</v>
      </c>
    </row>
    <row r="22" spans="1:5" x14ac:dyDescent="0.3">
      <c r="A22" s="3" t="s">
        <v>8</v>
      </c>
      <c r="B22" s="3">
        <v>112</v>
      </c>
      <c r="C22" s="2">
        <v>150</v>
      </c>
      <c r="D22" s="17">
        <f t="shared" si="3"/>
        <v>16800</v>
      </c>
      <c r="E22" s="24">
        <f>B22/B19</f>
        <v>0.78321678321678323</v>
      </c>
    </row>
    <row r="23" spans="1:5" ht="15" thickBot="1" x14ac:dyDescent="0.35">
      <c r="A23" s="4" t="s">
        <v>9</v>
      </c>
      <c r="B23" s="4">
        <v>74</v>
      </c>
      <c r="C23" s="5">
        <v>150</v>
      </c>
      <c r="D23" s="20">
        <f t="shared" si="3"/>
        <v>11100</v>
      </c>
      <c r="E23" s="27">
        <f>B23/B20</f>
        <v>0.53623188405797106</v>
      </c>
    </row>
    <row r="24" spans="1:5" ht="15" thickBot="1" x14ac:dyDescent="0.35">
      <c r="A24" s="12" t="s">
        <v>10</v>
      </c>
      <c r="B24" s="30">
        <v>215</v>
      </c>
      <c r="C24" s="14">
        <v>50</v>
      </c>
      <c r="D24" s="21">
        <f t="shared" si="3"/>
        <v>10750</v>
      </c>
      <c r="E24" s="28"/>
    </row>
    <row r="25" spans="1:5" x14ac:dyDescent="0.3">
      <c r="C25" s="15" t="s">
        <v>2</v>
      </c>
      <c r="D25" s="22">
        <f>SUM(D17:D24)</f>
        <v>169610</v>
      </c>
      <c r="E25" s="29">
        <f>SUM(B21:B23)/SUM(B17:B20)</f>
        <v>0.57925925925925925</v>
      </c>
    </row>
    <row r="28" spans="1:5" ht="15" thickBot="1" x14ac:dyDescent="0.35"/>
    <row r="29" spans="1:5" ht="21" x14ac:dyDescent="0.4">
      <c r="A29" s="31" t="s">
        <v>11</v>
      </c>
      <c r="B29" s="32"/>
      <c r="C29" s="32"/>
      <c r="D29" s="33"/>
    </row>
    <row r="30" spans="1:5" ht="15" thickBot="1" x14ac:dyDescent="0.35">
      <c r="A30" s="10" t="s">
        <v>1</v>
      </c>
      <c r="B30" s="10" t="s">
        <v>2</v>
      </c>
      <c r="C30" s="11" t="s">
        <v>14</v>
      </c>
      <c r="D30" s="11" t="s">
        <v>12</v>
      </c>
    </row>
    <row r="31" spans="1:5" x14ac:dyDescent="0.3">
      <c r="A31" s="1" t="s">
        <v>3</v>
      </c>
      <c r="B31" s="3">
        <v>275</v>
      </c>
      <c r="C31" s="7">
        <v>160</v>
      </c>
      <c r="D31" s="16">
        <f>B31*C31</f>
        <v>44000</v>
      </c>
    </row>
    <row r="32" spans="1:5" x14ac:dyDescent="0.3">
      <c r="A32" s="3" t="s">
        <v>4</v>
      </c>
      <c r="B32" s="3">
        <v>86</v>
      </c>
      <c r="C32" s="2">
        <v>160</v>
      </c>
      <c r="D32" s="17">
        <f t="shared" ref="D32:D38" si="4">B32*C32</f>
        <v>13760</v>
      </c>
    </row>
    <row r="33" spans="1:4" x14ac:dyDescent="0.3">
      <c r="A33" s="3" t="s">
        <v>5</v>
      </c>
      <c r="B33" s="3">
        <v>81</v>
      </c>
      <c r="C33" s="2">
        <v>120</v>
      </c>
      <c r="D33" s="17">
        <f t="shared" si="4"/>
        <v>9720</v>
      </c>
    </row>
    <row r="34" spans="1:4" ht="15" thickBot="1" x14ac:dyDescent="0.35">
      <c r="A34" s="4" t="s">
        <v>6</v>
      </c>
      <c r="B34" s="4">
        <v>114</v>
      </c>
      <c r="C34" s="8">
        <v>140</v>
      </c>
      <c r="D34" s="18">
        <f t="shared" si="4"/>
        <v>15960</v>
      </c>
    </row>
    <row r="35" spans="1:4" x14ac:dyDescent="0.3">
      <c r="A35" s="6" t="s">
        <v>7</v>
      </c>
      <c r="B35" s="6">
        <v>157</v>
      </c>
      <c r="C35" s="9">
        <v>220</v>
      </c>
      <c r="D35" s="19">
        <f t="shared" si="4"/>
        <v>34540</v>
      </c>
    </row>
    <row r="36" spans="1:4" x14ac:dyDescent="0.3">
      <c r="A36" s="3" t="s">
        <v>8</v>
      </c>
      <c r="B36" s="3">
        <v>114</v>
      </c>
      <c r="C36" s="2">
        <v>160</v>
      </c>
      <c r="D36" s="17">
        <f t="shared" si="4"/>
        <v>18240</v>
      </c>
    </row>
    <row r="37" spans="1:4" ht="15" thickBot="1" x14ac:dyDescent="0.35">
      <c r="A37" s="4" t="s">
        <v>9</v>
      </c>
      <c r="B37" s="4">
        <v>73</v>
      </c>
      <c r="C37" s="5">
        <v>160</v>
      </c>
      <c r="D37" s="20">
        <f t="shared" si="4"/>
        <v>11680</v>
      </c>
    </row>
    <row r="38" spans="1:4" ht="15" thickBot="1" x14ac:dyDescent="0.35">
      <c r="A38" s="12" t="s">
        <v>10</v>
      </c>
      <c r="B38" s="13">
        <v>107</v>
      </c>
      <c r="C38" s="14">
        <v>50</v>
      </c>
      <c r="D38" s="21">
        <f t="shared" si="4"/>
        <v>5350</v>
      </c>
    </row>
    <row r="39" spans="1:4" x14ac:dyDescent="0.3">
      <c r="C39" s="15" t="s">
        <v>2</v>
      </c>
      <c r="D39" s="22">
        <f>SUM(D31:D38)</f>
        <v>153250</v>
      </c>
    </row>
    <row r="41" spans="1:4" ht="15" thickBot="1" x14ac:dyDescent="0.35"/>
    <row r="42" spans="1:4" ht="21" x14ac:dyDescent="0.4">
      <c r="A42" s="31" t="s">
        <v>0</v>
      </c>
      <c r="B42" s="32"/>
      <c r="C42" s="32"/>
      <c r="D42" s="33"/>
    </row>
    <row r="43" spans="1:4" ht="15" thickBot="1" x14ac:dyDescent="0.35">
      <c r="A43" s="10" t="s">
        <v>1</v>
      </c>
      <c r="B43" s="10" t="s">
        <v>13</v>
      </c>
      <c r="C43" s="11" t="s">
        <v>14</v>
      </c>
      <c r="D43" s="11" t="s">
        <v>12</v>
      </c>
    </row>
    <row r="44" spans="1:4" x14ac:dyDescent="0.3">
      <c r="A44" s="1" t="s">
        <v>3</v>
      </c>
      <c r="B44" s="3">
        <v>256</v>
      </c>
      <c r="C44" s="7">
        <v>150</v>
      </c>
      <c r="D44" s="16">
        <f>B44*C44</f>
        <v>38400</v>
      </c>
    </row>
    <row r="45" spans="1:4" x14ac:dyDescent="0.3">
      <c r="A45" s="3" t="s">
        <v>4</v>
      </c>
      <c r="B45" s="3">
        <v>138</v>
      </c>
      <c r="C45" s="2">
        <v>150</v>
      </c>
      <c r="D45" s="17">
        <f t="shared" ref="D45:D51" si="5">B45*C45</f>
        <v>20700</v>
      </c>
    </row>
    <row r="46" spans="1:4" x14ac:dyDescent="0.3">
      <c r="A46" s="3" t="s">
        <v>5</v>
      </c>
      <c r="B46" s="3">
        <v>143</v>
      </c>
      <c r="C46" s="2">
        <v>100</v>
      </c>
      <c r="D46" s="17">
        <f t="shared" si="5"/>
        <v>14300</v>
      </c>
    </row>
    <row r="47" spans="1:4" ht="15" thickBot="1" x14ac:dyDescent="0.35">
      <c r="A47" s="4" t="s">
        <v>6</v>
      </c>
      <c r="B47" s="4">
        <v>138</v>
      </c>
      <c r="C47" s="8">
        <v>120</v>
      </c>
      <c r="D47" s="18">
        <f t="shared" si="5"/>
        <v>16560</v>
      </c>
    </row>
    <row r="48" spans="1:4" x14ac:dyDescent="0.3">
      <c r="A48" s="6" t="s">
        <v>7</v>
      </c>
      <c r="B48" s="6">
        <v>205</v>
      </c>
      <c r="C48" s="9">
        <v>200</v>
      </c>
      <c r="D48" s="19">
        <f t="shared" si="5"/>
        <v>41000</v>
      </c>
    </row>
    <row r="49" spans="1:4" x14ac:dyDescent="0.3">
      <c r="A49" s="3" t="s">
        <v>8</v>
      </c>
      <c r="B49" s="3">
        <v>112</v>
      </c>
      <c r="C49" s="2">
        <v>150</v>
      </c>
      <c r="D49" s="17">
        <f t="shared" si="5"/>
        <v>16800</v>
      </c>
    </row>
    <row r="50" spans="1:4" ht="15" thickBot="1" x14ac:dyDescent="0.35">
      <c r="A50" s="4" t="s">
        <v>9</v>
      </c>
      <c r="B50" s="4">
        <v>74</v>
      </c>
      <c r="C50" s="5">
        <v>150</v>
      </c>
      <c r="D50" s="20">
        <f t="shared" si="5"/>
        <v>11100</v>
      </c>
    </row>
    <row r="51" spans="1:4" ht="15" thickBot="1" x14ac:dyDescent="0.35">
      <c r="A51" s="12" t="s">
        <v>10</v>
      </c>
      <c r="B51" s="13">
        <v>215</v>
      </c>
      <c r="C51" s="14">
        <v>50</v>
      </c>
      <c r="D51" s="21">
        <f t="shared" si="5"/>
        <v>10750</v>
      </c>
    </row>
    <row r="52" spans="1:4" x14ac:dyDescent="0.3">
      <c r="C52" s="15" t="s">
        <v>2</v>
      </c>
      <c r="D52" s="22">
        <f>SUM(D44:D51)</f>
        <v>169610</v>
      </c>
    </row>
  </sheetData>
  <mergeCells count="4">
    <mergeCell ref="A15:E15"/>
    <mergeCell ref="A2:G2"/>
    <mergeCell ref="A42:D42"/>
    <mergeCell ref="A29:D29"/>
  </mergeCells>
  <pageMargins left="0.7" right="0.7" top="0.78740157499999996" bottom="0.78740157499999996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Bauer</dc:creator>
  <cp:lastModifiedBy>Bauer Tomáš (EXT)</cp:lastModifiedBy>
  <cp:lastPrinted>2022-11-08T07:11:12Z</cp:lastPrinted>
  <dcterms:created xsi:type="dcterms:W3CDTF">2022-10-08T13:06:14Z</dcterms:created>
  <dcterms:modified xsi:type="dcterms:W3CDTF">2022-11-08T07:11:14Z</dcterms:modified>
</cp:coreProperties>
</file>