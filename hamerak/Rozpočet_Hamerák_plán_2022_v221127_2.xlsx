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stegroup-my.sharepoint.com/personal/tbauer_ext_csas_cz/Documents/Dokumenty/_TB_osobni_2022/ovt/hamerak_2022/"/>
    </mc:Choice>
  </mc:AlternateContent>
  <xr:revisionPtr revIDLastSave="12" documentId="13_ncr:1_{31841488-7D64-4B13-B97A-00264FB2E872}" xr6:coauthVersionLast="47" xr6:coauthVersionMax="47" xr10:uidLastSave="{1CDB7D38-7772-A94C-9E93-B4063B4B1B78}"/>
  <bookViews>
    <workbookView xWindow="0" yWindow="500" windowWidth="28800" windowHeight="15840" tabRatio="702" xr2:uid="{00000000-000D-0000-FFFF-FFFF00000000}"/>
  </bookViews>
  <sheets>
    <sheet name="Rozpočet H22" sheetId="6" r:id="rId1"/>
    <sheet name="Rozpočet H21, verze 11.8.2021" sheetId="5" r:id="rId2"/>
    <sheet name="Návrh rozpočtu, verze 2.6.2021" sheetId="4" r:id="rId3"/>
    <sheet name="Návrh rozpočtu, verze 23.6.2020" sheetId="1" r:id="rId4"/>
    <sheet name="Ceny Hamerák 2019 vs 2020" sheetId="2" r:id="rId5"/>
    <sheet name="Prodeje závod, permice a splutí" sheetId="3" r:id="rId6"/>
  </sheets>
  <definedNames>
    <definedName name="_xlnm.Print_Area" localSheetId="2">'Návrh rozpočtu, verze 2.6.2021'!$A$2:$J$20</definedName>
    <definedName name="_xlnm.Print_Area" localSheetId="3">'Návrh rozpočtu, verze 23.6.2020'!$A$2:$J$20</definedName>
    <definedName name="_xlnm.Print_Area" localSheetId="1">'Rozpočet H21, verze 11.8.2021'!$A$2:$J$20</definedName>
    <definedName name="_xlnm.Print_Area" localSheetId="0">'Rozpočet H22'!$A$2:$K$20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2" i="6" l="1"/>
  <c r="I8" i="6" l="1"/>
  <c r="F51" i="6"/>
  <c r="E51" i="6"/>
  <c r="E53" i="6"/>
  <c r="I17" i="6" l="1"/>
  <c r="I7" i="6"/>
  <c r="C7" i="6"/>
  <c r="C6" i="6"/>
  <c r="F54" i="6"/>
  <c r="I11" i="6"/>
  <c r="I6" i="6"/>
  <c r="I5" i="6"/>
  <c r="I20" i="6" s="1"/>
  <c r="E56" i="6" s="1"/>
  <c r="E50" i="6"/>
  <c r="E49" i="6"/>
  <c r="E48" i="6"/>
  <c r="F50" i="6" s="1"/>
  <c r="E47" i="6"/>
  <c r="E46" i="6"/>
  <c r="E45" i="6"/>
  <c r="E44" i="6"/>
  <c r="F44" i="6" s="1"/>
  <c r="K35" i="6"/>
  <c r="K34" i="6"/>
  <c r="K33" i="6"/>
  <c r="J27" i="6"/>
  <c r="L27" i="6" s="1"/>
  <c r="J28" i="6"/>
  <c r="J34" i="6" s="1"/>
  <c r="L34" i="6" s="1"/>
  <c r="J29" i="6"/>
  <c r="L29" i="6" s="1"/>
  <c r="J30" i="6"/>
  <c r="L30" i="6" s="1"/>
  <c r="J31" i="6"/>
  <c r="L31" i="6" s="1"/>
  <c r="J32" i="6"/>
  <c r="L32" i="6" s="1"/>
  <c r="J26" i="6"/>
  <c r="L26" i="6" s="1"/>
  <c r="L28" i="6" l="1"/>
  <c r="F47" i="6"/>
  <c r="J33" i="6"/>
  <c r="L33" i="6" s="1"/>
  <c r="J35" i="6"/>
  <c r="L35" i="6" s="1"/>
  <c r="E29" i="6"/>
  <c r="E28" i="6"/>
  <c r="E27" i="6"/>
  <c r="E32" i="6"/>
  <c r="E31" i="6"/>
  <c r="E30" i="6"/>
  <c r="E26" i="6"/>
  <c r="F26" i="6" s="1"/>
  <c r="B5" i="6" s="1"/>
  <c r="J20" i="6"/>
  <c r="K20" i="6"/>
  <c r="D19" i="6" s="1"/>
  <c r="D10" i="6"/>
  <c r="D18" i="6" s="1"/>
  <c r="B8" i="6"/>
  <c r="C5" i="6"/>
  <c r="E34" i="5"/>
  <c r="B8" i="5" s="1"/>
  <c r="C7" i="5"/>
  <c r="C6" i="5"/>
  <c r="C5" i="5"/>
  <c r="K4" i="2"/>
  <c r="K5" i="2"/>
  <c r="K6" i="2"/>
  <c r="E32" i="5"/>
  <c r="E31" i="5"/>
  <c r="E30" i="5"/>
  <c r="E29" i="5"/>
  <c r="E28" i="5"/>
  <c r="E27" i="5"/>
  <c r="E26" i="5"/>
  <c r="F26" i="5" s="1"/>
  <c r="B5" i="5" s="1"/>
  <c r="I20" i="5"/>
  <c r="C19" i="5" s="1"/>
  <c r="J17" i="5"/>
  <c r="J20" i="5" s="1"/>
  <c r="D19" i="5" s="1"/>
  <c r="D10" i="5"/>
  <c r="D18" i="5" s="1"/>
  <c r="E55" i="6" l="1"/>
  <c r="E57" i="6" s="1"/>
  <c r="F53" i="6"/>
  <c r="E37" i="6"/>
  <c r="F56" i="6" s="1"/>
  <c r="F32" i="6"/>
  <c r="B7" i="6" s="1"/>
  <c r="J22" i="6"/>
  <c r="F29" i="6"/>
  <c r="B6" i="6" s="1"/>
  <c r="C19" i="6"/>
  <c r="D20" i="6"/>
  <c r="E34" i="6"/>
  <c r="E36" i="6" s="1"/>
  <c r="E36" i="5"/>
  <c r="F32" i="5"/>
  <c r="B6" i="5" s="1"/>
  <c r="F29" i="5"/>
  <c r="B7" i="5" s="1"/>
  <c r="B10" i="5" s="1"/>
  <c r="C18" i="5" s="1"/>
  <c r="C20" i="5" s="1"/>
  <c r="E33" i="5"/>
  <c r="E35" i="5" s="1"/>
  <c r="D20" i="5"/>
  <c r="I20" i="4"/>
  <c r="C19" i="4" s="1"/>
  <c r="J17" i="4"/>
  <c r="J20" i="4" s="1"/>
  <c r="D19" i="4" s="1"/>
  <c r="D10" i="4"/>
  <c r="D18" i="4" s="1"/>
  <c r="C7" i="4"/>
  <c r="F55" i="6" l="1"/>
  <c r="E37" i="5"/>
  <c r="B10" i="6"/>
  <c r="C18" i="6" s="1"/>
  <c r="C20" i="6" s="1"/>
  <c r="E38" i="6"/>
  <c r="F57" i="6" s="1"/>
  <c r="D20" i="4"/>
  <c r="B30" i="2"/>
  <c r="M26" i="2"/>
  <c r="M25" i="2"/>
  <c r="M24" i="2"/>
  <c r="M23" i="2"/>
  <c r="M22" i="2"/>
  <c r="M21" i="2"/>
  <c r="M20" i="2"/>
  <c r="M27" i="2" l="1"/>
  <c r="C7" i="1"/>
  <c r="E3" i="2"/>
  <c r="F3" i="2" s="1"/>
  <c r="K3" i="2"/>
  <c r="M3" i="2"/>
  <c r="N3" i="2" s="1"/>
  <c r="E4" i="2"/>
  <c r="M4" i="2"/>
  <c r="E5" i="2"/>
  <c r="M5" i="2"/>
  <c r="E6" i="2"/>
  <c r="M6" i="2"/>
  <c r="E7" i="2"/>
  <c r="K7" i="2"/>
  <c r="E8" i="2"/>
  <c r="K8" i="2"/>
  <c r="M8" i="2"/>
  <c r="E9" i="2"/>
  <c r="K9" i="2"/>
  <c r="M9" i="2" s="1"/>
  <c r="F9" i="2" l="1"/>
  <c r="C6" i="1"/>
  <c r="C6" i="4"/>
  <c r="F6" i="2"/>
  <c r="C5" i="1"/>
  <c r="C5" i="4"/>
  <c r="B5" i="1"/>
  <c r="B5" i="4"/>
  <c r="N6" i="2"/>
  <c r="M7" i="2"/>
  <c r="M10" i="2" s="1"/>
  <c r="M12" i="2" s="1"/>
  <c r="E10" i="2"/>
  <c r="E12" i="2" s="1"/>
  <c r="E14" i="2" s="1"/>
  <c r="N9" i="2" l="1"/>
  <c r="B7" i="1"/>
  <c r="B7" i="4"/>
  <c r="J17" i="1"/>
  <c r="J20" i="1" s="1"/>
  <c r="D19" i="1" s="1"/>
  <c r="I20" i="1"/>
  <c r="D10" i="1"/>
  <c r="D18" i="1" s="1"/>
  <c r="D20" i="1" s="1"/>
  <c r="B6" i="1" l="1"/>
  <c r="B10" i="1" s="1"/>
  <c r="C18" i="1" s="1"/>
  <c r="C20" i="1" s="1"/>
  <c r="B6" i="4"/>
  <c r="B10" i="4" s="1"/>
  <c r="C18" i="4" s="1"/>
  <c r="C20" i="4" s="1"/>
  <c r="C19" i="1"/>
  <c r="M13" i="2"/>
  <c r="M1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Bauer Tomáš (EXT)</author>
  </authors>
  <commentList>
    <comment ref="E6" authorId="0" shapeId="0" xr:uid="{00000000-0006-0000-0000-000001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138 (142) víkend
143 (90) sobota
138 (226) neděle
rok 2021 (v závorce 2019)
2021: poměrně slušné počasí v sobotu i v neděli
2019: (v neděli bylo lepší počasí a nebyl závod, v sobotu pár nad nulou…)</t>
        </r>
      </text>
    </comment>
    <comment ref="E7" authorId="0" shapeId="0" xr:uid="{00000000-0006-0000-0000-000002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205 (216) víkend
112 (117) sobota
74 (132) neděle
rok 2021 (v závorce 2019)
2021: poměrně slušné počasí v sobotu i v neděli
2019: (v neděli bylo lepší počasí a nebyl závod, v sobotu pár nad nulou…)</t>
        </r>
      </text>
    </comment>
    <comment ref="D8" authorId="0" shapeId="0" xr:uid="{00000000-0006-0000-0000-000003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ČSK 80.000
mínus 5000 pro Hradečáky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Bauer Tomáš (EXT)</author>
  </authors>
  <commentList>
    <comment ref="E6" authorId="0" shapeId="0" xr:uid="{00000000-0006-0000-0100-000001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142 víkend
90 sobota
226 neděle</t>
        </r>
      </text>
    </comment>
    <comment ref="E7" authorId="0" shapeId="0" xr:uid="{00000000-0006-0000-0100-000002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216 víkend
117 sobota
132 neděle
(v neděli bylo lepší počasí a nebyl závod, v sobotu pár nad nulou…)</t>
        </r>
      </text>
    </comment>
    <comment ref="D8" authorId="0" shapeId="0" xr:uid="{00000000-0006-0000-0100-000003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ČSK 80.000
mínus 5000 pro Hradečáky</t>
        </r>
      </text>
    </comment>
    <comment ref="J17" authorId="0" shapeId="0" xr:uid="{00000000-0006-0000-0100-000004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Převážně Ešus cesty a náklady
Včetně nového nůžkového stanu (3000)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Bauer Tomáš (EXT)</author>
  </authors>
  <commentList>
    <comment ref="C5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38"/>
          </rPr>
          <t>Bauer Tomáš:</t>
        </r>
        <r>
          <rPr>
            <sz val="9"/>
            <color indexed="81"/>
            <rFont val="Tahoma"/>
            <family val="2"/>
            <charset val="238"/>
          </rPr>
          <t xml:space="preserve">
čísla viz list "Ceny Hamerák 2019 vs 2020"</t>
        </r>
      </text>
    </comment>
    <comment ref="C6" authorId="0" shapeId="0" xr:uid="{00000000-0006-0000-0200-000002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čísla viz list "Ceny Hamerák 2019 vs 2020"</t>
        </r>
      </text>
    </comment>
    <comment ref="E6" authorId="0" shapeId="0" xr:uid="{00000000-0006-0000-0200-000003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142 víkend
90 sobota
226 neděle</t>
        </r>
      </text>
    </comment>
    <comment ref="C7" authorId="0" shapeId="0" xr:uid="{00000000-0006-0000-0200-000004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čísla viz list "Ceny Hamerák 2019 vs 2020"
očekávám pokles proti 2019 (protože covid / hromadná doprava)</t>
        </r>
      </text>
    </comment>
    <comment ref="E7" authorId="0" shapeId="0" xr:uid="{00000000-0006-0000-0200-000005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216 víkend
117 sobota
132 neděle
(v neděli bylo lepší počasí a nebyl závod, v sobotu pár nad nulou…)</t>
        </r>
      </text>
    </comment>
    <comment ref="D8" authorId="0" shapeId="0" xr:uid="{00000000-0006-0000-0200-000006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ČSK 80.000
mínus 5000 pro Hradečáky</t>
        </r>
      </text>
    </comment>
    <comment ref="J17" authorId="0" shapeId="0" xr:uid="{00000000-0006-0000-0200-000007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Převážně Ešus cesty a náklady
Včetně nového nůžkového stanu (3000)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Bauer Tomáš (EXT)</author>
  </authors>
  <commentList>
    <comment ref="C5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38"/>
          </rPr>
          <t>Bauer Tomáš:</t>
        </r>
        <r>
          <rPr>
            <sz val="9"/>
            <color indexed="81"/>
            <rFont val="Tahoma"/>
            <family val="2"/>
            <charset val="238"/>
          </rPr>
          <t xml:space="preserve">
čísla viz list "Ceny Hamerák 2019 vs 2020"</t>
        </r>
      </text>
    </comment>
    <comment ref="C6" authorId="0" shapeId="0" xr:uid="{00000000-0006-0000-0300-000002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čísla viz list "Ceny Hamerák 2019 vs 2020"</t>
        </r>
      </text>
    </comment>
    <comment ref="E6" authorId="0" shapeId="0" xr:uid="{00000000-0006-0000-0300-000003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142 víkend
90 sobota
226 neděle</t>
        </r>
      </text>
    </comment>
    <comment ref="C7" authorId="0" shapeId="0" xr:uid="{00000000-0006-0000-0300-000004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čísla viz list "Ceny Hamerák 2019 vs 2020"
očekávám pokles proti 2019 (protože covid / hromadná doprava)</t>
        </r>
      </text>
    </comment>
    <comment ref="E7" authorId="0" shapeId="0" xr:uid="{00000000-0006-0000-0300-000005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216 víkend
117 sobota
132 neděle
(v neděli bylo lepší počasí a nebyl závod, v sobotu pár nad nulou…)</t>
        </r>
      </text>
    </comment>
    <comment ref="D8" authorId="0" shapeId="0" xr:uid="{00000000-0006-0000-0300-000006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ČSK 80.000
mínus 5000 pro Hradečáky</t>
        </r>
      </text>
    </comment>
    <comment ref="J17" authorId="0" shapeId="0" xr:uid="{00000000-0006-0000-0300-000007000000}">
      <text>
        <r>
          <rPr>
            <b/>
            <sz val="12"/>
            <color indexed="81"/>
            <rFont val="Tahoma"/>
            <family val="2"/>
            <charset val="238"/>
          </rPr>
          <t>Bauer Tomáš:</t>
        </r>
        <r>
          <rPr>
            <sz val="12"/>
            <color indexed="81"/>
            <rFont val="Tahoma"/>
            <family val="2"/>
            <charset val="238"/>
          </rPr>
          <t xml:space="preserve">
Převážně Ešus cesty a náklady
Včetně nového nůžkového stanu (3000)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Tomas Bauer</author>
  </authors>
  <commentList>
    <comment ref="E15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Splutí víkendové:
7 Bohemka
3 výměna</t>
        </r>
      </text>
    </comment>
    <comment ref="K15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38"/>
          </rPr>
          <t>Tomas Bauer:</t>
        </r>
        <r>
          <rPr>
            <sz val="9"/>
            <color indexed="81"/>
            <rFont val="Tahoma"/>
            <family val="2"/>
            <charset val="238"/>
          </rPr>
          <t xml:space="preserve">
Bohemka 8
Výměna 5</t>
        </r>
      </text>
    </comment>
  </commentList>
</comments>
</file>

<file path=xl/sharedStrings.xml><?xml version="1.0" encoding="utf-8"?>
<sst xmlns="http://schemas.openxmlformats.org/spreadsheetml/2006/main" count="443" uniqueCount="126">
  <si>
    <t>občerstvení</t>
  </si>
  <si>
    <t>CELKEM</t>
  </si>
  <si>
    <t>doprava</t>
  </si>
  <si>
    <t>PŘÍJMY 2020</t>
  </si>
  <si>
    <t>Návrh pro 2020</t>
  </si>
  <si>
    <t>počet</t>
  </si>
  <si>
    <t>Příjem</t>
  </si>
  <si>
    <t>Startovné</t>
  </si>
  <si>
    <t>Permice</t>
  </si>
  <si>
    <t>Splutí</t>
  </si>
  <si>
    <t>Dotace ČSK</t>
  </si>
  <si>
    <t>Skutečnost v 2019</t>
  </si>
  <si>
    <t>Jan Kukla sponzoring</t>
  </si>
  <si>
    <t>VÝDAJE 2020</t>
  </si>
  <si>
    <t>kategorie</t>
  </si>
  <si>
    <t>položka</t>
  </si>
  <si>
    <t>bus Jan Kukla</t>
  </si>
  <si>
    <t>vlak JHMD</t>
  </si>
  <si>
    <t>permice tisk</t>
  </si>
  <si>
    <t>materiál náklady (igelity aj.)</t>
  </si>
  <si>
    <t>náklady</t>
  </si>
  <si>
    <t>obslužná vozidla</t>
  </si>
  <si>
    <t>ceny</t>
  </si>
  <si>
    <t>hrnky potisk</t>
  </si>
  <si>
    <t>branky</t>
  </si>
  <si>
    <t>materiál</t>
  </si>
  <si>
    <t>místní poplatky</t>
  </si>
  <si>
    <t>Boček/kokta vstup</t>
  </si>
  <si>
    <t>Hrázný Fučík</t>
  </si>
  <si>
    <t>Feit - louka Dvoreček</t>
  </si>
  <si>
    <t>Rybáři</t>
  </si>
  <si>
    <t>vodohospodářství</t>
  </si>
  <si>
    <t>pivo Kamenice</t>
  </si>
  <si>
    <t>ubytování</t>
  </si>
  <si>
    <t>chatky</t>
  </si>
  <si>
    <t>příprava, zpracování</t>
  </si>
  <si>
    <t>materiál, cesty, pošta</t>
  </si>
  <si>
    <t>Příjmy</t>
  </si>
  <si>
    <t>Výdaje</t>
  </si>
  <si>
    <t>Z/Z 2020 plán</t>
  </si>
  <si>
    <t>Z/Z 2019</t>
  </si>
  <si>
    <t>vlaky budou o cca 22000 dražší</t>
  </si>
  <si>
    <t>příjmy</t>
  </si>
  <si>
    <t>základní dotace 65k a není sponzoring J. Kukla</t>
  </si>
  <si>
    <t>dotace+spo</t>
  </si>
  <si>
    <t>prodeje</t>
  </si>
  <si>
    <t>splutí</t>
  </si>
  <si>
    <t>Splutí neděle</t>
  </si>
  <si>
    <t>+10%</t>
  </si>
  <si>
    <t>Splutí sobota</t>
  </si>
  <si>
    <t>Splutí víkend</t>
  </si>
  <si>
    <t>permice</t>
  </si>
  <si>
    <t>Permice neděle</t>
  </si>
  <si>
    <t>Permice sobota</t>
  </si>
  <si>
    <t>Permice víkend</t>
  </si>
  <si>
    <t>závod</t>
  </si>
  <si>
    <t>Závod (lidi)</t>
  </si>
  <si>
    <t>Součet Kč</t>
  </si>
  <si>
    <t>Cena</t>
  </si>
  <si>
    <t>Počet</t>
  </si>
  <si>
    <t>Odhad počtu lidí</t>
  </si>
  <si>
    <t>Hamerák 2019</t>
  </si>
  <si>
    <t>Splutí sobota:</t>
  </si>
  <si>
    <t>Splutí víkend:</t>
  </si>
  <si>
    <t>Permice sobota:</t>
  </si>
  <si>
    <t>Permice víkend:</t>
  </si>
  <si>
    <t>Oprávky</t>
  </si>
  <si>
    <t>Prodáno</t>
  </si>
  <si>
    <t>Během dne doplněno</t>
  </si>
  <si>
    <t>Otevření</t>
  </si>
  <si>
    <t>Neděle</t>
  </si>
  <si>
    <t>Sobota</t>
  </si>
  <si>
    <t>Pokladna 3 - Hráz</t>
  </si>
  <si>
    <t>Závod</t>
  </si>
  <si>
    <t>Pokladna 2 - permice</t>
  </si>
  <si>
    <t>Pokladna 1 - Závod a splutí</t>
  </si>
  <si>
    <t>Hamerák splutí 2020</t>
  </si>
  <si>
    <t>Var. 2020 bez závodu</t>
  </si>
  <si>
    <t>Účel</t>
  </si>
  <si>
    <t>Kategorie</t>
  </si>
  <si>
    <t>Ubytování v kempu - chatky</t>
  </si>
  <si>
    <t>Ubytování</t>
  </si>
  <si>
    <t>úklid autobusů, ochrana sedaček, atd.</t>
  </si>
  <si>
    <t>Doprava</t>
  </si>
  <si>
    <t>Boček/Kokta pronájem kolem vstupu</t>
  </si>
  <si>
    <t>Místní</t>
  </si>
  <si>
    <t>Feit - Louka na výstupu Dvoreček</t>
  </si>
  <si>
    <t>Doprava, 2 autobusy pro obsluhu Dvoreček a Jindřiš v sobotu a neděli</t>
  </si>
  <si>
    <t>Tisk permice</t>
  </si>
  <si>
    <t>Další náklady (+ rezerva)</t>
  </si>
  <si>
    <t>Příprava</t>
  </si>
  <si>
    <t>Celkem</t>
  </si>
  <si>
    <t>případně doprava 3 busy za 80 tisíc, tedy + 20.000,- Kč (nutno potvrdit s Honzou)</t>
  </si>
  <si>
    <t>Náklady</t>
  </si>
  <si>
    <t>Návrh pro 2021</t>
  </si>
  <si>
    <t>Hamerák 2021</t>
  </si>
  <si>
    <t>Součet řádek Kč</t>
  </si>
  <si>
    <t>Součet skupina Kč</t>
  </si>
  <si>
    <t>příjmy z dopravy + dotace 25k by měla pokrýt náklady</t>
  </si>
  <si>
    <t>igelity a také desinfekční prostředky</t>
  </si>
  <si>
    <t>podle roku 2019</t>
  </si>
  <si>
    <t>základní dotace 65k, navíc dotace na dopravu 25k</t>
  </si>
  <si>
    <t>cílem je mít příjmy z dopravy &gt; 80.000,- Kč (105k náklady autobusy mínus 25k dotace)</t>
  </si>
  <si>
    <t>Prodeje</t>
  </si>
  <si>
    <t>Z/Z 2021 plán</t>
  </si>
  <si>
    <t>Skutečnost v 2021</t>
  </si>
  <si>
    <t>Návrh pro 2022</t>
  </si>
  <si>
    <t>změna nákladů</t>
  </si>
  <si>
    <t>podle roku 2021</t>
  </si>
  <si>
    <t>Hamerák 2022</t>
  </si>
  <si>
    <t>Cena 2021</t>
  </si>
  <si>
    <t>Navýšení ceny 2022</t>
  </si>
  <si>
    <t>Cena 2022</t>
  </si>
  <si>
    <t>základní dotace 65k</t>
  </si>
  <si>
    <t>Splutí a permice víkend</t>
  </si>
  <si>
    <t>Splutí a permice sobota</t>
  </si>
  <si>
    <t>Splutí a permice neděle</t>
  </si>
  <si>
    <t>VÝDAJE 2022</t>
  </si>
  <si>
    <t>PŘÍJMY 2022</t>
  </si>
  <si>
    <t>REALITA</t>
  </si>
  <si>
    <t>Z/Z 2022 plán</t>
  </si>
  <si>
    <t>Z/Z 2022 realita</t>
  </si>
  <si>
    <t>kelímky</t>
  </si>
  <si>
    <t>Kelímky</t>
  </si>
  <si>
    <t>? Zaplaceno Milanovi?</t>
  </si>
  <si>
    <t>Toto je nejvíc aktuální tabulka pro rok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</si>
</sst>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8"/>
      <name val="Arial"/>
      <family val="2"/>
      <charset val="238"/>
    </font>
    <font>
      <sz val="12"/>
      <color rgb="FF00B050"/>
      <name val="Arial"/>
      <family val="2"/>
      <charset val="238"/>
    </font>
    <font>
      <b/>
      <i/>
      <sz val="12"/>
      <color rgb="FF1F497D"/>
      <name val="Calibri"/>
      <family val="2"/>
      <charset val="238"/>
    </font>
    <font>
      <i/>
      <sz val="12"/>
      <color rgb="FF1F497D"/>
      <name val="Calibri"/>
      <family val="2"/>
      <charset val="238"/>
    </font>
    <font>
      <b/>
      <sz val="12"/>
      <color indexed="81"/>
      <name val="Tahoma"/>
      <family val="2"/>
      <charset val="238"/>
    </font>
    <font>
      <sz val="12"/>
      <color indexed="81"/>
      <name val="Tahoma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10"/>
      <name val="Arial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0"/>
      <name val="Arial"/>
      <family val="2"/>
      <charset val="238"/>
    </font>
    <font>
      <i/>
      <sz val="12"/>
      <name val="Arial"/>
      <family val="2"/>
      <charset val="238"/>
    </font>
    <font>
      <sz val="16"/>
      <name val="Arial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9" fontId="19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2" fillId="0" borderId="1" xfId="0" applyFont="1" applyBorder="1"/>
    <xf numFmtId="0" fontId="6" fillId="0" borderId="0" xfId="0" applyFont="1"/>
    <xf numFmtId="0" fontId="7" fillId="0" borderId="0" xfId="0" applyFont="1"/>
    <xf numFmtId="0" fontId="3" fillId="0" borderId="4" xfId="0" applyFont="1" applyBorder="1"/>
    <xf numFmtId="0" fontId="3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2" fillId="0" borderId="11" xfId="0" applyFont="1" applyBorder="1" applyAlignment="1">
      <alignment horizontal="center"/>
    </xf>
    <xf numFmtId="164" fontId="3" fillId="0" borderId="12" xfId="0" applyNumberFormat="1" applyFont="1" applyBorder="1"/>
    <xf numFmtId="164" fontId="3" fillId="0" borderId="13" xfId="0" applyNumberFormat="1" applyFont="1" applyBorder="1"/>
    <xf numFmtId="164" fontId="3" fillId="0" borderId="14" xfId="0" applyNumberFormat="1" applyFont="1" applyBorder="1"/>
    <xf numFmtId="164" fontId="3" fillId="0" borderId="15" xfId="0" applyNumberFormat="1" applyFont="1" applyBorder="1"/>
    <xf numFmtId="0" fontId="3" fillId="0" borderId="16" xfId="0" applyFont="1" applyBorder="1"/>
    <xf numFmtId="0" fontId="3" fillId="0" borderId="17" xfId="0" applyFont="1" applyBorder="1"/>
    <xf numFmtId="164" fontId="3" fillId="0" borderId="17" xfId="0" applyNumberFormat="1" applyFont="1" applyBorder="1"/>
    <xf numFmtId="164" fontId="3" fillId="0" borderId="18" xfId="0" applyNumberFormat="1" applyFont="1" applyBorder="1"/>
    <xf numFmtId="0" fontId="3" fillId="0" borderId="19" xfId="0" applyFont="1" applyBorder="1"/>
    <xf numFmtId="164" fontId="3" fillId="0" borderId="19" xfId="0" applyNumberFormat="1" applyFont="1" applyBorder="1"/>
    <xf numFmtId="164" fontId="3" fillId="0" borderId="9" xfId="0" applyNumberFormat="1" applyFont="1" applyBorder="1"/>
    <xf numFmtId="164" fontId="5" fillId="0" borderId="0" xfId="0" applyNumberFormat="1" applyFont="1"/>
    <xf numFmtId="0" fontId="5" fillId="0" borderId="0" xfId="0" applyFont="1"/>
    <xf numFmtId="0" fontId="5" fillId="0" borderId="20" xfId="0" applyFont="1" applyBorder="1"/>
    <xf numFmtId="0" fontId="3" fillId="0" borderId="18" xfId="0" applyFont="1" applyBorder="1"/>
    <xf numFmtId="0" fontId="6" fillId="0" borderId="21" xfId="0" applyFont="1" applyBorder="1"/>
    <xf numFmtId="0" fontId="5" fillId="0" borderId="22" xfId="0" applyFont="1" applyBorder="1"/>
    <xf numFmtId="0" fontId="3" fillId="0" borderId="5" xfId="0" applyFont="1" applyBorder="1"/>
    <xf numFmtId="0" fontId="3" fillId="0" borderId="10" xfId="0" applyFont="1" applyBorder="1"/>
    <xf numFmtId="164" fontId="3" fillId="0" borderId="5" xfId="0" applyNumberFormat="1" applyFont="1" applyBorder="1"/>
    <xf numFmtId="164" fontId="3" fillId="0" borderId="10" xfId="0" applyNumberFormat="1" applyFont="1" applyBorder="1"/>
    <xf numFmtId="164" fontId="3" fillId="0" borderId="2" xfId="0" applyNumberFormat="1" applyFont="1" applyBorder="1"/>
    <xf numFmtId="164" fontId="3" fillId="0" borderId="8" xfId="0" applyNumberFormat="1" applyFont="1" applyBorder="1"/>
    <xf numFmtId="164" fontId="3" fillId="0" borderId="20" xfId="0" applyNumberFormat="1" applyFont="1" applyBorder="1"/>
    <xf numFmtId="0" fontId="2" fillId="0" borderId="2" xfId="0" applyFont="1" applyBorder="1"/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2" xfId="0" applyNumberFormat="1" applyFont="1" applyBorder="1"/>
    <xf numFmtId="0" fontId="1" fillId="0" borderId="0" xfId="1"/>
    <xf numFmtId="164" fontId="10" fillId="2" borderId="0" xfId="1" applyNumberFormat="1" applyFont="1" applyFill="1"/>
    <xf numFmtId="0" fontId="10" fillId="2" borderId="0" xfId="1" applyFont="1" applyFill="1"/>
    <xf numFmtId="164" fontId="1" fillId="0" borderId="0" xfId="1" applyNumberFormat="1"/>
    <xf numFmtId="164" fontId="10" fillId="0" borderId="21" xfId="1" applyNumberFormat="1" applyFont="1" applyBorder="1"/>
    <xf numFmtId="0" fontId="1" fillId="0" borderId="21" xfId="1" applyBorder="1"/>
    <xf numFmtId="164" fontId="1" fillId="0" borderId="23" xfId="1" applyNumberFormat="1" applyBorder="1"/>
    <xf numFmtId="0" fontId="1" fillId="0" borderId="24" xfId="1" applyBorder="1"/>
    <xf numFmtId="164" fontId="10" fillId="0" borderId="25" xfId="1" applyNumberFormat="1" applyFont="1" applyBorder="1"/>
    <xf numFmtId="0" fontId="1" fillId="0" borderId="26" xfId="1" applyBorder="1"/>
    <xf numFmtId="9" fontId="1" fillId="0" borderId="0" xfId="1" quotePrefix="1" applyNumberFormat="1"/>
    <xf numFmtId="0" fontId="1" fillId="0" borderId="27" xfId="1" applyBorder="1"/>
    <xf numFmtId="164" fontId="1" fillId="0" borderId="27" xfId="1" applyNumberFormat="1" applyBorder="1"/>
    <xf numFmtId="164" fontId="1" fillId="0" borderId="28" xfId="1" applyNumberFormat="1" applyBorder="1"/>
    <xf numFmtId="0" fontId="1" fillId="0" borderId="29" xfId="1" applyBorder="1"/>
    <xf numFmtId="164" fontId="1" fillId="0" borderId="29" xfId="1" applyNumberFormat="1" applyBorder="1"/>
    <xf numFmtId="0" fontId="1" fillId="0" borderId="6" xfId="1" applyBorder="1"/>
    <xf numFmtId="164" fontId="1" fillId="0" borderId="25" xfId="1" applyNumberFormat="1" applyBorder="1"/>
    <xf numFmtId="0" fontId="1" fillId="0" borderId="30" xfId="1" applyBorder="1"/>
    <xf numFmtId="164" fontId="1" fillId="0" borderId="30" xfId="1" applyNumberFormat="1" applyBorder="1"/>
    <xf numFmtId="9" fontId="1" fillId="0" borderId="0" xfId="1" applyNumberFormat="1" applyAlignment="1">
      <alignment horizontal="left"/>
    </xf>
    <xf numFmtId="164" fontId="1" fillId="0" borderId="31" xfId="1" applyNumberFormat="1" applyBorder="1"/>
    <xf numFmtId="0" fontId="1" fillId="0" borderId="32" xfId="1" applyBorder="1"/>
    <xf numFmtId="164" fontId="1" fillId="0" borderId="32" xfId="1" applyNumberFormat="1" applyBorder="1"/>
    <xf numFmtId="0" fontId="1" fillId="0" borderId="7" xfId="1" applyBorder="1"/>
    <xf numFmtId="0" fontId="11" fillId="3" borderId="14" xfId="1" applyFont="1" applyFill="1" applyBorder="1"/>
    <xf numFmtId="0" fontId="11" fillId="3" borderId="33" xfId="1" applyFont="1" applyFill="1" applyBorder="1"/>
    <xf numFmtId="0" fontId="11" fillId="3" borderId="34" xfId="1" applyFont="1" applyFill="1" applyBorder="1"/>
    <xf numFmtId="164" fontId="1" fillId="4" borderId="29" xfId="1" applyNumberFormat="1" applyFill="1" applyBorder="1"/>
    <xf numFmtId="164" fontId="1" fillId="0" borderId="35" xfId="1" applyNumberFormat="1" applyBorder="1"/>
    <xf numFmtId="0" fontId="12" fillId="2" borderId="29" xfId="1" applyFont="1" applyFill="1" applyBorder="1"/>
    <xf numFmtId="0" fontId="13" fillId="0" borderId="29" xfId="1" applyFont="1" applyBorder="1"/>
    <xf numFmtId="0" fontId="13" fillId="5" borderId="29" xfId="1" applyFont="1" applyFill="1" applyBorder="1"/>
    <xf numFmtId="0" fontId="11" fillId="0" borderId="6" xfId="1" applyFont="1" applyBorder="1" applyAlignment="1">
      <alignment horizontal="center"/>
    </xf>
    <xf numFmtId="0" fontId="11" fillId="0" borderId="30" xfId="1" applyFont="1" applyBorder="1"/>
    <xf numFmtId="0" fontId="11" fillId="3" borderId="30" xfId="1" applyFont="1" applyFill="1" applyBorder="1"/>
    <xf numFmtId="0" fontId="11" fillId="3" borderId="26" xfId="1" applyFont="1" applyFill="1" applyBorder="1"/>
    <xf numFmtId="0" fontId="1" fillId="0" borderId="35" xfId="1" applyBorder="1"/>
    <xf numFmtId="0" fontId="13" fillId="6" borderId="29" xfId="1" applyFont="1" applyFill="1" applyBorder="1"/>
    <xf numFmtId="0" fontId="12" fillId="0" borderId="35" xfId="1" applyFont="1" applyBorder="1"/>
    <xf numFmtId="0" fontId="12" fillId="7" borderId="29" xfId="1" applyFont="1" applyFill="1" applyBorder="1"/>
    <xf numFmtId="0" fontId="11" fillId="0" borderId="12" xfId="1" applyFont="1" applyBorder="1"/>
    <xf numFmtId="0" fontId="1" fillId="8" borderId="27" xfId="1" applyFill="1" applyBorder="1"/>
    <xf numFmtId="0" fontId="10" fillId="9" borderId="0" xfId="0" applyFont="1" applyFill="1"/>
    <xf numFmtId="164" fontId="0" fillId="0" borderId="0" xfId="0" applyNumberFormat="1"/>
    <xf numFmtId="164" fontId="10" fillId="0" borderId="0" xfId="0" applyNumberFormat="1" applyFont="1"/>
    <xf numFmtId="0" fontId="10" fillId="0" borderId="0" xfId="0" applyFont="1"/>
    <xf numFmtId="0" fontId="16" fillId="0" borderId="0" xfId="0" applyFont="1"/>
    <xf numFmtId="164" fontId="2" fillId="0" borderId="13" xfId="0" applyNumberFormat="1" applyFont="1" applyBorder="1"/>
    <xf numFmtId="164" fontId="2" fillId="0" borderId="12" xfId="0" applyNumberFormat="1" applyFont="1" applyBorder="1"/>
    <xf numFmtId="0" fontId="10" fillId="0" borderId="0" xfId="1" applyFont="1"/>
    <xf numFmtId="9" fontId="17" fillId="0" borderId="0" xfId="1" quotePrefix="1" applyNumberFormat="1" applyFont="1"/>
    <xf numFmtId="0" fontId="17" fillId="0" borderId="7" xfId="1" applyFont="1" applyBorder="1"/>
    <xf numFmtId="164" fontId="17" fillId="0" borderId="32" xfId="1" applyNumberFormat="1" applyFont="1" applyBorder="1"/>
    <xf numFmtId="0" fontId="17" fillId="0" borderId="32" xfId="1" applyFont="1" applyBorder="1"/>
    <xf numFmtId="164" fontId="17" fillId="0" borderId="31" xfId="1" applyNumberFormat="1" applyFont="1" applyBorder="1"/>
    <xf numFmtId="0" fontId="17" fillId="0" borderId="0" xfId="1" applyFont="1"/>
    <xf numFmtId="9" fontId="17" fillId="0" borderId="0" xfId="1" applyNumberFormat="1" applyFont="1" applyAlignment="1">
      <alignment horizontal="left"/>
    </xf>
    <xf numFmtId="0" fontId="17" fillId="0" borderId="26" xfId="1" applyFont="1" applyBorder="1"/>
    <xf numFmtId="164" fontId="17" fillId="0" borderId="30" xfId="1" applyNumberFormat="1" applyFont="1" applyBorder="1"/>
    <xf numFmtId="0" fontId="17" fillId="0" borderId="30" xfId="1" applyFont="1" applyBorder="1"/>
    <xf numFmtId="164" fontId="17" fillId="0" borderId="25" xfId="1" applyNumberFormat="1" applyFont="1" applyBorder="1"/>
    <xf numFmtId="0" fontId="17" fillId="0" borderId="6" xfId="1" applyFont="1" applyBorder="1"/>
    <xf numFmtId="164" fontId="17" fillId="0" borderId="29" xfId="1" applyNumberFormat="1" applyFont="1" applyBorder="1"/>
    <xf numFmtId="0" fontId="17" fillId="0" borderId="29" xfId="1" applyFont="1" applyBorder="1"/>
    <xf numFmtId="164" fontId="17" fillId="0" borderId="28" xfId="1" applyNumberFormat="1" applyFont="1" applyBorder="1"/>
    <xf numFmtId="0" fontId="17" fillId="0" borderId="24" xfId="1" applyFont="1" applyBorder="1"/>
    <xf numFmtId="164" fontId="17" fillId="0" borderId="27" xfId="1" applyNumberFormat="1" applyFont="1" applyBorder="1"/>
    <xf numFmtId="0" fontId="17" fillId="0" borderId="27" xfId="1" applyFont="1" applyBorder="1"/>
    <xf numFmtId="164" fontId="17" fillId="0" borderId="23" xfId="1" applyNumberFormat="1" applyFont="1" applyBorder="1"/>
    <xf numFmtId="164" fontId="18" fillId="0" borderId="25" xfId="1" applyNumberFormat="1" applyFont="1" applyBorder="1"/>
    <xf numFmtId="164" fontId="18" fillId="0" borderId="21" xfId="1" applyNumberFormat="1" applyFont="1" applyBorder="1"/>
    <xf numFmtId="0" fontId="18" fillId="2" borderId="0" xfId="1" applyFont="1" applyFill="1"/>
    <xf numFmtId="164" fontId="18" fillId="2" borderId="0" xfId="1" applyNumberFormat="1" applyFont="1" applyFill="1"/>
    <xf numFmtId="0" fontId="18" fillId="0" borderId="21" xfId="1" applyFont="1" applyBorder="1"/>
    <xf numFmtId="0" fontId="18" fillId="0" borderId="0" xfId="1" applyFont="1"/>
    <xf numFmtId="164" fontId="18" fillId="0" borderId="0" xfId="1" applyNumberFormat="1" applyFont="1"/>
    <xf numFmtId="9" fontId="3" fillId="0" borderId="0" xfId="2" applyFont="1"/>
    <xf numFmtId="9" fontId="17" fillId="0" borderId="32" xfId="2" applyFont="1" applyBorder="1"/>
    <xf numFmtId="9" fontId="17" fillId="0" borderId="30" xfId="2" applyFont="1" applyFill="1" applyBorder="1"/>
    <xf numFmtId="9" fontId="17" fillId="0" borderId="29" xfId="2" applyFont="1" applyFill="1" applyBorder="1"/>
    <xf numFmtId="9" fontId="17" fillId="0" borderId="27" xfId="2" applyFont="1" applyFill="1" applyBorder="1"/>
    <xf numFmtId="9" fontId="17" fillId="0" borderId="30" xfId="2" applyFont="1" applyBorder="1"/>
    <xf numFmtId="9" fontId="17" fillId="0" borderId="29" xfId="2" applyFont="1" applyBorder="1"/>
    <xf numFmtId="9" fontId="17" fillId="0" borderId="27" xfId="2" applyFont="1" applyBorder="1"/>
    <xf numFmtId="164" fontId="3" fillId="10" borderId="12" xfId="0" applyNumberFormat="1" applyFont="1" applyFill="1" applyBorder="1"/>
    <xf numFmtId="164" fontId="17" fillId="0" borderId="0" xfId="1" applyNumberFormat="1" applyFont="1"/>
    <xf numFmtId="0" fontId="18" fillId="11" borderId="0" xfId="1" applyFont="1" applyFill="1"/>
    <xf numFmtId="164" fontId="18" fillId="11" borderId="0" xfId="1" applyNumberFormat="1" applyFont="1" applyFill="1"/>
    <xf numFmtId="164" fontId="20" fillId="10" borderId="12" xfId="0" applyNumberFormat="1" applyFont="1" applyFill="1" applyBorder="1"/>
    <xf numFmtId="164" fontId="2" fillId="0" borderId="19" xfId="0" applyNumberFormat="1" applyFont="1" applyBorder="1"/>
    <xf numFmtId="0" fontId="17" fillId="0" borderId="3" xfId="1" applyFont="1" applyBorder="1"/>
    <xf numFmtId="164" fontId="17" fillId="0" borderId="9" xfId="1" applyNumberFormat="1" applyFont="1" applyBorder="1"/>
    <xf numFmtId="0" fontId="17" fillId="0" borderId="37" xfId="1" applyFont="1" applyBorder="1"/>
    <xf numFmtId="164" fontId="17" fillId="0" borderId="37" xfId="1" applyNumberFormat="1" applyFont="1" applyBorder="1"/>
    <xf numFmtId="164" fontId="17" fillId="0" borderId="36" xfId="1" applyNumberFormat="1" applyFont="1" applyBorder="1"/>
    <xf numFmtId="164" fontId="3" fillId="12" borderId="12" xfId="0" applyNumberFormat="1" applyFont="1" applyFill="1" applyBorder="1"/>
    <xf numFmtId="164" fontId="20" fillId="12" borderId="12" xfId="0" applyNumberFormat="1" applyFont="1" applyFill="1" applyBorder="1"/>
    <xf numFmtId="164" fontId="3" fillId="0" borderId="0" xfId="0" applyNumberFormat="1" applyFont="1"/>
    <xf numFmtId="0" fontId="0" fillId="8" borderId="0" xfId="0" applyFill="1"/>
    <xf numFmtId="0" fontId="21" fillId="8" borderId="0" xfId="0" applyFont="1" applyFill="1"/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3">
    <cellStyle name="Normální" xfId="0" builtinId="0"/>
    <cellStyle name="Normální 2" xfId="1" xr:uid="{00000000-0005-0000-0000-000001000000}"/>
    <cellStyle name="Procenta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66"/>
      <rgbColor rgb="FFFFFF99"/>
      <rgbColor rgb="FF99CCFF"/>
      <rgbColor rgb="FFFF9999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2:T58"/>
  <sheetViews>
    <sheetView tabSelected="1" zoomScale="70" zoomScaleNormal="70" workbookViewId="0">
      <selection activeCell="O15" sqref="O15"/>
    </sheetView>
  </sheetViews>
  <sheetFormatPr baseColWidth="10" defaultColWidth="8.83203125" defaultRowHeight="13" x14ac:dyDescent="0.15"/>
  <cols>
    <col min="1" max="5" width="24.33203125" customWidth="1"/>
    <col min="6" max="6" width="27.6640625" customWidth="1"/>
    <col min="7" max="8" width="21.5" customWidth="1"/>
    <col min="9" max="9" width="25.5" customWidth="1"/>
    <col min="10" max="10" width="21.5" customWidth="1"/>
    <col min="11" max="11" width="14.1640625" customWidth="1"/>
    <col min="12" max="12" width="26.83203125" customWidth="1"/>
    <col min="13" max="1021" width="8.5" customWidth="1"/>
  </cols>
  <sheetData>
    <row r="2" spans="1:20" ht="17" thickBot="1" x14ac:dyDescent="0.25">
      <c r="A2" s="1" t="s">
        <v>118</v>
      </c>
      <c r="B2" s="1"/>
      <c r="C2" s="1"/>
      <c r="D2" s="1"/>
      <c r="E2" s="1"/>
      <c r="F2" s="2"/>
      <c r="G2" s="1" t="s">
        <v>117</v>
      </c>
      <c r="H2" s="1"/>
      <c r="I2" s="1"/>
      <c r="J2" s="1"/>
      <c r="K2" s="1"/>
    </row>
    <row r="3" spans="1:20" ht="17" thickBot="1" x14ac:dyDescent="0.25">
      <c r="A3" s="3"/>
      <c r="B3" s="148" t="s">
        <v>106</v>
      </c>
      <c r="C3" s="149"/>
      <c r="D3" s="148" t="s">
        <v>105</v>
      </c>
      <c r="E3" s="149"/>
      <c r="F3" s="4"/>
      <c r="G3" s="5" t="s">
        <v>14</v>
      </c>
      <c r="H3" s="15" t="s">
        <v>15</v>
      </c>
      <c r="I3" s="15"/>
      <c r="J3" s="18" t="s">
        <v>106</v>
      </c>
      <c r="K3" s="14" t="s">
        <v>105</v>
      </c>
    </row>
    <row r="4" spans="1:20" ht="21" customHeight="1" thickBot="1" x14ac:dyDescent="0.25">
      <c r="A4" s="6"/>
      <c r="B4" s="13" t="s">
        <v>6</v>
      </c>
      <c r="C4" s="13" t="s">
        <v>5</v>
      </c>
      <c r="D4" s="13" t="s">
        <v>6</v>
      </c>
      <c r="E4" s="13" t="s">
        <v>5</v>
      </c>
      <c r="F4" s="2"/>
      <c r="G4" s="12" t="s">
        <v>2</v>
      </c>
      <c r="H4" s="16" t="s">
        <v>16</v>
      </c>
      <c r="I4" s="143">
        <v>102000</v>
      </c>
      <c r="J4" s="96">
        <v>105000</v>
      </c>
      <c r="K4" s="21">
        <v>95000</v>
      </c>
      <c r="L4" s="94" t="s">
        <v>98</v>
      </c>
      <c r="M4" s="94"/>
    </row>
    <row r="5" spans="1:20" ht="21" customHeight="1" thickBot="1" x14ac:dyDescent="0.25">
      <c r="A5" s="7" t="s">
        <v>7</v>
      </c>
      <c r="B5" s="38">
        <f>F26</f>
        <v>40000</v>
      </c>
      <c r="C5" s="38">
        <f>D26</f>
        <v>250</v>
      </c>
      <c r="D5" s="38">
        <v>38400</v>
      </c>
      <c r="E5" s="38">
        <v>256</v>
      </c>
      <c r="F5" s="2"/>
      <c r="G5" s="12" t="s">
        <v>2</v>
      </c>
      <c r="H5" s="17" t="s">
        <v>17</v>
      </c>
      <c r="I5" s="136">
        <f t="shared" ref="I5:I11" si="0">J5</f>
        <v>0</v>
      </c>
      <c r="J5" s="20">
        <v>0</v>
      </c>
      <c r="K5" s="20">
        <v>0</v>
      </c>
      <c r="L5" s="103" t="s">
        <v>41</v>
      </c>
    </row>
    <row r="6" spans="1:20" ht="21" customHeight="1" thickBot="1" x14ac:dyDescent="0.25">
      <c r="A6" s="7" t="s">
        <v>9</v>
      </c>
      <c r="B6" s="38">
        <f>F29</f>
        <v>58800</v>
      </c>
      <c r="C6" s="38">
        <f>SUM(D27:D29)</f>
        <v>420</v>
      </c>
      <c r="D6" s="38">
        <v>51560</v>
      </c>
      <c r="E6" s="38">
        <v>419</v>
      </c>
      <c r="F6" s="2"/>
      <c r="G6" s="12" t="s">
        <v>2</v>
      </c>
      <c r="H6" s="17" t="s">
        <v>18</v>
      </c>
      <c r="I6" s="136">
        <f t="shared" si="0"/>
        <v>6000</v>
      </c>
      <c r="J6" s="20">
        <v>6000</v>
      </c>
      <c r="K6" s="20">
        <v>5500</v>
      </c>
      <c r="L6" s="94"/>
      <c r="M6" s="94" t="s">
        <v>124</v>
      </c>
    </row>
    <row r="7" spans="1:20" ht="21" customHeight="1" thickBot="1" x14ac:dyDescent="0.25">
      <c r="A7" s="7" t="s">
        <v>8</v>
      </c>
      <c r="B7" s="38">
        <f>F32</f>
        <v>72800</v>
      </c>
      <c r="C7" s="38">
        <f>SUM(D30:D32)</f>
        <v>380</v>
      </c>
      <c r="D7" s="38">
        <v>68900</v>
      </c>
      <c r="E7" s="38">
        <v>465</v>
      </c>
      <c r="F7" s="2"/>
      <c r="G7" s="12" t="s">
        <v>2</v>
      </c>
      <c r="H7" s="17" t="s">
        <v>19</v>
      </c>
      <c r="I7" s="132">
        <f>570+299</f>
        <v>869</v>
      </c>
      <c r="J7" s="20">
        <v>3000</v>
      </c>
      <c r="K7" s="20">
        <v>2000</v>
      </c>
      <c r="L7" s="94" t="s">
        <v>99</v>
      </c>
    </row>
    <row r="8" spans="1:20" ht="21" customHeight="1" thickBot="1" x14ac:dyDescent="0.25">
      <c r="A8" s="7" t="s">
        <v>10</v>
      </c>
      <c r="B8" s="38">
        <f>E35</f>
        <v>65000</v>
      </c>
      <c r="C8" s="38"/>
      <c r="D8" s="38">
        <v>85000</v>
      </c>
      <c r="E8" s="38"/>
      <c r="F8" s="2"/>
      <c r="G8" s="12" t="s">
        <v>2</v>
      </c>
      <c r="H8" s="17" t="s">
        <v>21</v>
      </c>
      <c r="I8" s="143">
        <f>1955+1134+1445.5</f>
        <v>4534.5</v>
      </c>
      <c r="J8" s="20">
        <v>3000</v>
      </c>
      <c r="K8" s="20">
        <v>2500</v>
      </c>
    </row>
    <row r="9" spans="1:20" ht="21" customHeight="1" thickBot="1" x14ac:dyDescent="0.25">
      <c r="A9" s="8" t="s">
        <v>12</v>
      </c>
      <c r="B9" s="39">
        <v>0</v>
      </c>
      <c r="C9" s="39"/>
      <c r="D9" s="39">
        <v>0</v>
      </c>
      <c r="E9" s="39"/>
      <c r="F9" s="2"/>
      <c r="G9" s="12" t="s">
        <v>22</v>
      </c>
      <c r="H9" s="17" t="s">
        <v>23</v>
      </c>
      <c r="I9" s="136">
        <v>6500</v>
      </c>
      <c r="J9" s="20">
        <v>9000</v>
      </c>
      <c r="K9" s="20">
        <v>8500</v>
      </c>
      <c r="M9" s="94" t="s">
        <v>124</v>
      </c>
    </row>
    <row r="10" spans="1:20" ht="21" customHeight="1" thickBot="1" x14ac:dyDescent="0.25">
      <c r="A10" s="9" t="s">
        <v>1</v>
      </c>
      <c r="B10" s="40">
        <f>SUM(B5:B9)</f>
        <v>236600</v>
      </c>
      <c r="C10" s="40"/>
      <c r="D10" s="40">
        <f>SUM(D5:D9)</f>
        <v>243860</v>
      </c>
      <c r="E10" s="40"/>
      <c r="F10" s="2"/>
      <c r="G10" s="12" t="s">
        <v>24</v>
      </c>
      <c r="H10" s="17" t="s">
        <v>25</v>
      </c>
      <c r="I10" s="132">
        <v>2389</v>
      </c>
      <c r="J10" s="20">
        <v>1500</v>
      </c>
      <c r="K10" s="20">
        <v>1500</v>
      </c>
    </row>
    <row r="11" spans="1:20" ht="21" customHeight="1" thickBot="1" x14ac:dyDescent="0.25">
      <c r="A11" s="2"/>
      <c r="B11" s="30"/>
      <c r="C11" s="30"/>
      <c r="D11" s="30"/>
      <c r="E11" s="30"/>
      <c r="F11" s="2"/>
      <c r="G11" s="12" t="s">
        <v>26</v>
      </c>
      <c r="H11" s="17" t="s">
        <v>27</v>
      </c>
      <c r="I11" s="144">
        <f t="shared" si="0"/>
        <v>1500</v>
      </c>
      <c r="J11" s="20">
        <v>1500</v>
      </c>
      <c r="K11" s="20">
        <v>1500</v>
      </c>
    </row>
    <row r="12" spans="1:20" ht="21" customHeight="1" thickBot="1" x14ac:dyDescent="0.25">
      <c r="A12" s="2"/>
      <c r="B12" s="31"/>
      <c r="C12" s="31"/>
      <c r="D12" s="31"/>
      <c r="E12" s="31"/>
      <c r="F12" s="2"/>
      <c r="G12" s="12" t="s">
        <v>26</v>
      </c>
      <c r="H12" s="17" t="s">
        <v>28</v>
      </c>
      <c r="I12" s="144">
        <v>700</v>
      </c>
      <c r="J12" s="20">
        <v>500</v>
      </c>
      <c r="K12" s="20">
        <v>500</v>
      </c>
    </row>
    <row r="13" spans="1:20" ht="21" customHeight="1" thickBot="1" x14ac:dyDescent="0.25">
      <c r="A13" s="2"/>
      <c r="B13" s="31"/>
      <c r="C13" s="31"/>
      <c r="D13" s="31"/>
      <c r="E13" s="31"/>
      <c r="F13" s="2"/>
      <c r="G13" s="12" t="s">
        <v>26</v>
      </c>
      <c r="H13" s="17" t="s">
        <v>29</v>
      </c>
      <c r="I13" s="144">
        <v>1800</v>
      </c>
      <c r="J13" s="20">
        <v>1500</v>
      </c>
      <c r="K13" s="20">
        <v>1500</v>
      </c>
    </row>
    <row r="14" spans="1:20" ht="21" customHeight="1" thickBot="1" x14ac:dyDescent="0.25">
      <c r="A14" s="2"/>
      <c r="B14" s="31"/>
      <c r="C14" s="31"/>
      <c r="D14" s="31"/>
      <c r="E14" s="31"/>
      <c r="F14" s="2"/>
      <c r="G14" s="12" t="s">
        <v>31</v>
      </c>
      <c r="H14" s="17" t="s">
        <v>30</v>
      </c>
      <c r="I14" s="143">
        <v>14520</v>
      </c>
      <c r="J14" s="20">
        <v>16000</v>
      </c>
      <c r="K14" s="20">
        <v>14520</v>
      </c>
    </row>
    <row r="15" spans="1:20" ht="21" customHeight="1" thickBot="1" x14ac:dyDescent="0.25">
      <c r="A15" s="2"/>
      <c r="B15" s="31"/>
      <c r="C15" s="31"/>
      <c r="D15" s="31"/>
      <c r="E15" s="31"/>
      <c r="F15" s="2"/>
      <c r="G15" s="12" t="s">
        <v>0</v>
      </c>
      <c r="H15" s="17" t="s">
        <v>32</v>
      </c>
      <c r="I15" s="143">
        <v>4000</v>
      </c>
      <c r="J15" s="20">
        <v>5000</v>
      </c>
      <c r="K15" s="20">
        <v>5000</v>
      </c>
    </row>
    <row r="16" spans="1:20" ht="21" customHeight="1" thickBot="1" x14ac:dyDescent="0.25">
      <c r="A16" s="2"/>
      <c r="B16" s="35"/>
      <c r="C16" s="35"/>
      <c r="D16" s="35"/>
      <c r="E16" s="31"/>
      <c r="F16" s="2"/>
      <c r="G16" s="12" t="s">
        <v>0</v>
      </c>
      <c r="H16" s="17" t="s">
        <v>20</v>
      </c>
      <c r="I16" s="144">
        <v>3005</v>
      </c>
      <c r="J16" s="20">
        <v>4000</v>
      </c>
      <c r="K16" s="20">
        <v>3000</v>
      </c>
      <c r="L16" s="146"/>
      <c r="M16" s="146"/>
      <c r="N16" s="146"/>
      <c r="O16" s="146"/>
      <c r="P16" s="146"/>
      <c r="Q16" s="146"/>
      <c r="R16" s="146"/>
      <c r="S16" s="146"/>
      <c r="T16" s="146"/>
    </row>
    <row r="17" spans="1:20" ht="21" customHeight="1" thickBot="1" x14ac:dyDescent="0.25">
      <c r="A17" s="33"/>
      <c r="B17" s="36"/>
      <c r="C17" s="44" t="s">
        <v>106</v>
      </c>
      <c r="D17" s="45" t="s">
        <v>105</v>
      </c>
      <c r="E17" s="32"/>
      <c r="F17" s="2"/>
      <c r="G17" s="12" t="s">
        <v>35</v>
      </c>
      <c r="H17" s="17" t="s">
        <v>36</v>
      </c>
      <c r="I17" s="143">
        <f>279+179+161+139+364+500+1955</f>
        <v>3577</v>
      </c>
      <c r="J17" s="20">
        <v>9000</v>
      </c>
      <c r="K17" s="20">
        <v>10000</v>
      </c>
      <c r="L17" s="146"/>
      <c r="M17" s="147" t="s">
        <v>125</v>
      </c>
      <c r="N17" s="146"/>
      <c r="O17" s="146"/>
      <c r="P17" s="146"/>
      <c r="Q17" s="146"/>
      <c r="R17" s="146"/>
      <c r="S17" s="146"/>
      <c r="T17" s="146"/>
    </row>
    <row r="18" spans="1:20" ht="21" customHeight="1" thickBot="1" x14ac:dyDescent="0.25">
      <c r="A18" s="33"/>
      <c r="B18" s="36" t="s">
        <v>37</v>
      </c>
      <c r="C18" s="38">
        <f>B10</f>
        <v>236600</v>
      </c>
      <c r="D18" s="41">
        <f>D10</f>
        <v>243860</v>
      </c>
      <c r="E18" s="32"/>
      <c r="F18" s="2"/>
      <c r="G18" s="12" t="s">
        <v>33</v>
      </c>
      <c r="H18" s="17" t="s">
        <v>34</v>
      </c>
      <c r="I18" s="143">
        <v>50100</v>
      </c>
      <c r="J18" s="20">
        <v>48000</v>
      </c>
      <c r="K18" s="20">
        <v>45000</v>
      </c>
      <c r="L18" s="146"/>
      <c r="M18" s="146"/>
      <c r="N18" s="146"/>
      <c r="O18" s="146"/>
      <c r="P18" s="146"/>
      <c r="Q18" s="146"/>
      <c r="R18" s="146"/>
      <c r="S18" s="146"/>
      <c r="T18" s="146"/>
    </row>
    <row r="19" spans="1:20" ht="21" customHeight="1" thickBot="1" x14ac:dyDescent="0.25">
      <c r="A19" s="33"/>
      <c r="B19" s="37" t="s">
        <v>38</v>
      </c>
      <c r="C19" s="39">
        <f>-J20</f>
        <v>-213000</v>
      </c>
      <c r="D19" s="42">
        <f>-K20</f>
        <v>-196020</v>
      </c>
      <c r="E19" s="32"/>
      <c r="F19" s="2"/>
      <c r="G19" s="23" t="s">
        <v>122</v>
      </c>
      <c r="H19" s="24"/>
      <c r="I19" s="143">
        <v>17726</v>
      </c>
      <c r="J19" s="25"/>
      <c r="K19" s="26"/>
    </row>
    <row r="20" spans="1:20" ht="21" customHeight="1" thickBot="1" x14ac:dyDescent="0.25">
      <c r="A20" s="33"/>
      <c r="B20" s="43" t="s">
        <v>1</v>
      </c>
      <c r="C20" s="46">
        <f>SUM(C18:C19)</f>
        <v>23600</v>
      </c>
      <c r="D20" s="46">
        <f>SUM(D18:D19)</f>
        <v>47840</v>
      </c>
      <c r="E20" s="32"/>
      <c r="F20" s="2"/>
      <c r="G20" s="9" t="s">
        <v>1</v>
      </c>
      <c r="H20" s="27"/>
      <c r="I20" s="137">
        <f>SUM(I4:I19)</f>
        <v>219220.5</v>
      </c>
      <c r="J20" s="28">
        <f>SUM(J4:J18)</f>
        <v>213000</v>
      </c>
      <c r="K20" s="29">
        <f>SUM(K4:K18)</f>
        <v>196020</v>
      </c>
    </row>
    <row r="21" spans="1:20" ht="16" x14ac:dyDescent="0.2">
      <c r="A21" s="10"/>
      <c r="B21" s="10"/>
      <c r="C21" s="10"/>
      <c r="D21" s="34"/>
      <c r="E21" s="10"/>
    </row>
    <row r="22" spans="1:20" ht="16" x14ac:dyDescent="0.2">
      <c r="A22" s="11"/>
      <c r="B22" s="11"/>
      <c r="C22" s="11"/>
      <c r="D22" s="11"/>
      <c r="E22" s="11"/>
      <c r="F22" s="2"/>
      <c r="G22" s="2"/>
      <c r="H22" s="2" t="s">
        <v>107</v>
      </c>
      <c r="I22" s="2"/>
      <c r="J22" s="124">
        <f>J20/K20-1</f>
        <v>8.6623813896541169E-2</v>
      </c>
      <c r="K22" s="145">
        <f>I20-K20</f>
        <v>23200.5</v>
      </c>
    </row>
    <row r="23" spans="1:20" ht="16" x14ac:dyDescent="0.2">
      <c r="A23" s="11"/>
      <c r="B23" s="11"/>
      <c r="C23" s="11"/>
      <c r="D23" s="11"/>
      <c r="E23" s="11"/>
    </row>
    <row r="24" spans="1:20" ht="17" thickBot="1" x14ac:dyDescent="0.25">
      <c r="A24" s="11"/>
      <c r="B24" s="11"/>
      <c r="C24" s="11"/>
      <c r="D24" s="11"/>
      <c r="E24" s="11"/>
    </row>
    <row r="25" spans="1:20" ht="19.5" customHeight="1" x14ac:dyDescent="0.25">
      <c r="A25" s="97" t="s">
        <v>60</v>
      </c>
      <c r="B25" s="74" t="s">
        <v>109</v>
      </c>
      <c r="C25" s="73" t="s">
        <v>112</v>
      </c>
      <c r="D25" s="73" t="s">
        <v>59</v>
      </c>
      <c r="E25" s="72" t="s">
        <v>96</v>
      </c>
      <c r="F25" s="72" t="s">
        <v>97</v>
      </c>
      <c r="G25" s="47"/>
      <c r="H25" s="47"/>
      <c r="I25" s="74" t="s">
        <v>109</v>
      </c>
      <c r="J25" s="73" t="s">
        <v>112</v>
      </c>
      <c r="K25" s="73" t="s">
        <v>110</v>
      </c>
      <c r="L25" s="73" t="s">
        <v>111</v>
      </c>
    </row>
    <row r="26" spans="1:20" ht="19.5" customHeight="1" thickBot="1" x14ac:dyDescent="0.25">
      <c r="A26" s="98" t="s">
        <v>108</v>
      </c>
      <c r="B26" s="99" t="s">
        <v>56</v>
      </c>
      <c r="C26" s="101">
        <v>160</v>
      </c>
      <c r="D26" s="100">
        <v>250</v>
      </c>
      <c r="E26" s="102">
        <f t="shared" ref="E26:E32" si="1">D26*C26</f>
        <v>40000</v>
      </c>
      <c r="F26" s="102">
        <f>E26</f>
        <v>40000</v>
      </c>
      <c r="G26" s="103" t="s">
        <v>55</v>
      </c>
      <c r="H26" s="103"/>
      <c r="I26" s="99" t="s">
        <v>56</v>
      </c>
      <c r="J26" s="101">
        <f>C26</f>
        <v>160</v>
      </c>
      <c r="K26" s="101">
        <v>150</v>
      </c>
      <c r="L26" s="125">
        <f>J26/K26-1</f>
        <v>6.6666666666666652E-2</v>
      </c>
    </row>
    <row r="27" spans="1:20" ht="19.5" customHeight="1" x14ac:dyDescent="0.2">
      <c r="A27" s="98"/>
      <c r="B27" s="105" t="s">
        <v>50</v>
      </c>
      <c r="C27" s="107">
        <v>160</v>
      </c>
      <c r="D27" s="106">
        <v>140</v>
      </c>
      <c r="E27" s="108">
        <f>D27*C27</f>
        <v>22400</v>
      </c>
      <c r="F27" s="108"/>
      <c r="G27" s="103"/>
      <c r="H27" s="103"/>
      <c r="I27" s="105" t="s">
        <v>50</v>
      </c>
      <c r="J27" s="107">
        <f t="shared" ref="J27:J32" si="2">C27</f>
        <v>160</v>
      </c>
      <c r="K27" s="107">
        <v>150</v>
      </c>
      <c r="L27" s="126">
        <f t="shared" ref="L27:L35" si="3">J27/K27-1</f>
        <v>6.6666666666666652E-2</v>
      </c>
    </row>
    <row r="28" spans="1:20" ht="19.5" customHeight="1" x14ac:dyDescent="0.2">
      <c r="A28" s="98"/>
      <c r="B28" s="109" t="s">
        <v>49</v>
      </c>
      <c r="C28" s="111">
        <v>120</v>
      </c>
      <c r="D28" s="110">
        <v>140</v>
      </c>
      <c r="E28" s="112">
        <f>D28*C28</f>
        <v>16800</v>
      </c>
      <c r="F28" s="112"/>
      <c r="G28" s="103"/>
      <c r="H28" s="103"/>
      <c r="I28" s="109" t="s">
        <v>49</v>
      </c>
      <c r="J28" s="111">
        <f t="shared" si="2"/>
        <v>120</v>
      </c>
      <c r="K28" s="111">
        <v>100</v>
      </c>
      <c r="L28" s="127">
        <f t="shared" si="3"/>
        <v>0.19999999999999996</v>
      </c>
    </row>
    <row r="29" spans="1:20" ht="19.5" customHeight="1" thickBot="1" x14ac:dyDescent="0.25">
      <c r="A29" s="98" t="s">
        <v>108</v>
      </c>
      <c r="B29" s="113" t="s">
        <v>47</v>
      </c>
      <c r="C29" s="115">
        <v>140</v>
      </c>
      <c r="D29" s="114">
        <v>140</v>
      </c>
      <c r="E29" s="116">
        <f>D29*C29</f>
        <v>19600</v>
      </c>
      <c r="F29" s="116">
        <f>SUM(E27:E29)</f>
        <v>58800</v>
      </c>
      <c r="G29" s="103" t="s">
        <v>46</v>
      </c>
      <c r="H29" s="103"/>
      <c r="I29" s="113" t="s">
        <v>47</v>
      </c>
      <c r="J29" s="115">
        <f t="shared" si="2"/>
        <v>140</v>
      </c>
      <c r="K29" s="115">
        <v>120</v>
      </c>
      <c r="L29" s="128">
        <f t="shared" si="3"/>
        <v>0.16666666666666674</v>
      </c>
    </row>
    <row r="30" spans="1:20" ht="19.5" customHeight="1" x14ac:dyDescent="0.2">
      <c r="A30" s="104"/>
      <c r="B30" s="105" t="s">
        <v>54</v>
      </c>
      <c r="C30" s="107">
        <v>220</v>
      </c>
      <c r="D30" s="106">
        <v>200</v>
      </c>
      <c r="E30" s="108">
        <f t="shared" si="1"/>
        <v>44000</v>
      </c>
      <c r="F30" s="108"/>
      <c r="G30" s="103"/>
      <c r="H30" s="103"/>
      <c r="I30" s="105" t="s">
        <v>54</v>
      </c>
      <c r="J30" s="107">
        <f t="shared" si="2"/>
        <v>220</v>
      </c>
      <c r="K30" s="107">
        <v>200</v>
      </c>
      <c r="L30" s="129">
        <f t="shared" si="3"/>
        <v>0.10000000000000009</v>
      </c>
    </row>
    <row r="31" spans="1:20" ht="19.5" customHeight="1" x14ac:dyDescent="0.2">
      <c r="A31" s="104"/>
      <c r="B31" s="109" t="s">
        <v>53</v>
      </c>
      <c r="C31" s="111">
        <v>160</v>
      </c>
      <c r="D31" s="110">
        <v>110</v>
      </c>
      <c r="E31" s="112">
        <f t="shared" si="1"/>
        <v>17600</v>
      </c>
      <c r="F31" s="112"/>
      <c r="G31" s="103"/>
      <c r="H31" s="103"/>
      <c r="I31" s="109" t="s">
        <v>53</v>
      </c>
      <c r="J31" s="111">
        <f t="shared" si="2"/>
        <v>160</v>
      </c>
      <c r="K31" s="111">
        <v>150</v>
      </c>
      <c r="L31" s="130">
        <f t="shared" si="3"/>
        <v>6.6666666666666652E-2</v>
      </c>
    </row>
    <row r="32" spans="1:20" ht="19.5" customHeight="1" thickBot="1" x14ac:dyDescent="0.25">
      <c r="A32" s="98" t="s">
        <v>108</v>
      </c>
      <c r="B32" s="113" t="s">
        <v>52</v>
      </c>
      <c r="C32" s="115">
        <v>160</v>
      </c>
      <c r="D32" s="114">
        <v>70</v>
      </c>
      <c r="E32" s="116">
        <f t="shared" si="1"/>
        <v>11200</v>
      </c>
      <c r="F32" s="116">
        <f>SUM(E30:E32)</f>
        <v>72800</v>
      </c>
      <c r="G32" s="103" t="s">
        <v>51</v>
      </c>
      <c r="H32" s="103"/>
      <c r="I32" s="113" t="s">
        <v>52</v>
      </c>
      <c r="J32" s="115">
        <f t="shared" si="2"/>
        <v>160</v>
      </c>
      <c r="K32" s="115">
        <v>150</v>
      </c>
      <c r="L32" s="131">
        <f t="shared" si="3"/>
        <v>6.6666666666666652E-2</v>
      </c>
    </row>
    <row r="33" spans="1:12" ht="18.75" customHeight="1" thickBot="1" x14ac:dyDescent="0.25">
      <c r="I33" s="105" t="s">
        <v>114</v>
      </c>
      <c r="J33" s="107">
        <f t="shared" ref="J33:K35" si="4">J27+J30</f>
        <v>380</v>
      </c>
      <c r="K33" s="107">
        <f t="shared" si="4"/>
        <v>350</v>
      </c>
      <c r="L33" s="126">
        <f t="shared" si="3"/>
        <v>8.5714285714285632E-2</v>
      </c>
    </row>
    <row r="34" spans="1:12" ht="19.5" customHeight="1" x14ac:dyDescent="0.2">
      <c r="A34" s="98"/>
      <c r="B34" s="103"/>
      <c r="C34" s="103"/>
      <c r="D34" s="105" t="s">
        <v>103</v>
      </c>
      <c r="E34" s="117">
        <f>SUM(E26:E32)</f>
        <v>171600</v>
      </c>
      <c r="F34" s="103"/>
      <c r="G34" s="103"/>
      <c r="H34" s="103"/>
      <c r="I34" s="109" t="s">
        <v>115</v>
      </c>
      <c r="J34" s="111">
        <f t="shared" si="4"/>
        <v>280</v>
      </c>
      <c r="K34" s="111">
        <f t="shared" si="4"/>
        <v>250</v>
      </c>
      <c r="L34" s="127">
        <f t="shared" si="3"/>
        <v>0.12000000000000011</v>
      </c>
    </row>
    <row r="35" spans="1:12" ht="19.5" customHeight="1" thickBot="1" x14ac:dyDescent="0.25">
      <c r="A35" s="103"/>
      <c r="B35" s="103"/>
      <c r="C35" s="103"/>
      <c r="D35" s="113" t="s">
        <v>10</v>
      </c>
      <c r="E35" s="116">
        <v>65000</v>
      </c>
      <c r="F35" s="103" t="s">
        <v>113</v>
      </c>
      <c r="G35" s="103"/>
      <c r="H35" s="103"/>
      <c r="I35" s="113" t="s">
        <v>116</v>
      </c>
      <c r="J35" s="115">
        <f t="shared" si="4"/>
        <v>300</v>
      </c>
      <c r="K35" s="115">
        <f t="shared" si="4"/>
        <v>270</v>
      </c>
      <c r="L35" s="128">
        <f t="shared" si="3"/>
        <v>0.11111111111111116</v>
      </c>
    </row>
    <row r="36" spans="1:12" ht="19.5" customHeight="1" x14ac:dyDescent="0.2">
      <c r="A36" s="103"/>
      <c r="B36" s="103"/>
      <c r="C36" s="103"/>
      <c r="D36" s="121" t="s">
        <v>37</v>
      </c>
      <c r="E36" s="118">
        <f>E34+E35</f>
        <v>236600</v>
      </c>
      <c r="F36" s="103"/>
      <c r="G36" s="103"/>
      <c r="H36" s="103"/>
    </row>
    <row r="37" spans="1:12" ht="19.5" customHeight="1" x14ac:dyDescent="0.2">
      <c r="A37" s="103"/>
      <c r="B37" s="103"/>
      <c r="C37" s="103"/>
      <c r="D37" s="122" t="s">
        <v>93</v>
      </c>
      <c r="E37" s="123">
        <f>$J$20</f>
        <v>213000</v>
      </c>
      <c r="F37" s="103"/>
      <c r="G37" s="103"/>
      <c r="H37" s="103"/>
    </row>
    <row r="38" spans="1:12" ht="19.5" customHeight="1" x14ac:dyDescent="0.2">
      <c r="A38" s="103"/>
      <c r="B38" s="103"/>
      <c r="C38" s="103"/>
      <c r="D38" s="119" t="s">
        <v>120</v>
      </c>
      <c r="E38" s="120">
        <f>E36-E37</f>
        <v>23600</v>
      </c>
      <c r="F38" s="103"/>
      <c r="G38" s="103"/>
      <c r="H38" s="103"/>
    </row>
    <row r="39" spans="1:12" ht="19.5" customHeight="1" x14ac:dyDescent="0.2">
      <c r="A39" s="103"/>
      <c r="B39" s="103"/>
      <c r="C39" s="103"/>
      <c r="D39" s="103"/>
      <c r="E39" s="103"/>
      <c r="F39" s="103"/>
      <c r="G39" s="103"/>
      <c r="H39" s="103"/>
    </row>
    <row r="41" spans="1:12" ht="16" x14ac:dyDescent="0.2">
      <c r="A41" s="11"/>
      <c r="B41" s="1" t="s">
        <v>119</v>
      </c>
      <c r="C41" s="11"/>
      <c r="D41" s="11"/>
      <c r="E41" s="11"/>
    </row>
    <row r="42" spans="1:12" ht="17" thickBot="1" x14ac:dyDescent="0.25">
      <c r="A42" s="11"/>
      <c r="B42" s="11"/>
      <c r="C42" s="11"/>
      <c r="D42" s="11"/>
      <c r="E42" s="11"/>
    </row>
    <row r="43" spans="1:12" ht="21" x14ac:dyDescent="0.25">
      <c r="A43" s="97" t="s">
        <v>60</v>
      </c>
      <c r="B43" s="74" t="s">
        <v>109</v>
      </c>
      <c r="C43" s="73" t="s">
        <v>112</v>
      </c>
      <c r="D43" s="73" t="s">
        <v>59</v>
      </c>
      <c r="E43" s="72" t="s">
        <v>96</v>
      </c>
      <c r="F43" s="72" t="s">
        <v>97</v>
      </c>
      <c r="G43" s="47"/>
    </row>
    <row r="44" spans="1:12" ht="17" thickBot="1" x14ac:dyDescent="0.25">
      <c r="A44" s="98" t="s">
        <v>108</v>
      </c>
      <c r="B44" s="99" t="s">
        <v>56</v>
      </c>
      <c r="C44" s="101">
        <v>160</v>
      </c>
      <c r="D44" s="100">
        <v>275</v>
      </c>
      <c r="E44" s="102">
        <f t="shared" ref="E44" si="5">D44*C44</f>
        <v>44000</v>
      </c>
      <c r="F44" s="102">
        <f>E44</f>
        <v>44000</v>
      </c>
      <c r="G44" s="103" t="s">
        <v>55</v>
      </c>
    </row>
    <row r="45" spans="1:12" ht="16" x14ac:dyDescent="0.2">
      <c r="A45" s="98"/>
      <c r="B45" s="105" t="s">
        <v>50</v>
      </c>
      <c r="C45" s="107">
        <v>160</v>
      </c>
      <c r="D45" s="106">
        <v>86</v>
      </c>
      <c r="E45" s="108">
        <f>D45*C45</f>
        <v>13760</v>
      </c>
      <c r="F45" s="108"/>
      <c r="G45" s="103"/>
    </row>
    <row r="46" spans="1:12" ht="16" x14ac:dyDescent="0.2">
      <c r="A46" s="98"/>
      <c r="B46" s="109" t="s">
        <v>49</v>
      </c>
      <c r="C46" s="111">
        <v>120</v>
      </c>
      <c r="D46" s="110">
        <v>81</v>
      </c>
      <c r="E46" s="112">
        <f>D46*C46</f>
        <v>9720</v>
      </c>
      <c r="F46" s="112"/>
      <c r="G46" s="103"/>
    </row>
    <row r="47" spans="1:12" ht="17" thickBot="1" x14ac:dyDescent="0.25">
      <c r="A47" s="98" t="s">
        <v>108</v>
      </c>
      <c r="B47" s="113" t="s">
        <v>47</v>
      </c>
      <c r="C47" s="115">
        <v>140</v>
      </c>
      <c r="D47" s="114">
        <v>114</v>
      </c>
      <c r="E47" s="116">
        <f>D47*C47</f>
        <v>15960</v>
      </c>
      <c r="F47" s="116">
        <f>SUM(E45:E47)</f>
        <v>39440</v>
      </c>
      <c r="G47" s="103" t="s">
        <v>46</v>
      </c>
    </row>
    <row r="48" spans="1:12" ht="16" x14ac:dyDescent="0.2">
      <c r="A48" s="104"/>
      <c r="B48" s="105" t="s">
        <v>54</v>
      </c>
      <c r="C48" s="107">
        <v>220</v>
      </c>
      <c r="D48" s="106">
        <v>157</v>
      </c>
      <c r="E48" s="108">
        <f t="shared" ref="E48:E51" si="6">D48*C48</f>
        <v>34540</v>
      </c>
      <c r="F48" s="108"/>
      <c r="G48" s="103"/>
    </row>
    <row r="49" spans="1:7" ht="16" x14ac:dyDescent="0.2">
      <c r="A49" s="104"/>
      <c r="B49" s="109" t="s">
        <v>53</v>
      </c>
      <c r="C49" s="111">
        <v>160</v>
      </c>
      <c r="D49" s="110">
        <v>114</v>
      </c>
      <c r="E49" s="112">
        <f t="shared" si="6"/>
        <v>18240</v>
      </c>
      <c r="F49" s="112"/>
      <c r="G49" s="103"/>
    </row>
    <row r="50" spans="1:7" ht="17" thickBot="1" x14ac:dyDescent="0.25">
      <c r="A50" s="98" t="s">
        <v>108</v>
      </c>
      <c r="B50" s="113" t="s">
        <v>52</v>
      </c>
      <c r="C50" s="115">
        <v>160</v>
      </c>
      <c r="D50" s="114">
        <v>73</v>
      </c>
      <c r="E50" s="116">
        <f t="shared" si="6"/>
        <v>11680</v>
      </c>
      <c r="F50" s="116">
        <f>SUM(E48:E50)</f>
        <v>64460</v>
      </c>
      <c r="G50" s="103" t="s">
        <v>51</v>
      </c>
    </row>
    <row r="51" spans="1:7" ht="17" thickBot="1" x14ac:dyDescent="0.25">
      <c r="A51" s="98"/>
      <c r="B51" s="138" t="s">
        <v>123</v>
      </c>
      <c r="C51" s="140">
        <v>50</v>
      </c>
      <c r="D51" s="141">
        <v>107</v>
      </c>
      <c r="E51" s="142">
        <f t="shared" si="6"/>
        <v>5350</v>
      </c>
      <c r="F51" s="139">
        <f>E51</f>
        <v>5350</v>
      </c>
      <c r="G51" s="103"/>
    </row>
    <row r="52" spans="1:7" ht="14" thickBot="1" x14ac:dyDescent="0.2"/>
    <row r="53" spans="1:7" ht="16" x14ac:dyDescent="0.2">
      <c r="A53" s="98"/>
      <c r="B53" s="103"/>
      <c r="C53" s="103"/>
      <c r="D53" s="105" t="s">
        <v>103</v>
      </c>
      <c r="E53" s="117">
        <f>SUM(E44:E51)</f>
        <v>153250</v>
      </c>
      <c r="F53" s="133">
        <f>E53-E34</f>
        <v>-18350</v>
      </c>
      <c r="G53" s="103"/>
    </row>
    <row r="54" spans="1:7" ht="17" thickBot="1" x14ac:dyDescent="0.25">
      <c r="A54" s="103"/>
      <c r="B54" s="103"/>
      <c r="C54" s="103"/>
      <c r="D54" s="113" t="s">
        <v>10</v>
      </c>
      <c r="E54" s="116">
        <v>65000</v>
      </c>
      <c r="F54" s="133">
        <f>E54-E35</f>
        <v>0</v>
      </c>
      <c r="G54" s="103"/>
    </row>
    <row r="55" spans="1:7" ht="16" x14ac:dyDescent="0.2">
      <c r="A55" s="103"/>
      <c r="B55" s="103"/>
      <c r="C55" s="103"/>
      <c r="D55" s="121" t="s">
        <v>37</v>
      </c>
      <c r="E55" s="118">
        <f>E53+E54</f>
        <v>218250</v>
      </c>
      <c r="F55" s="133">
        <f>E55-E36</f>
        <v>-18350</v>
      </c>
      <c r="G55" s="103"/>
    </row>
    <row r="56" spans="1:7" ht="16" x14ac:dyDescent="0.2">
      <c r="A56" s="103"/>
      <c r="B56" s="103"/>
      <c r="C56" s="103"/>
      <c r="D56" s="122" t="s">
        <v>93</v>
      </c>
      <c r="E56" s="123">
        <f>$I$20</f>
        <v>219220.5</v>
      </c>
      <c r="F56" s="133">
        <f>E37-E56</f>
        <v>-6220.5</v>
      </c>
      <c r="G56" s="103"/>
    </row>
    <row r="57" spans="1:7" ht="16" x14ac:dyDescent="0.2">
      <c r="A57" s="103"/>
      <c r="B57" s="103"/>
      <c r="C57" s="103"/>
      <c r="D57" s="134" t="s">
        <v>121</v>
      </c>
      <c r="E57" s="135">
        <f>E55-E56</f>
        <v>-970.5</v>
      </c>
      <c r="F57" s="133">
        <f>E57-E38</f>
        <v>-24570.5</v>
      </c>
      <c r="G57" s="103"/>
    </row>
    <row r="58" spans="1:7" ht="16" x14ac:dyDescent="0.2">
      <c r="A58" s="103"/>
      <c r="B58" s="103"/>
      <c r="C58" s="103"/>
      <c r="D58" s="103"/>
      <c r="E58" s="103"/>
      <c r="F58" s="103"/>
      <c r="G58" s="103"/>
    </row>
  </sheetData>
  <mergeCells count="2">
    <mergeCell ref="B3:C3"/>
    <mergeCell ref="D3:E3"/>
  </mergeCells>
  <pageMargins left="0" right="0" top="0.39374999999999999" bottom="0.39374999999999999" header="0.51180555555555496" footer="0.51180555555555496"/>
  <pageSetup paperSize="9" scale="62" firstPageNumber="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L38"/>
  <sheetViews>
    <sheetView zoomScale="70" zoomScaleNormal="70" workbookViewId="0">
      <selection activeCell="E34" sqref="E34"/>
    </sheetView>
  </sheetViews>
  <sheetFormatPr baseColWidth="10" defaultColWidth="8.83203125" defaultRowHeight="13" x14ac:dyDescent="0.15"/>
  <cols>
    <col min="1" max="5" width="24.33203125" customWidth="1"/>
    <col min="6" max="6" width="27.6640625" customWidth="1"/>
    <col min="7" max="10" width="21.5" customWidth="1"/>
    <col min="11" max="11" width="14.1640625" customWidth="1"/>
    <col min="12" max="12" width="15.83203125" customWidth="1"/>
    <col min="13" max="1021" width="8.5" customWidth="1"/>
  </cols>
  <sheetData>
    <row r="2" spans="1:12" ht="17" thickBot="1" x14ac:dyDescent="0.25">
      <c r="A2" s="1" t="s">
        <v>3</v>
      </c>
      <c r="B2" s="1"/>
      <c r="C2" s="1"/>
      <c r="D2" s="1"/>
      <c r="E2" s="1"/>
      <c r="F2" s="2"/>
      <c r="G2" s="1" t="s">
        <v>13</v>
      </c>
      <c r="H2" s="1"/>
      <c r="I2" s="1"/>
      <c r="J2" s="1"/>
    </row>
    <row r="3" spans="1:12" ht="17" thickBot="1" x14ac:dyDescent="0.25">
      <c r="A3" s="3"/>
      <c r="B3" s="148" t="s">
        <v>94</v>
      </c>
      <c r="C3" s="149"/>
      <c r="D3" s="148" t="s">
        <v>11</v>
      </c>
      <c r="E3" s="149"/>
      <c r="F3" s="4"/>
      <c r="G3" s="5" t="s">
        <v>14</v>
      </c>
      <c r="H3" s="15" t="s">
        <v>15</v>
      </c>
      <c r="I3" s="18" t="s">
        <v>94</v>
      </c>
      <c r="J3" s="14" t="s">
        <v>11</v>
      </c>
    </row>
    <row r="4" spans="1:12" ht="21" customHeight="1" thickBot="1" x14ac:dyDescent="0.25">
      <c r="A4" s="6"/>
      <c r="B4" s="13" t="s">
        <v>6</v>
      </c>
      <c r="C4" s="13" t="s">
        <v>5</v>
      </c>
      <c r="D4" s="13" t="s">
        <v>6</v>
      </c>
      <c r="E4" s="13" t="s">
        <v>5</v>
      </c>
      <c r="F4" s="2"/>
      <c r="G4" s="12" t="s">
        <v>2</v>
      </c>
      <c r="H4" s="16" t="s">
        <v>16</v>
      </c>
      <c r="I4" s="96">
        <v>105000</v>
      </c>
      <c r="J4" s="21">
        <v>78500</v>
      </c>
      <c r="K4" s="94" t="s">
        <v>98</v>
      </c>
      <c r="L4" s="94"/>
    </row>
    <row r="5" spans="1:12" ht="21" customHeight="1" x14ac:dyDescent="0.2">
      <c r="A5" s="7" t="s">
        <v>7</v>
      </c>
      <c r="B5" s="38">
        <f>F26</f>
        <v>60000</v>
      </c>
      <c r="C5" s="38">
        <f>D26</f>
        <v>300</v>
      </c>
      <c r="D5" s="38">
        <v>36000</v>
      </c>
      <c r="E5" s="38">
        <v>300</v>
      </c>
      <c r="F5" s="2"/>
      <c r="G5" s="12" t="s">
        <v>2</v>
      </c>
      <c r="H5" s="17" t="s">
        <v>17</v>
      </c>
      <c r="I5" s="20">
        <v>30000</v>
      </c>
      <c r="J5" s="22">
        <v>8000</v>
      </c>
      <c r="K5" s="103" t="s">
        <v>41</v>
      </c>
    </row>
    <row r="6" spans="1:12" ht="21" customHeight="1" x14ac:dyDescent="0.2">
      <c r="A6" s="7" t="s">
        <v>9</v>
      </c>
      <c r="B6" s="38">
        <f>F32</f>
        <v>71850</v>
      </c>
      <c r="C6" s="38">
        <f>SUM(D27:D29)</f>
        <v>465</v>
      </c>
      <c r="D6" s="38">
        <v>44340</v>
      </c>
      <c r="E6" s="38">
        <v>458</v>
      </c>
      <c r="F6" s="2"/>
      <c r="G6" s="12" t="s">
        <v>2</v>
      </c>
      <c r="H6" s="17" t="s">
        <v>18</v>
      </c>
      <c r="I6" s="20">
        <v>6500</v>
      </c>
      <c r="J6" s="22">
        <v>5900</v>
      </c>
    </row>
    <row r="7" spans="1:12" ht="21" customHeight="1" x14ac:dyDescent="0.2">
      <c r="A7" s="7" t="s">
        <v>8</v>
      </c>
      <c r="B7" s="38">
        <f>F29</f>
        <v>80550</v>
      </c>
      <c r="C7" s="38">
        <f>SUM(D30:D32)</f>
        <v>435</v>
      </c>
      <c r="D7" s="38">
        <v>45840</v>
      </c>
      <c r="E7" s="38">
        <v>465</v>
      </c>
      <c r="F7" s="2"/>
      <c r="G7" s="12" t="s">
        <v>2</v>
      </c>
      <c r="H7" s="17" t="s">
        <v>19</v>
      </c>
      <c r="I7" s="20">
        <v>3000</v>
      </c>
      <c r="J7" s="22">
        <v>1281</v>
      </c>
      <c r="K7" s="94" t="s">
        <v>99</v>
      </c>
    </row>
    <row r="8" spans="1:12" ht="21" customHeight="1" x14ac:dyDescent="0.2">
      <c r="A8" s="7" t="s">
        <v>10</v>
      </c>
      <c r="B8" s="38">
        <f>E34</f>
        <v>90000</v>
      </c>
      <c r="C8" s="38"/>
      <c r="D8" s="38">
        <v>75000</v>
      </c>
      <c r="E8" s="38"/>
      <c r="F8" s="2"/>
      <c r="G8" s="12" t="s">
        <v>2</v>
      </c>
      <c r="H8" s="17" t="s">
        <v>21</v>
      </c>
      <c r="I8" s="20">
        <v>3000</v>
      </c>
      <c r="J8" s="22">
        <v>2858</v>
      </c>
    </row>
    <row r="9" spans="1:12" ht="21" customHeight="1" thickBot="1" x14ac:dyDescent="0.25">
      <c r="A9" s="8" t="s">
        <v>12</v>
      </c>
      <c r="B9" s="39">
        <v>0</v>
      </c>
      <c r="C9" s="39"/>
      <c r="D9" s="39">
        <v>10000</v>
      </c>
      <c r="E9" s="39"/>
      <c r="F9" s="2"/>
      <c r="G9" s="12" t="s">
        <v>22</v>
      </c>
      <c r="H9" s="17" t="s">
        <v>23</v>
      </c>
      <c r="I9" s="20">
        <v>6000</v>
      </c>
      <c r="J9" s="22">
        <v>6100</v>
      </c>
    </row>
    <row r="10" spans="1:12" ht="21" customHeight="1" thickBot="1" x14ac:dyDescent="0.25">
      <c r="A10" s="9" t="s">
        <v>1</v>
      </c>
      <c r="B10" s="40">
        <f>SUM(B5:B9)</f>
        <v>302400</v>
      </c>
      <c r="C10" s="40"/>
      <c r="D10" s="40">
        <f>SUM(D5:D9)</f>
        <v>211180</v>
      </c>
      <c r="E10" s="40"/>
      <c r="F10" s="2"/>
      <c r="G10" s="12" t="s">
        <v>24</v>
      </c>
      <c r="H10" s="17" t="s">
        <v>25</v>
      </c>
      <c r="I10" s="20">
        <v>1000</v>
      </c>
      <c r="J10" s="22">
        <v>1029</v>
      </c>
    </row>
    <row r="11" spans="1:12" ht="21" customHeight="1" x14ac:dyDescent="0.2">
      <c r="A11" s="2"/>
      <c r="B11" s="30"/>
      <c r="C11" s="30"/>
      <c r="D11" s="30"/>
      <c r="E11" s="30"/>
      <c r="F11" s="2"/>
      <c r="G11" s="12" t="s">
        <v>26</v>
      </c>
      <c r="H11" s="17" t="s">
        <v>27</v>
      </c>
      <c r="I11" s="20">
        <v>1500</v>
      </c>
      <c r="J11" s="22">
        <v>1500</v>
      </c>
    </row>
    <row r="12" spans="1:12" ht="21" customHeight="1" x14ac:dyDescent="0.2">
      <c r="A12" s="2"/>
      <c r="B12" s="31"/>
      <c r="C12" s="31"/>
      <c r="D12" s="31"/>
      <c r="E12" s="31"/>
      <c r="F12" s="2"/>
      <c r="G12" s="12" t="s">
        <v>26</v>
      </c>
      <c r="H12" s="17" t="s">
        <v>28</v>
      </c>
      <c r="I12" s="20">
        <v>500</v>
      </c>
      <c r="J12" s="22">
        <v>500</v>
      </c>
    </row>
    <row r="13" spans="1:12" ht="21" customHeight="1" x14ac:dyDescent="0.2">
      <c r="A13" s="2"/>
      <c r="B13" s="31"/>
      <c r="C13" s="31"/>
      <c r="D13" s="31"/>
      <c r="E13" s="31"/>
      <c r="F13" s="2"/>
      <c r="G13" s="12" t="s">
        <v>26</v>
      </c>
      <c r="H13" s="17" t="s">
        <v>29</v>
      </c>
      <c r="I13" s="20">
        <v>1500</v>
      </c>
      <c r="J13" s="22">
        <v>1500</v>
      </c>
    </row>
    <row r="14" spans="1:12" ht="21" customHeight="1" x14ac:dyDescent="0.2">
      <c r="A14" s="2"/>
      <c r="B14" s="31"/>
      <c r="C14" s="31"/>
      <c r="D14" s="31"/>
      <c r="E14" s="31"/>
      <c r="F14" s="2"/>
      <c r="G14" s="12" t="s">
        <v>31</v>
      </c>
      <c r="H14" s="17" t="s">
        <v>30</v>
      </c>
      <c r="I14" s="20">
        <v>12100</v>
      </c>
      <c r="J14" s="22">
        <v>12100</v>
      </c>
    </row>
    <row r="15" spans="1:12" ht="21" customHeight="1" x14ac:dyDescent="0.2">
      <c r="A15" s="2"/>
      <c r="B15" s="31"/>
      <c r="C15" s="31"/>
      <c r="D15" s="31"/>
      <c r="E15" s="31"/>
      <c r="F15" s="2"/>
      <c r="G15" s="12" t="s">
        <v>0</v>
      </c>
      <c r="H15" s="17" t="s">
        <v>32</v>
      </c>
      <c r="I15" s="20">
        <v>5000</v>
      </c>
      <c r="J15" s="22">
        <v>5000</v>
      </c>
    </row>
    <row r="16" spans="1:12" ht="21" customHeight="1" thickBot="1" x14ac:dyDescent="0.25">
      <c r="A16" s="2"/>
      <c r="B16" s="35"/>
      <c r="C16" s="35"/>
      <c r="D16" s="35"/>
      <c r="E16" s="31"/>
      <c r="F16" s="2"/>
      <c r="G16" s="12" t="s">
        <v>0</v>
      </c>
      <c r="H16" s="17" t="s">
        <v>20</v>
      </c>
      <c r="I16" s="20">
        <v>4000</v>
      </c>
      <c r="J16" s="22">
        <v>3618</v>
      </c>
    </row>
    <row r="17" spans="1:10" ht="21" customHeight="1" x14ac:dyDescent="0.2">
      <c r="A17" s="33"/>
      <c r="B17" s="36"/>
      <c r="C17" s="44" t="s">
        <v>94</v>
      </c>
      <c r="D17" s="45" t="s">
        <v>11</v>
      </c>
      <c r="E17" s="32"/>
      <c r="F17" s="2"/>
      <c r="G17" s="12" t="s">
        <v>35</v>
      </c>
      <c r="H17" s="17" t="s">
        <v>36</v>
      </c>
      <c r="I17" s="20">
        <v>9000</v>
      </c>
      <c r="J17" s="22">
        <f>10798+418+1946</f>
        <v>13162</v>
      </c>
    </row>
    <row r="18" spans="1:10" ht="21" customHeight="1" x14ac:dyDescent="0.2">
      <c r="A18" s="33"/>
      <c r="B18" s="36" t="s">
        <v>37</v>
      </c>
      <c r="C18" s="38">
        <f>B10</f>
        <v>302400</v>
      </c>
      <c r="D18" s="41">
        <f>D10</f>
        <v>211180</v>
      </c>
      <c r="E18" s="32"/>
      <c r="F18" s="2"/>
      <c r="G18" s="12" t="s">
        <v>33</v>
      </c>
      <c r="H18" s="17" t="s">
        <v>34</v>
      </c>
      <c r="I18" s="95">
        <v>45000</v>
      </c>
      <c r="J18" s="22">
        <v>37600</v>
      </c>
    </row>
    <row r="19" spans="1:10" ht="21" customHeight="1" thickBot="1" x14ac:dyDescent="0.25">
      <c r="A19" s="33"/>
      <c r="B19" s="37" t="s">
        <v>38</v>
      </c>
      <c r="C19" s="39">
        <f>-I20</f>
        <v>-233100</v>
      </c>
      <c r="D19" s="42">
        <f>-J20</f>
        <v>-178648</v>
      </c>
      <c r="E19" s="32"/>
      <c r="F19" s="2"/>
      <c r="G19" s="23"/>
      <c r="H19" s="24"/>
      <c r="I19" s="25"/>
      <c r="J19" s="26"/>
    </row>
    <row r="20" spans="1:10" ht="21" customHeight="1" thickBot="1" x14ac:dyDescent="0.25">
      <c r="A20" s="33"/>
      <c r="B20" s="43" t="s">
        <v>1</v>
      </c>
      <c r="C20" s="46">
        <f>SUM(C18:C19)</f>
        <v>69300</v>
      </c>
      <c r="D20" s="46">
        <f>SUM(D18:D19)</f>
        <v>32532</v>
      </c>
      <c r="E20" s="32"/>
      <c r="F20" s="2"/>
      <c r="G20" s="9" t="s">
        <v>1</v>
      </c>
      <c r="H20" s="27"/>
      <c r="I20" s="28">
        <f>SUM(I4:I18)</f>
        <v>233100</v>
      </c>
      <c r="J20" s="29">
        <f>SUM(J4:J18)</f>
        <v>178648</v>
      </c>
    </row>
    <row r="21" spans="1:10" ht="16" x14ac:dyDescent="0.2">
      <c r="A21" s="10"/>
      <c r="B21" s="10"/>
      <c r="C21" s="10"/>
      <c r="D21" s="34"/>
      <c r="E21" s="10"/>
    </row>
    <row r="22" spans="1:10" ht="16" x14ac:dyDescent="0.2">
      <c r="A22" s="11"/>
      <c r="B22" s="11"/>
      <c r="C22" s="11"/>
      <c r="D22" s="11"/>
      <c r="E22" s="11"/>
      <c r="F22" s="2"/>
      <c r="G22" s="2"/>
      <c r="H22" s="2"/>
      <c r="I22" s="2"/>
      <c r="J22" s="2"/>
    </row>
    <row r="23" spans="1:10" ht="16" x14ac:dyDescent="0.2">
      <c r="A23" s="11"/>
      <c r="B23" s="11"/>
      <c r="C23" s="11"/>
      <c r="D23" s="11"/>
      <c r="E23" s="11"/>
    </row>
    <row r="24" spans="1:10" ht="17" thickBot="1" x14ac:dyDescent="0.25">
      <c r="A24" s="11"/>
      <c r="B24" s="11"/>
      <c r="C24" s="11"/>
      <c r="D24" s="11"/>
      <c r="E24" s="11"/>
    </row>
    <row r="25" spans="1:10" ht="19.5" customHeight="1" x14ac:dyDescent="0.25">
      <c r="A25" s="97" t="s">
        <v>60</v>
      </c>
      <c r="B25" s="74" t="s">
        <v>95</v>
      </c>
      <c r="C25" s="73" t="s">
        <v>58</v>
      </c>
      <c r="D25" s="73" t="s">
        <v>59</v>
      </c>
      <c r="E25" s="72" t="s">
        <v>96</v>
      </c>
      <c r="F25" s="72" t="s">
        <v>97</v>
      </c>
      <c r="G25" s="47"/>
      <c r="H25" s="47"/>
    </row>
    <row r="26" spans="1:10" ht="19.5" customHeight="1" thickBot="1" x14ac:dyDescent="0.25">
      <c r="A26" s="98" t="s">
        <v>100</v>
      </c>
      <c r="B26" s="99" t="s">
        <v>56</v>
      </c>
      <c r="C26" s="101">
        <v>200</v>
      </c>
      <c r="D26" s="100">
        <v>300</v>
      </c>
      <c r="E26" s="102">
        <f t="shared" ref="E26:E32" si="0">D26*C26</f>
        <v>60000</v>
      </c>
      <c r="F26" s="102">
        <f>E26</f>
        <v>60000</v>
      </c>
      <c r="G26" s="103" t="s">
        <v>55</v>
      </c>
      <c r="H26" s="103"/>
    </row>
    <row r="27" spans="1:10" ht="19.5" customHeight="1" x14ac:dyDescent="0.2">
      <c r="A27" s="104"/>
      <c r="B27" s="105" t="s">
        <v>54</v>
      </c>
      <c r="C27" s="107">
        <v>200</v>
      </c>
      <c r="D27" s="106">
        <v>216</v>
      </c>
      <c r="E27" s="108">
        <f t="shared" si="0"/>
        <v>43200</v>
      </c>
      <c r="F27" s="108"/>
      <c r="G27" s="103"/>
      <c r="H27" s="103"/>
    </row>
    <row r="28" spans="1:10" ht="19.5" customHeight="1" x14ac:dyDescent="0.2">
      <c r="A28" s="104"/>
      <c r="B28" s="109" t="s">
        <v>53</v>
      </c>
      <c r="C28" s="111">
        <v>150</v>
      </c>
      <c r="D28" s="110">
        <v>117</v>
      </c>
      <c r="E28" s="112">
        <f t="shared" si="0"/>
        <v>17550</v>
      </c>
      <c r="F28" s="112"/>
      <c r="G28" s="103"/>
      <c r="H28" s="103"/>
    </row>
    <row r="29" spans="1:10" ht="19.5" customHeight="1" thickBot="1" x14ac:dyDescent="0.25">
      <c r="A29" s="98" t="s">
        <v>100</v>
      </c>
      <c r="B29" s="113" t="s">
        <v>52</v>
      </c>
      <c r="C29" s="115">
        <v>150</v>
      </c>
      <c r="D29" s="114">
        <v>132</v>
      </c>
      <c r="E29" s="116">
        <f t="shared" si="0"/>
        <v>19800</v>
      </c>
      <c r="F29" s="116">
        <f>SUM(E27:E29)</f>
        <v>80550</v>
      </c>
      <c r="G29" s="103" t="s">
        <v>51</v>
      </c>
      <c r="H29" s="103" t="s">
        <v>102</v>
      </c>
    </row>
    <row r="30" spans="1:10" ht="19.5" customHeight="1" x14ac:dyDescent="0.2">
      <c r="A30" s="98"/>
      <c r="B30" s="105" t="s">
        <v>50</v>
      </c>
      <c r="C30" s="107">
        <v>200</v>
      </c>
      <c r="D30" s="106">
        <v>132</v>
      </c>
      <c r="E30" s="108">
        <f t="shared" si="0"/>
        <v>26400</v>
      </c>
      <c r="F30" s="108"/>
      <c r="G30" s="103"/>
      <c r="H30" s="103"/>
    </row>
    <row r="31" spans="1:10" ht="19.5" customHeight="1" x14ac:dyDescent="0.2">
      <c r="A31" s="98"/>
      <c r="B31" s="109" t="s">
        <v>49</v>
      </c>
      <c r="C31" s="111">
        <v>150</v>
      </c>
      <c r="D31" s="110">
        <v>90</v>
      </c>
      <c r="E31" s="112">
        <f t="shared" si="0"/>
        <v>13500</v>
      </c>
      <c r="F31" s="112"/>
      <c r="G31" s="103"/>
      <c r="H31" s="103"/>
    </row>
    <row r="32" spans="1:10" ht="19.5" customHeight="1" thickBot="1" x14ac:dyDescent="0.25">
      <c r="A32" s="98" t="s">
        <v>100</v>
      </c>
      <c r="B32" s="113" t="s">
        <v>47</v>
      </c>
      <c r="C32" s="115">
        <v>150</v>
      </c>
      <c r="D32" s="114">
        <v>213</v>
      </c>
      <c r="E32" s="116">
        <f t="shared" si="0"/>
        <v>31950</v>
      </c>
      <c r="F32" s="116">
        <f>SUM(E30:E32)</f>
        <v>71850</v>
      </c>
      <c r="G32" s="103" t="s">
        <v>46</v>
      </c>
      <c r="H32" s="103"/>
    </row>
    <row r="33" spans="1:8" ht="19.5" customHeight="1" x14ac:dyDescent="0.2">
      <c r="A33" s="98"/>
      <c r="B33" s="103"/>
      <c r="C33" s="103"/>
      <c r="D33" s="105" t="s">
        <v>103</v>
      </c>
      <c r="E33" s="117">
        <f>SUM(E26:E32)</f>
        <v>212400</v>
      </c>
      <c r="F33" s="103"/>
      <c r="G33" s="103"/>
      <c r="H33" s="103"/>
    </row>
    <row r="34" spans="1:8" ht="19.5" customHeight="1" thickBot="1" x14ac:dyDescent="0.25">
      <c r="A34" s="103"/>
      <c r="B34" s="103"/>
      <c r="C34" s="103"/>
      <c r="D34" s="113" t="s">
        <v>10</v>
      </c>
      <c r="E34" s="116">
        <f>65000+25000</f>
        <v>90000</v>
      </c>
      <c r="F34" s="103" t="s">
        <v>101</v>
      </c>
      <c r="G34" s="103"/>
      <c r="H34" s="103"/>
    </row>
    <row r="35" spans="1:8" ht="19.5" customHeight="1" x14ac:dyDescent="0.2">
      <c r="A35" s="103"/>
      <c r="B35" s="103"/>
      <c r="C35" s="103"/>
      <c r="D35" s="121" t="s">
        <v>37</v>
      </c>
      <c r="E35" s="118">
        <f>E33+E34</f>
        <v>302400</v>
      </c>
      <c r="F35" s="103"/>
      <c r="G35" s="103"/>
      <c r="H35" s="103"/>
    </row>
    <row r="36" spans="1:8" ht="19.5" customHeight="1" x14ac:dyDescent="0.2">
      <c r="A36" s="103"/>
      <c r="B36" s="103"/>
      <c r="C36" s="103"/>
      <c r="D36" s="122" t="s">
        <v>93</v>
      </c>
      <c r="E36" s="123">
        <f>I20</f>
        <v>233100</v>
      </c>
      <c r="F36" s="103"/>
      <c r="G36" s="103"/>
      <c r="H36" s="103"/>
    </row>
    <row r="37" spans="1:8" ht="19.5" customHeight="1" x14ac:dyDescent="0.2">
      <c r="A37" s="103"/>
      <c r="B37" s="103"/>
      <c r="C37" s="103"/>
      <c r="D37" s="119" t="s">
        <v>104</v>
      </c>
      <c r="E37" s="120">
        <f>E35-E36</f>
        <v>69300</v>
      </c>
      <c r="F37" s="103"/>
      <c r="G37" s="103"/>
      <c r="H37" s="103"/>
    </row>
    <row r="38" spans="1:8" ht="19.5" customHeight="1" x14ac:dyDescent="0.2">
      <c r="A38" s="103"/>
      <c r="B38" s="103"/>
      <c r="C38" s="103"/>
      <c r="D38" s="103"/>
      <c r="E38" s="103"/>
      <c r="F38" s="103"/>
      <c r="G38" s="103"/>
      <c r="H38" s="103"/>
    </row>
  </sheetData>
  <mergeCells count="2">
    <mergeCell ref="B3:C3"/>
    <mergeCell ref="D3:E3"/>
  </mergeCells>
  <pageMargins left="0" right="0" top="0.39374999999999999" bottom="0.39374999999999999" header="0.51180555555555496" footer="0.51180555555555496"/>
  <pageSetup paperSize="9" firstPageNumber="0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2:J29"/>
  <sheetViews>
    <sheetView topLeftCell="A7" zoomScale="70" zoomScaleNormal="70" workbookViewId="0">
      <selection activeCell="D27" sqref="D27"/>
    </sheetView>
  </sheetViews>
  <sheetFormatPr baseColWidth="10" defaultColWidth="8.83203125" defaultRowHeight="13" x14ac:dyDescent="0.15"/>
  <cols>
    <col min="1" max="5" width="24.33203125" customWidth="1"/>
    <col min="6" max="6" width="1" customWidth="1"/>
    <col min="7" max="10" width="21.5" customWidth="1"/>
    <col min="11" max="11" width="14.1640625" customWidth="1"/>
    <col min="12" max="12" width="15.83203125" customWidth="1"/>
    <col min="13" max="1021" width="8.5" customWidth="1"/>
  </cols>
  <sheetData>
    <row r="2" spans="1:10" ht="17" thickBot="1" x14ac:dyDescent="0.25">
      <c r="A2" s="1" t="s">
        <v>3</v>
      </c>
      <c r="B2" s="1"/>
      <c r="C2" s="1"/>
      <c r="D2" s="1"/>
      <c r="E2" s="1"/>
      <c r="F2" s="2"/>
      <c r="G2" s="1" t="s">
        <v>13</v>
      </c>
      <c r="H2" s="1"/>
      <c r="I2" s="1"/>
      <c r="J2" s="1"/>
    </row>
    <row r="3" spans="1:10" ht="17" thickBot="1" x14ac:dyDescent="0.25">
      <c r="A3" s="3"/>
      <c r="B3" s="148" t="s">
        <v>94</v>
      </c>
      <c r="C3" s="149"/>
      <c r="D3" s="148" t="s">
        <v>11</v>
      </c>
      <c r="E3" s="149"/>
      <c r="F3" s="4"/>
      <c r="G3" s="5" t="s">
        <v>14</v>
      </c>
      <c r="H3" s="15" t="s">
        <v>15</v>
      </c>
      <c r="I3" s="18" t="s">
        <v>94</v>
      </c>
      <c r="J3" s="14" t="s">
        <v>11</v>
      </c>
    </row>
    <row r="4" spans="1:10" ht="21" customHeight="1" thickBot="1" x14ac:dyDescent="0.25">
      <c r="A4" s="6"/>
      <c r="B4" s="13" t="s">
        <v>6</v>
      </c>
      <c r="C4" s="13" t="s">
        <v>5</v>
      </c>
      <c r="D4" s="13" t="s">
        <v>6</v>
      </c>
      <c r="E4" s="13" t="s">
        <v>5</v>
      </c>
      <c r="F4" s="2"/>
      <c r="G4" s="12" t="s">
        <v>2</v>
      </c>
      <c r="H4" s="16" t="s">
        <v>16</v>
      </c>
      <c r="I4" s="96">
        <v>120000</v>
      </c>
      <c r="J4" s="21">
        <v>78500</v>
      </c>
    </row>
    <row r="5" spans="1:10" ht="21" customHeight="1" x14ac:dyDescent="0.2">
      <c r="A5" s="7" t="s">
        <v>7</v>
      </c>
      <c r="B5" s="38">
        <f>'Ceny Hamerák 2019 vs 2020'!N3</f>
        <v>59400</v>
      </c>
      <c r="C5" s="38">
        <f>'Ceny Hamerák 2019 vs 2020'!K3</f>
        <v>330</v>
      </c>
      <c r="D5" s="38">
        <v>36000</v>
      </c>
      <c r="E5" s="38">
        <v>300</v>
      </c>
      <c r="F5" s="2"/>
      <c r="G5" s="12" t="s">
        <v>2</v>
      </c>
      <c r="H5" s="17" t="s">
        <v>17</v>
      </c>
      <c r="I5" s="20">
        <v>30000</v>
      </c>
      <c r="J5" s="22">
        <v>8000</v>
      </c>
    </row>
    <row r="6" spans="1:10" ht="21" customHeight="1" x14ac:dyDescent="0.2">
      <c r="A6" s="7" t="s">
        <v>9</v>
      </c>
      <c r="B6" s="38">
        <f>'Ceny Hamerák 2019 vs 2020'!N9</f>
        <v>66132</v>
      </c>
      <c r="C6" s="38">
        <f>'Ceny Hamerák 2019 vs 2020'!K7+'Ceny Hamerák 2019 vs 2020'!K8+'Ceny Hamerák 2019 vs 2020'!K9</f>
        <v>478.50000000000006</v>
      </c>
      <c r="D6" s="38">
        <v>44340</v>
      </c>
      <c r="E6" s="38">
        <v>458</v>
      </c>
      <c r="F6" s="2"/>
      <c r="G6" s="12" t="s">
        <v>2</v>
      </c>
      <c r="H6" s="17" t="s">
        <v>18</v>
      </c>
      <c r="I6" s="20">
        <v>6000</v>
      </c>
      <c r="J6" s="22">
        <v>5900</v>
      </c>
    </row>
    <row r="7" spans="1:10" ht="21" customHeight="1" x14ac:dyDescent="0.2">
      <c r="A7" s="7" t="s">
        <v>8</v>
      </c>
      <c r="B7" s="38">
        <f>'Ceny Hamerák 2019 vs 2020'!N6</f>
        <v>61884</v>
      </c>
      <c r="C7" s="38">
        <f>'Ceny Hamerák 2019 vs 2020'!K4+'Ceny Hamerák 2019 vs 2020'!K5+'Ceny Hamerák 2019 vs 2020'!K6</f>
        <v>418.5</v>
      </c>
      <c r="D7" s="38">
        <v>45840</v>
      </c>
      <c r="E7" s="38">
        <v>465</v>
      </c>
      <c r="F7" s="2"/>
      <c r="G7" s="12" t="s">
        <v>2</v>
      </c>
      <c r="H7" s="17" t="s">
        <v>19</v>
      </c>
      <c r="I7" s="20">
        <v>1200</v>
      </c>
      <c r="J7" s="22">
        <v>1281</v>
      </c>
    </row>
    <row r="8" spans="1:10" ht="21" customHeight="1" x14ac:dyDescent="0.2">
      <c r="A8" s="7" t="s">
        <v>10</v>
      </c>
      <c r="B8" s="38">
        <v>65000</v>
      </c>
      <c r="C8" s="38"/>
      <c r="D8" s="38">
        <v>75000</v>
      </c>
      <c r="E8" s="38"/>
      <c r="F8" s="2"/>
      <c r="G8" s="12" t="s">
        <v>2</v>
      </c>
      <c r="H8" s="17" t="s">
        <v>21</v>
      </c>
      <c r="I8" s="20">
        <v>3000</v>
      </c>
      <c r="J8" s="22">
        <v>2858</v>
      </c>
    </row>
    <row r="9" spans="1:10" ht="21" customHeight="1" thickBot="1" x14ac:dyDescent="0.25">
      <c r="A9" s="8" t="s">
        <v>12</v>
      </c>
      <c r="B9" s="39">
        <v>0</v>
      </c>
      <c r="C9" s="39"/>
      <c r="D9" s="39">
        <v>10000</v>
      </c>
      <c r="E9" s="39"/>
      <c r="F9" s="2"/>
      <c r="G9" s="12" t="s">
        <v>22</v>
      </c>
      <c r="H9" s="17" t="s">
        <v>23</v>
      </c>
      <c r="I9" s="20">
        <v>6000</v>
      </c>
      <c r="J9" s="22">
        <v>6100</v>
      </c>
    </row>
    <row r="10" spans="1:10" ht="21" customHeight="1" thickBot="1" x14ac:dyDescent="0.25">
      <c r="A10" s="9" t="s">
        <v>1</v>
      </c>
      <c r="B10" s="40">
        <f>SUM(B5:B9)</f>
        <v>252416</v>
      </c>
      <c r="C10" s="40"/>
      <c r="D10" s="40">
        <f>SUM(D5:D9)</f>
        <v>211180</v>
      </c>
      <c r="E10" s="40"/>
      <c r="F10" s="2"/>
      <c r="G10" s="12" t="s">
        <v>24</v>
      </c>
      <c r="H10" s="17" t="s">
        <v>25</v>
      </c>
      <c r="I10" s="20">
        <v>1000</v>
      </c>
      <c r="J10" s="22">
        <v>1029</v>
      </c>
    </row>
    <row r="11" spans="1:10" ht="21" customHeight="1" x14ac:dyDescent="0.2">
      <c r="A11" s="2"/>
      <c r="B11" s="30"/>
      <c r="C11" s="30"/>
      <c r="D11" s="30"/>
      <c r="E11" s="30"/>
      <c r="F11" s="2"/>
      <c r="G11" s="12" t="s">
        <v>26</v>
      </c>
      <c r="H11" s="17" t="s">
        <v>27</v>
      </c>
      <c r="I11" s="20">
        <v>1500</v>
      </c>
      <c r="J11" s="22">
        <v>1500</v>
      </c>
    </row>
    <row r="12" spans="1:10" ht="21" customHeight="1" x14ac:dyDescent="0.2">
      <c r="A12" s="2"/>
      <c r="B12" s="31"/>
      <c r="C12" s="31"/>
      <c r="D12" s="31"/>
      <c r="E12" s="31"/>
      <c r="F12" s="2"/>
      <c r="G12" s="12" t="s">
        <v>26</v>
      </c>
      <c r="H12" s="17" t="s">
        <v>28</v>
      </c>
      <c r="I12" s="20">
        <v>500</v>
      </c>
      <c r="J12" s="22">
        <v>500</v>
      </c>
    </row>
    <row r="13" spans="1:10" ht="21" customHeight="1" x14ac:dyDescent="0.2">
      <c r="A13" s="2"/>
      <c r="B13" s="31"/>
      <c r="C13" s="31"/>
      <c r="D13" s="31"/>
      <c r="E13" s="31"/>
      <c r="F13" s="2"/>
      <c r="G13" s="12" t="s">
        <v>26</v>
      </c>
      <c r="H13" s="17" t="s">
        <v>29</v>
      </c>
      <c r="I13" s="20">
        <v>1500</v>
      </c>
      <c r="J13" s="22">
        <v>1500</v>
      </c>
    </row>
    <row r="14" spans="1:10" ht="21" customHeight="1" x14ac:dyDescent="0.2">
      <c r="A14" s="2"/>
      <c r="B14" s="31"/>
      <c r="C14" s="31"/>
      <c r="D14" s="31"/>
      <c r="E14" s="31"/>
      <c r="F14" s="2"/>
      <c r="G14" s="12" t="s">
        <v>31</v>
      </c>
      <c r="H14" s="17" t="s">
        <v>30</v>
      </c>
      <c r="I14" s="20">
        <v>12100</v>
      </c>
      <c r="J14" s="22">
        <v>12100</v>
      </c>
    </row>
    <row r="15" spans="1:10" ht="21" customHeight="1" x14ac:dyDescent="0.2">
      <c r="A15" s="2"/>
      <c r="B15" s="31"/>
      <c r="C15" s="31"/>
      <c r="D15" s="31"/>
      <c r="E15" s="31"/>
      <c r="F15" s="2"/>
      <c r="G15" s="12" t="s">
        <v>0</v>
      </c>
      <c r="H15" s="17" t="s">
        <v>32</v>
      </c>
      <c r="I15" s="20">
        <v>5000</v>
      </c>
      <c r="J15" s="22">
        <v>5000</v>
      </c>
    </row>
    <row r="16" spans="1:10" ht="21" customHeight="1" thickBot="1" x14ac:dyDescent="0.25">
      <c r="A16" s="2"/>
      <c r="B16" s="35"/>
      <c r="C16" s="35"/>
      <c r="D16" s="35"/>
      <c r="E16" s="31"/>
      <c r="F16" s="2"/>
      <c r="G16" s="12" t="s">
        <v>0</v>
      </c>
      <c r="H16" s="17" t="s">
        <v>20</v>
      </c>
      <c r="I16" s="20">
        <v>4000</v>
      </c>
      <c r="J16" s="22">
        <v>3618</v>
      </c>
    </row>
    <row r="17" spans="1:10" ht="21" customHeight="1" x14ac:dyDescent="0.2">
      <c r="A17" s="33"/>
      <c r="B17" s="36"/>
      <c r="C17" s="44" t="s">
        <v>94</v>
      </c>
      <c r="D17" s="45" t="s">
        <v>11</v>
      </c>
      <c r="E17" s="32"/>
      <c r="F17" s="2"/>
      <c r="G17" s="12" t="s">
        <v>35</v>
      </c>
      <c r="H17" s="17" t="s">
        <v>36</v>
      </c>
      <c r="I17" s="20">
        <v>9000</v>
      </c>
      <c r="J17" s="22">
        <f>10798+418+1946</f>
        <v>13162</v>
      </c>
    </row>
    <row r="18" spans="1:10" ht="21" customHeight="1" x14ac:dyDescent="0.2">
      <c r="A18" s="33"/>
      <c r="B18" s="36" t="s">
        <v>37</v>
      </c>
      <c r="C18" s="38">
        <f>B10</f>
        <v>252416</v>
      </c>
      <c r="D18" s="41">
        <f>D10</f>
        <v>211180</v>
      </c>
      <c r="E18" s="32"/>
      <c r="F18" s="2"/>
      <c r="G18" s="12" t="s">
        <v>33</v>
      </c>
      <c r="H18" s="17" t="s">
        <v>34</v>
      </c>
      <c r="I18" s="95">
        <v>45000</v>
      </c>
      <c r="J18" s="22">
        <v>37600</v>
      </c>
    </row>
    <row r="19" spans="1:10" ht="21" customHeight="1" thickBot="1" x14ac:dyDescent="0.25">
      <c r="A19" s="33"/>
      <c r="B19" s="37" t="s">
        <v>38</v>
      </c>
      <c r="C19" s="39">
        <f>-I20</f>
        <v>-245800</v>
      </c>
      <c r="D19" s="42">
        <f>-J20</f>
        <v>-178648</v>
      </c>
      <c r="E19" s="32"/>
      <c r="F19" s="2"/>
      <c r="G19" s="23"/>
      <c r="H19" s="24"/>
      <c r="I19" s="25"/>
      <c r="J19" s="26"/>
    </row>
    <row r="20" spans="1:10" ht="21" customHeight="1" thickBot="1" x14ac:dyDescent="0.25">
      <c r="A20" s="33"/>
      <c r="B20" s="43" t="s">
        <v>1</v>
      </c>
      <c r="C20" s="46">
        <f>SUM(C18:C19)</f>
        <v>6616</v>
      </c>
      <c r="D20" s="46">
        <f>SUM(D18:D19)</f>
        <v>32532</v>
      </c>
      <c r="E20" s="32"/>
      <c r="F20" s="2"/>
      <c r="G20" s="9" t="s">
        <v>1</v>
      </c>
      <c r="H20" s="27"/>
      <c r="I20" s="28">
        <f>SUM(I4:I18)</f>
        <v>245800</v>
      </c>
      <c r="J20" s="29">
        <f>SUM(J4:J18)</f>
        <v>178648</v>
      </c>
    </row>
    <row r="21" spans="1:10" ht="16" x14ac:dyDescent="0.2">
      <c r="A21" s="10"/>
      <c r="B21" s="10"/>
      <c r="C21" s="10"/>
      <c r="D21" s="34"/>
      <c r="E21" s="10"/>
    </row>
    <row r="22" spans="1:10" ht="16" x14ac:dyDescent="0.2">
      <c r="A22" s="11"/>
      <c r="B22" s="11"/>
      <c r="C22" s="11"/>
      <c r="D22" s="11"/>
      <c r="E22" s="11"/>
      <c r="F22" s="2"/>
      <c r="G22" s="2"/>
      <c r="H22" s="2"/>
      <c r="I22" s="2"/>
      <c r="J22" s="2"/>
    </row>
    <row r="23" spans="1:10" ht="16" x14ac:dyDescent="0.2">
      <c r="A23" s="11"/>
      <c r="B23" s="11"/>
      <c r="C23" s="11"/>
      <c r="D23" s="11"/>
      <c r="E23" s="11"/>
    </row>
    <row r="24" spans="1:10" ht="16" x14ac:dyDescent="0.2">
      <c r="A24" s="11"/>
      <c r="B24" s="11"/>
      <c r="C24" s="11"/>
      <c r="D24" s="11"/>
      <c r="E24" s="11"/>
    </row>
    <row r="25" spans="1:10" ht="16" x14ac:dyDescent="0.2">
      <c r="A25" s="10"/>
      <c r="B25" s="10"/>
      <c r="C25" s="10"/>
      <c r="D25" s="10"/>
      <c r="E25" s="10"/>
    </row>
    <row r="26" spans="1:10" ht="17.25" customHeight="1" x14ac:dyDescent="0.2">
      <c r="A26" s="11"/>
      <c r="B26" s="11"/>
      <c r="C26" s="11"/>
      <c r="D26" s="11"/>
      <c r="E26" s="11"/>
    </row>
    <row r="27" spans="1:10" ht="16" x14ac:dyDescent="0.2">
      <c r="A27" s="10"/>
      <c r="B27" s="10"/>
      <c r="C27" s="10"/>
      <c r="D27" s="10"/>
      <c r="E27" s="10"/>
    </row>
    <row r="28" spans="1:10" ht="16" x14ac:dyDescent="0.2">
      <c r="A28" s="11"/>
      <c r="B28" s="11"/>
      <c r="C28" s="11"/>
      <c r="D28" s="11"/>
      <c r="E28" s="11"/>
    </row>
    <row r="29" spans="1:10" ht="16" x14ac:dyDescent="0.2">
      <c r="A29" s="11"/>
      <c r="B29" s="11"/>
      <c r="C29" s="11"/>
      <c r="D29" s="11"/>
      <c r="E29" s="11"/>
    </row>
  </sheetData>
  <mergeCells count="2">
    <mergeCell ref="B3:C3"/>
    <mergeCell ref="D3:E3"/>
  </mergeCells>
  <pageMargins left="0" right="0" top="0.39374999999999999" bottom="0.39374999999999999" header="0.51180555555555496" footer="0.51180555555555496"/>
  <pageSetup paperSize="9" firstPageNumber="0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2:J29"/>
  <sheetViews>
    <sheetView zoomScale="70" zoomScaleNormal="70" workbookViewId="0">
      <selection activeCell="I6" sqref="I6"/>
    </sheetView>
  </sheetViews>
  <sheetFormatPr baseColWidth="10" defaultColWidth="8.83203125" defaultRowHeight="13" x14ac:dyDescent="0.15"/>
  <cols>
    <col min="1" max="5" width="24.33203125" customWidth="1"/>
    <col min="6" max="6" width="1" customWidth="1"/>
    <col min="7" max="10" width="21.5" customWidth="1"/>
    <col min="11" max="11" width="14.1640625" customWidth="1"/>
    <col min="12" max="12" width="15.83203125" customWidth="1"/>
    <col min="13" max="1021" width="8.5" customWidth="1"/>
  </cols>
  <sheetData>
    <row r="2" spans="1:10" ht="17" thickBot="1" x14ac:dyDescent="0.25">
      <c r="A2" s="1" t="s">
        <v>3</v>
      </c>
      <c r="B2" s="1"/>
      <c r="C2" s="1"/>
      <c r="D2" s="1"/>
      <c r="E2" s="1"/>
      <c r="F2" s="2"/>
      <c r="G2" s="1" t="s">
        <v>13</v>
      </c>
      <c r="H2" s="1"/>
      <c r="I2" s="1"/>
      <c r="J2" s="1"/>
    </row>
    <row r="3" spans="1:10" ht="17" thickBot="1" x14ac:dyDescent="0.25">
      <c r="A3" s="3"/>
      <c r="B3" s="148" t="s">
        <v>4</v>
      </c>
      <c r="C3" s="149"/>
      <c r="D3" s="148" t="s">
        <v>11</v>
      </c>
      <c r="E3" s="149"/>
      <c r="F3" s="4"/>
      <c r="G3" s="5" t="s">
        <v>14</v>
      </c>
      <c r="H3" s="15" t="s">
        <v>15</v>
      </c>
      <c r="I3" s="18" t="s">
        <v>4</v>
      </c>
      <c r="J3" s="14" t="s">
        <v>11</v>
      </c>
    </row>
    <row r="4" spans="1:10" ht="21" customHeight="1" thickBot="1" x14ac:dyDescent="0.25">
      <c r="A4" s="6"/>
      <c r="B4" s="13" t="s">
        <v>6</v>
      </c>
      <c r="C4" s="13" t="s">
        <v>5</v>
      </c>
      <c r="D4" s="13" t="s">
        <v>6</v>
      </c>
      <c r="E4" s="13" t="s">
        <v>5</v>
      </c>
      <c r="F4" s="2"/>
      <c r="G4" s="12" t="s">
        <v>2</v>
      </c>
      <c r="H4" s="16" t="s">
        <v>16</v>
      </c>
      <c r="I4" s="19">
        <v>80000</v>
      </c>
      <c r="J4" s="21">
        <v>78500</v>
      </c>
    </row>
    <row r="5" spans="1:10" ht="21" customHeight="1" x14ac:dyDescent="0.2">
      <c r="A5" s="7" t="s">
        <v>7</v>
      </c>
      <c r="B5" s="38">
        <f>'Ceny Hamerák 2019 vs 2020'!N3</f>
        <v>59400</v>
      </c>
      <c r="C5" s="38">
        <f>'Ceny Hamerák 2019 vs 2020'!K3</f>
        <v>330</v>
      </c>
      <c r="D5" s="38">
        <v>36000</v>
      </c>
      <c r="E5" s="38">
        <v>300</v>
      </c>
      <c r="F5" s="2"/>
      <c r="G5" s="12" t="s">
        <v>2</v>
      </c>
      <c r="H5" s="17" t="s">
        <v>17</v>
      </c>
      <c r="I5" s="20">
        <v>30000</v>
      </c>
      <c r="J5" s="22">
        <v>8000</v>
      </c>
    </row>
    <row r="6" spans="1:10" ht="21" customHeight="1" x14ac:dyDescent="0.2">
      <c r="A6" s="7" t="s">
        <v>9</v>
      </c>
      <c r="B6" s="38">
        <f>'Ceny Hamerák 2019 vs 2020'!N9</f>
        <v>66132</v>
      </c>
      <c r="C6" s="38">
        <f>'Ceny Hamerák 2019 vs 2020'!K7+'Ceny Hamerák 2019 vs 2020'!K8+'Ceny Hamerák 2019 vs 2020'!K9</f>
        <v>478.50000000000006</v>
      </c>
      <c r="D6" s="38">
        <v>44340</v>
      </c>
      <c r="E6" s="38">
        <v>458</v>
      </c>
      <c r="F6" s="2"/>
      <c r="G6" s="12" t="s">
        <v>2</v>
      </c>
      <c r="H6" s="17" t="s">
        <v>18</v>
      </c>
      <c r="I6" s="20">
        <v>6000</v>
      </c>
      <c r="J6" s="22">
        <v>5900</v>
      </c>
    </row>
    <row r="7" spans="1:10" ht="21" customHeight="1" x14ac:dyDescent="0.2">
      <c r="A7" s="7" t="s">
        <v>8</v>
      </c>
      <c r="B7" s="38">
        <f>'Ceny Hamerák 2019 vs 2020'!N6</f>
        <v>61884</v>
      </c>
      <c r="C7" s="38">
        <f>'Ceny Hamerák 2019 vs 2020'!K4+'Ceny Hamerák 2019 vs 2020'!K5+'Ceny Hamerák 2019 vs 2020'!K6</f>
        <v>418.5</v>
      </c>
      <c r="D7" s="38">
        <v>45840</v>
      </c>
      <c r="E7" s="38">
        <v>465</v>
      </c>
      <c r="F7" s="2"/>
      <c r="G7" s="12" t="s">
        <v>2</v>
      </c>
      <c r="H7" s="17" t="s">
        <v>19</v>
      </c>
      <c r="I7" s="20">
        <v>1200</v>
      </c>
      <c r="J7" s="22">
        <v>1281</v>
      </c>
    </row>
    <row r="8" spans="1:10" ht="21" customHeight="1" x14ac:dyDescent="0.2">
      <c r="A8" s="7" t="s">
        <v>10</v>
      </c>
      <c r="B8" s="38">
        <v>65000</v>
      </c>
      <c r="C8" s="38"/>
      <c r="D8" s="38">
        <v>75000</v>
      </c>
      <c r="E8" s="38"/>
      <c r="F8" s="2"/>
      <c r="G8" s="12" t="s">
        <v>2</v>
      </c>
      <c r="H8" s="17" t="s">
        <v>21</v>
      </c>
      <c r="I8" s="20">
        <v>3000</v>
      </c>
      <c r="J8" s="22">
        <v>2858</v>
      </c>
    </row>
    <row r="9" spans="1:10" ht="21" customHeight="1" thickBot="1" x14ac:dyDescent="0.25">
      <c r="A9" s="8" t="s">
        <v>12</v>
      </c>
      <c r="B9" s="39">
        <v>0</v>
      </c>
      <c r="C9" s="39"/>
      <c r="D9" s="39">
        <v>10000</v>
      </c>
      <c r="E9" s="39"/>
      <c r="F9" s="2"/>
      <c r="G9" s="12" t="s">
        <v>22</v>
      </c>
      <c r="H9" s="17" t="s">
        <v>23</v>
      </c>
      <c r="I9" s="20">
        <v>6000</v>
      </c>
      <c r="J9" s="22">
        <v>6100</v>
      </c>
    </row>
    <row r="10" spans="1:10" ht="21" customHeight="1" thickBot="1" x14ac:dyDescent="0.25">
      <c r="A10" s="9" t="s">
        <v>1</v>
      </c>
      <c r="B10" s="40">
        <f>SUM(B5:B9)</f>
        <v>252416</v>
      </c>
      <c r="C10" s="40"/>
      <c r="D10" s="40">
        <f>SUM(D5:D9)</f>
        <v>211180</v>
      </c>
      <c r="E10" s="40"/>
      <c r="F10" s="2"/>
      <c r="G10" s="12" t="s">
        <v>24</v>
      </c>
      <c r="H10" s="17" t="s">
        <v>25</v>
      </c>
      <c r="I10" s="20">
        <v>1000</v>
      </c>
      <c r="J10" s="22">
        <v>1029</v>
      </c>
    </row>
    <row r="11" spans="1:10" ht="21" customHeight="1" x14ac:dyDescent="0.2">
      <c r="A11" s="2"/>
      <c r="B11" s="30"/>
      <c r="C11" s="30"/>
      <c r="D11" s="30"/>
      <c r="E11" s="30"/>
      <c r="F11" s="2"/>
      <c r="G11" s="12" t="s">
        <v>26</v>
      </c>
      <c r="H11" s="17" t="s">
        <v>27</v>
      </c>
      <c r="I11" s="20">
        <v>1500</v>
      </c>
      <c r="J11" s="22">
        <v>1500</v>
      </c>
    </row>
    <row r="12" spans="1:10" ht="21" customHeight="1" x14ac:dyDescent="0.2">
      <c r="A12" s="2"/>
      <c r="B12" s="31"/>
      <c r="C12" s="31"/>
      <c r="D12" s="31"/>
      <c r="E12" s="31"/>
      <c r="F12" s="2"/>
      <c r="G12" s="12" t="s">
        <v>26</v>
      </c>
      <c r="H12" s="17" t="s">
        <v>28</v>
      </c>
      <c r="I12" s="20">
        <v>500</v>
      </c>
      <c r="J12" s="22">
        <v>500</v>
      </c>
    </row>
    <row r="13" spans="1:10" ht="21" customHeight="1" x14ac:dyDescent="0.2">
      <c r="A13" s="2"/>
      <c r="B13" s="31"/>
      <c r="C13" s="31"/>
      <c r="D13" s="31"/>
      <c r="E13" s="31"/>
      <c r="F13" s="2"/>
      <c r="G13" s="12" t="s">
        <v>26</v>
      </c>
      <c r="H13" s="17" t="s">
        <v>29</v>
      </c>
      <c r="I13" s="20">
        <v>1500</v>
      </c>
      <c r="J13" s="22">
        <v>1500</v>
      </c>
    </row>
    <row r="14" spans="1:10" ht="21" customHeight="1" x14ac:dyDescent="0.2">
      <c r="A14" s="2"/>
      <c r="B14" s="31"/>
      <c r="C14" s="31"/>
      <c r="D14" s="31"/>
      <c r="E14" s="31"/>
      <c r="F14" s="2"/>
      <c r="G14" s="12" t="s">
        <v>31</v>
      </c>
      <c r="H14" s="17" t="s">
        <v>30</v>
      </c>
      <c r="I14" s="20">
        <v>12100</v>
      </c>
      <c r="J14" s="22">
        <v>12100</v>
      </c>
    </row>
    <row r="15" spans="1:10" ht="21" customHeight="1" x14ac:dyDescent="0.2">
      <c r="A15" s="2"/>
      <c r="B15" s="31"/>
      <c r="C15" s="31"/>
      <c r="D15" s="31"/>
      <c r="E15" s="31"/>
      <c r="F15" s="2"/>
      <c r="G15" s="12" t="s">
        <v>0</v>
      </c>
      <c r="H15" s="17" t="s">
        <v>32</v>
      </c>
      <c r="I15" s="20">
        <v>5000</v>
      </c>
      <c r="J15" s="22">
        <v>5000</v>
      </c>
    </row>
    <row r="16" spans="1:10" ht="21" customHeight="1" thickBot="1" x14ac:dyDescent="0.25">
      <c r="A16" s="2"/>
      <c r="B16" s="35"/>
      <c r="C16" s="35"/>
      <c r="D16" s="35"/>
      <c r="E16" s="31"/>
      <c r="F16" s="2"/>
      <c r="G16" s="12" t="s">
        <v>0</v>
      </c>
      <c r="H16" s="17" t="s">
        <v>20</v>
      </c>
      <c r="I16" s="20">
        <v>4000</v>
      </c>
      <c r="J16" s="22">
        <v>3618</v>
      </c>
    </row>
    <row r="17" spans="1:10" ht="21" customHeight="1" x14ac:dyDescent="0.2">
      <c r="A17" s="33"/>
      <c r="B17" s="36"/>
      <c r="C17" s="44" t="s">
        <v>4</v>
      </c>
      <c r="D17" s="45" t="s">
        <v>11</v>
      </c>
      <c r="E17" s="32"/>
      <c r="F17" s="2"/>
      <c r="G17" s="12" t="s">
        <v>35</v>
      </c>
      <c r="H17" s="17" t="s">
        <v>36</v>
      </c>
      <c r="I17" s="20">
        <v>9000</v>
      </c>
      <c r="J17" s="22">
        <f>10798+418+1946</f>
        <v>13162</v>
      </c>
    </row>
    <row r="18" spans="1:10" ht="21" customHeight="1" x14ac:dyDescent="0.2">
      <c r="A18" s="33"/>
      <c r="B18" s="36" t="s">
        <v>37</v>
      </c>
      <c r="C18" s="38">
        <f>B10</f>
        <v>252416</v>
      </c>
      <c r="D18" s="41">
        <f>D10</f>
        <v>211180</v>
      </c>
      <c r="E18" s="32"/>
      <c r="F18" s="2"/>
      <c r="G18" s="12" t="s">
        <v>33</v>
      </c>
      <c r="H18" s="17" t="s">
        <v>34</v>
      </c>
      <c r="I18" s="20">
        <v>40000</v>
      </c>
      <c r="J18" s="22">
        <v>37600</v>
      </c>
    </row>
    <row r="19" spans="1:10" ht="21" customHeight="1" thickBot="1" x14ac:dyDescent="0.25">
      <c r="A19" s="33"/>
      <c r="B19" s="37" t="s">
        <v>38</v>
      </c>
      <c r="C19" s="39">
        <f>-I20</f>
        <v>-200800</v>
      </c>
      <c r="D19" s="42">
        <f>-J20</f>
        <v>-178648</v>
      </c>
      <c r="E19" s="32"/>
      <c r="F19" s="2"/>
      <c r="G19" s="23"/>
      <c r="H19" s="24"/>
      <c r="I19" s="25"/>
      <c r="J19" s="26"/>
    </row>
    <row r="20" spans="1:10" ht="21" customHeight="1" thickBot="1" x14ac:dyDescent="0.25">
      <c r="A20" s="33"/>
      <c r="B20" s="43" t="s">
        <v>1</v>
      </c>
      <c r="C20" s="46">
        <f>SUM(C18:C19)</f>
        <v>51616</v>
      </c>
      <c r="D20" s="46">
        <f>SUM(D18:D19)</f>
        <v>32532</v>
      </c>
      <c r="E20" s="32"/>
      <c r="F20" s="2"/>
      <c r="G20" s="9" t="s">
        <v>1</v>
      </c>
      <c r="H20" s="27"/>
      <c r="I20" s="28">
        <f>SUM(I4:I18)</f>
        <v>200800</v>
      </c>
      <c r="J20" s="29">
        <f>SUM(J4:J18)</f>
        <v>178648</v>
      </c>
    </row>
    <row r="21" spans="1:10" ht="16" x14ac:dyDescent="0.2">
      <c r="A21" s="10"/>
      <c r="B21" s="10"/>
      <c r="C21" s="10"/>
      <c r="D21" s="34"/>
      <c r="E21" s="10"/>
    </row>
    <row r="22" spans="1:10" ht="16" x14ac:dyDescent="0.2">
      <c r="A22" s="11"/>
      <c r="B22" s="11"/>
      <c r="C22" s="11"/>
      <c r="D22" s="11"/>
      <c r="E22" s="11"/>
      <c r="F22" s="2"/>
      <c r="G22" s="2"/>
      <c r="H22" s="2"/>
      <c r="I22" s="2"/>
      <c r="J22" s="2"/>
    </row>
    <row r="23" spans="1:10" ht="16" x14ac:dyDescent="0.2">
      <c r="A23" s="11"/>
      <c r="B23" s="11"/>
      <c r="C23" s="11"/>
      <c r="D23" s="11"/>
      <c r="E23" s="11"/>
    </row>
    <row r="24" spans="1:10" ht="16" x14ac:dyDescent="0.2">
      <c r="A24" s="11"/>
      <c r="B24" s="11"/>
      <c r="C24" s="11"/>
      <c r="D24" s="11"/>
      <c r="E24" s="11"/>
    </row>
    <row r="25" spans="1:10" ht="16" x14ac:dyDescent="0.2">
      <c r="A25" s="10"/>
      <c r="B25" s="10"/>
      <c r="C25" s="10"/>
      <c r="D25" s="10"/>
      <c r="E25" s="10"/>
    </row>
    <row r="26" spans="1:10" ht="17.25" customHeight="1" x14ac:dyDescent="0.2">
      <c r="A26" s="11"/>
      <c r="B26" s="11"/>
      <c r="C26" s="11"/>
      <c r="D26" s="11"/>
      <c r="E26" s="11"/>
    </row>
    <row r="27" spans="1:10" ht="16" x14ac:dyDescent="0.2">
      <c r="A27" s="10"/>
      <c r="B27" s="10"/>
      <c r="C27" s="10"/>
      <c r="D27" s="10"/>
      <c r="E27" s="10"/>
    </row>
    <row r="28" spans="1:10" ht="16" x14ac:dyDescent="0.2">
      <c r="A28" s="11"/>
      <c r="B28" s="11"/>
      <c r="C28" s="11"/>
      <c r="D28" s="11"/>
      <c r="E28" s="11"/>
    </row>
    <row r="29" spans="1:10" ht="16" x14ac:dyDescent="0.2">
      <c r="A29" s="11"/>
      <c r="B29" s="11"/>
      <c r="C29" s="11"/>
      <c r="D29" s="11"/>
      <c r="E29" s="11"/>
    </row>
  </sheetData>
  <mergeCells count="2">
    <mergeCell ref="B3:C3"/>
    <mergeCell ref="D3:E3"/>
  </mergeCells>
  <pageMargins left="0" right="0" top="0.39374999999999999" bottom="0.39374999999999999" header="0.51180555555555496" footer="0.51180555555555496"/>
  <pageSetup paperSize="9" firstPageNumber="0" orientation="landscape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31"/>
  <sheetViews>
    <sheetView workbookViewId="0">
      <selection activeCell="D3" sqref="D3:D4"/>
    </sheetView>
  </sheetViews>
  <sheetFormatPr baseColWidth="10" defaultColWidth="8.83203125" defaultRowHeight="15" x14ac:dyDescent="0.2"/>
  <cols>
    <col min="1" max="1" width="2.33203125" style="47" customWidth="1"/>
    <col min="2" max="2" width="20" style="47" customWidth="1"/>
    <col min="3" max="3" width="9.1640625" style="47" customWidth="1"/>
    <col min="4" max="4" width="11.6640625" style="47" customWidth="1"/>
    <col min="5" max="5" width="15.5" style="47" customWidth="1"/>
    <col min="6" max="6" width="9.1640625" style="47" customWidth="1"/>
    <col min="7" max="7" width="8.5" style="47" customWidth="1"/>
    <col min="8" max="8" width="2.5" style="47" customWidth="1"/>
    <col min="9" max="9" width="14.33203125" style="47" bestFit="1" customWidth="1"/>
    <col min="10" max="10" width="20.6640625" style="47" customWidth="1"/>
    <col min="11" max="11" width="9.33203125" style="47" customWidth="1"/>
    <col min="12" max="12" width="12.5" style="47" bestFit="1" customWidth="1"/>
    <col min="13" max="13" width="14" style="47" customWidth="1"/>
    <col min="14" max="14" width="11" style="47" customWidth="1"/>
    <col min="15" max="15" width="9.5" style="47" customWidth="1"/>
    <col min="16" max="16384" width="8.83203125" style="47"/>
  </cols>
  <sheetData>
    <row r="1" spans="2:15" ht="18" customHeight="1" thickBot="1" x14ac:dyDescent="0.25"/>
    <row r="2" spans="2:15" ht="21" x14ac:dyDescent="0.25">
      <c r="B2" s="74" t="s">
        <v>61</v>
      </c>
      <c r="C2" s="73" t="s">
        <v>59</v>
      </c>
      <c r="D2" s="73" t="s">
        <v>58</v>
      </c>
      <c r="E2" s="72" t="s">
        <v>57</v>
      </c>
      <c r="I2" s="47" t="s">
        <v>60</v>
      </c>
      <c r="J2" s="74" t="s">
        <v>95</v>
      </c>
      <c r="K2" s="73" t="s">
        <v>59</v>
      </c>
      <c r="L2" s="73" t="s">
        <v>58</v>
      </c>
      <c r="M2" s="72" t="s">
        <v>57</v>
      </c>
    </row>
    <row r="3" spans="2:15" ht="16" thickBot="1" x14ac:dyDescent="0.25">
      <c r="B3" s="71" t="s">
        <v>56</v>
      </c>
      <c r="C3" s="70">
        <v>300</v>
      </c>
      <c r="D3" s="69">
        <v>120</v>
      </c>
      <c r="E3" s="68">
        <f t="shared" ref="E3:E9" si="0">C3*D3</f>
        <v>36000</v>
      </c>
      <c r="F3" s="50">
        <f>E3</f>
        <v>36000</v>
      </c>
      <c r="G3" s="47" t="s">
        <v>55</v>
      </c>
      <c r="I3" s="57" t="s">
        <v>48</v>
      </c>
      <c r="J3" s="71" t="s">
        <v>56</v>
      </c>
      <c r="K3" s="70">
        <f>C3*1.1</f>
        <v>330</v>
      </c>
      <c r="L3" s="69">
        <v>180</v>
      </c>
      <c r="M3" s="68">
        <f t="shared" ref="M3:M9" si="1">K3*L3</f>
        <v>59400</v>
      </c>
      <c r="N3" s="50">
        <f>M3</f>
        <v>59400</v>
      </c>
      <c r="O3" s="47" t="s">
        <v>55</v>
      </c>
    </row>
    <row r="4" spans="2:15" x14ac:dyDescent="0.2">
      <c r="B4" s="56" t="s">
        <v>54</v>
      </c>
      <c r="C4" s="66">
        <v>216</v>
      </c>
      <c r="D4" s="65">
        <v>120</v>
      </c>
      <c r="E4" s="64">
        <f t="shared" si="0"/>
        <v>25920</v>
      </c>
      <c r="I4" s="67"/>
      <c r="J4" s="56" t="s">
        <v>54</v>
      </c>
      <c r="K4" s="66">
        <f>C4*0.9</f>
        <v>194.4</v>
      </c>
      <c r="L4" s="65">
        <v>180</v>
      </c>
      <c r="M4" s="64">
        <f t="shared" si="1"/>
        <v>34992</v>
      </c>
    </row>
    <row r="5" spans="2:15" x14ac:dyDescent="0.2">
      <c r="B5" s="63" t="s">
        <v>53</v>
      </c>
      <c r="C5" s="62">
        <v>117</v>
      </c>
      <c r="D5" s="61">
        <v>80</v>
      </c>
      <c r="E5" s="60">
        <f t="shared" si="0"/>
        <v>9360</v>
      </c>
      <c r="I5" s="67"/>
      <c r="J5" s="63" t="s">
        <v>53</v>
      </c>
      <c r="K5" s="62">
        <f>C5*0.9</f>
        <v>105.3</v>
      </c>
      <c r="L5" s="61">
        <v>120</v>
      </c>
      <c r="M5" s="60">
        <f t="shared" si="1"/>
        <v>12636</v>
      </c>
    </row>
    <row r="6" spans="2:15" ht="16" thickBot="1" x14ac:dyDescent="0.25">
      <c r="B6" s="54" t="s">
        <v>52</v>
      </c>
      <c r="C6" s="59">
        <v>132</v>
      </c>
      <c r="D6" s="58">
        <v>80</v>
      </c>
      <c r="E6" s="53">
        <f t="shared" si="0"/>
        <v>10560</v>
      </c>
      <c r="F6" s="50">
        <f>E4+E5+E6</f>
        <v>45840</v>
      </c>
      <c r="G6" s="47" t="s">
        <v>51</v>
      </c>
      <c r="I6" s="67">
        <v>-0.1</v>
      </c>
      <c r="J6" s="54" t="s">
        <v>52</v>
      </c>
      <c r="K6" s="59">
        <f>C6*0.9</f>
        <v>118.8</v>
      </c>
      <c r="L6" s="58">
        <v>120</v>
      </c>
      <c r="M6" s="53">
        <f t="shared" si="1"/>
        <v>14256</v>
      </c>
      <c r="N6" s="50">
        <f>M4+M5+M6</f>
        <v>61884</v>
      </c>
      <c r="O6" s="47" t="s">
        <v>51</v>
      </c>
    </row>
    <row r="7" spans="2:15" x14ac:dyDescent="0.2">
      <c r="B7" s="56" t="s">
        <v>50</v>
      </c>
      <c r="C7" s="66">
        <v>132</v>
      </c>
      <c r="D7" s="65">
        <v>120</v>
      </c>
      <c r="E7" s="64">
        <f t="shared" si="0"/>
        <v>15840</v>
      </c>
      <c r="I7" s="57"/>
      <c r="J7" s="56" t="s">
        <v>50</v>
      </c>
      <c r="K7" s="66">
        <f>C7*1.1</f>
        <v>145.20000000000002</v>
      </c>
      <c r="L7" s="65">
        <v>180</v>
      </c>
      <c r="M7" s="64">
        <f t="shared" si="1"/>
        <v>26136.000000000004</v>
      </c>
    </row>
    <row r="8" spans="2:15" x14ac:dyDescent="0.2">
      <c r="B8" s="63" t="s">
        <v>49</v>
      </c>
      <c r="C8" s="62">
        <v>90</v>
      </c>
      <c r="D8" s="61">
        <v>80</v>
      </c>
      <c r="E8" s="60">
        <f t="shared" si="0"/>
        <v>7200</v>
      </c>
      <c r="I8" s="57"/>
      <c r="J8" s="63" t="s">
        <v>49</v>
      </c>
      <c r="K8" s="62">
        <f>C8*1.1</f>
        <v>99.000000000000014</v>
      </c>
      <c r="L8" s="61">
        <v>120</v>
      </c>
      <c r="M8" s="60">
        <f t="shared" si="1"/>
        <v>11880.000000000002</v>
      </c>
    </row>
    <row r="9" spans="2:15" ht="16" thickBot="1" x14ac:dyDescent="0.25">
      <c r="B9" s="54" t="s">
        <v>47</v>
      </c>
      <c r="C9" s="59">
        <v>213</v>
      </c>
      <c r="D9" s="58">
        <v>100</v>
      </c>
      <c r="E9" s="53">
        <f t="shared" si="0"/>
        <v>21300</v>
      </c>
      <c r="F9" s="50">
        <f>E7+E8+E9</f>
        <v>44340</v>
      </c>
      <c r="G9" s="47" t="s">
        <v>46</v>
      </c>
      <c r="I9" s="57" t="s">
        <v>48</v>
      </c>
      <c r="J9" s="54" t="s">
        <v>47</v>
      </c>
      <c r="K9" s="59">
        <f>C9*1.1</f>
        <v>234.3</v>
      </c>
      <c r="L9" s="58">
        <v>120</v>
      </c>
      <c r="M9" s="53">
        <f t="shared" si="1"/>
        <v>28116</v>
      </c>
      <c r="N9" s="50">
        <f>M7+M8+M9</f>
        <v>66132</v>
      </c>
      <c r="O9" s="47" t="s">
        <v>46</v>
      </c>
    </row>
    <row r="10" spans="2:15" x14ac:dyDescent="0.2">
      <c r="D10" s="56" t="s">
        <v>45</v>
      </c>
      <c r="E10" s="55">
        <f>SUM(E3:E9)</f>
        <v>126180</v>
      </c>
      <c r="I10" s="57"/>
      <c r="L10" s="56" t="s">
        <v>45</v>
      </c>
      <c r="M10" s="55">
        <f>SUM(M3:M9)</f>
        <v>187416</v>
      </c>
    </row>
    <row r="11" spans="2:15" ht="16" thickBot="1" x14ac:dyDescent="0.25">
      <c r="D11" s="54" t="s">
        <v>44</v>
      </c>
      <c r="E11" s="53">
        <v>85000</v>
      </c>
      <c r="L11" s="54" t="s">
        <v>44</v>
      </c>
      <c r="M11" s="53">
        <v>65000</v>
      </c>
      <c r="N11" s="47" t="s">
        <v>43</v>
      </c>
    </row>
    <row r="12" spans="2:15" x14ac:dyDescent="0.2">
      <c r="D12" s="52" t="s">
        <v>42</v>
      </c>
      <c r="E12" s="51">
        <f>E10+E11</f>
        <v>211180</v>
      </c>
      <c r="L12" s="52" t="s">
        <v>42</v>
      </c>
      <c r="M12" s="51">
        <f>M10+M11</f>
        <v>252416</v>
      </c>
    </row>
    <row r="13" spans="2:15" x14ac:dyDescent="0.2">
      <c r="D13" s="47" t="s">
        <v>20</v>
      </c>
      <c r="E13" s="50">
        <v>178648</v>
      </c>
      <c r="L13" s="47" t="s">
        <v>20</v>
      </c>
      <c r="M13" s="50">
        <f>'Návrh rozpočtu, verze 23.6.2020'!I20</f>
        <v>200800</v>
      </c>
      <c r="N13" s="47" t="s">
        <v>41</v>
      </c>
    </row>
    <row r="14" spans="2:15" x14ac:dyDescent="0.2">
      <c r="D14" s="49" t="s">
        <v>40</v>
      </c>
      <c r="E14" s="48">
        <f>E12-E13</f>
        <v>32532</v>
      </c>
      <c r="L14" s="49" t="s">
        <v>39</v>
      </c>
      <c r="M14" s="48">
        <f>M12-M13</f>
        <v>51616</v>
      </c>
    </row>
    <row r="18" spans="2:15" ht="16" thickBot="1" x14ac:dyDescent="0.25"/>
    <row r="19" spans="2:15" ht="21" x14ac:dyDescent="0.25">
      <c r="B19" s="94" t="s">
        <v>93</v>
      </c>
      <c r="C19"/>
      <c r="D19"/>
      <c r="I19" s="47" t="s">
        <v>60</v>
      </c>
      <c r="J19" s="74" t="s">
        <v>76</v>
      </c>
      <c r="K19" s="73" t="s">
        <v>59</v>
      </c>
      <c r="L19" s="73" t="s">
        <v>58</v>
      </c>
      <c r="M19" s="72" t="s">
        <v>57</v>
      </c>
    </row>
    <row r="20" spans="2:15" ht="16" thickBot="1" x14ac:dyDescent="0.25">
      <c r="B20" s="90" t="s">
        <v>77</v>
      </c>
      <c r="C20" s="90" t="s">
        <v>78</v>
      </c>
      <c r="D20" s="90" t="s">
        <v>79</v>
      </c>
      <c r="I20" s="57" t="s">
        <v>48</v>
      </c>
      <c r="J20" s="71" t="s">
        <v>56</v>
      </c>
      <c r="K20" s="70">
        <v>0</v>
      </c>
      <c r="L20" s="69">
        <v>150</v>
      </c>
      <c r="M20" s="68">
        <f t="shared" ref="M20:M26" si="2">K20*L20</f>
        <v>0</v>
      </c>
      <c r="N20" s="50">
        <v>49500</v>
      </c>
      <c r="O20" s="47" t="s">
        <v>55</v>
      </c>
    </row>
    <row r="21" spans="2:15" x14ac:dyDescent="0.2">
      <c r="B21" s="91">
        <v>4000</v>
      </c>
      <c r="C21" t="s">
        <v>80</v>
      </c>
      <c r="D21" t="s">
        <v>81</v>
      </c>
      <c r="I21" s="67"/>
      <c r="J21" s="56" t="s">
        <v>54</v>
      </c>
      <c r="K21" s="66">
        <v>200</v>
      </c>
      <c r="L21" s="65">
        <v>150</v>
      </c>
      <c r="M21" s="64">
        <f t="shared" si="2"/>
        <v>30000</v>
      </c>
    </row>
    <row r="22" spans="2:15" x14ac:dyDescent="0.2">
      <c r="B22" s="91">
        <v>3000</v>
      </c>
      <c r="C22" t="s">
        <v>82</v>
      </c>
      <c r="D22" t="s">
        <v>83</v>
      </c>
      <c r="I22" s="67"/>
      <c r="J22" s="63" t="s">
        <v>53</v>
      </c>
      <c r="K22" s="62">
        <v>100</v>
      </c>
      <c r="L22" s="61">
        <v>100</v>
      </c>
      <c r="M22" s="60">
        <f t="shared" si="2"/>
        <v>10000</v>
      </c>
    </row>
    <row r="23" spans="2:15" ht="16" thickBot="1" x14ac:dyDescent="0.25">
      <c r="B23" s="91">
        <v>1500</v>
      </c>
      <c r="C23" t="s">
        <v>84</v>
      </c>
      <c r="D23" t="s">
        <v>85</v>
      </c>
      <c r="I23" s="67">
        <v>-0.15</v>
      </c>
      <c r="J23" s="54" t="s">
        <v>52</v>
      </c>
      <c r="K23" s="59">
        <v>100</v>
      </c>
      <c r="L23" s="58">
        <v>100</v>
      </c>
      <c r="M23" s="53">
        <f t="shared" si="2"/>
        <v>10000</v>
      </c>
      <c r="N23" s="50">
        <v>48705</v>
      </c>
      <c r="O23" s="47" t="s">
        <v>51</v>
      </c>
    </row>
    <row r="24" spans="2:15" x14ac:dyDescent="0.2">
      <c r="B24" s="91">
        <v>500</v>
      </c>
      <c r="C24" t="s">
        <v>28</v>
      </c>
      <c r="D24" t="s">
        <v>85</v>
      </c>
      <c r="I24" s="57"/>
      <c r="J24" s="56" t="s">
        <v>50</v>
      </c>
      <c r="K24" s="66">
        <v>200</v>
      </c>
      <c r="L24" s="65">
        <v>150</v>
      </c>
      <c r="M24" s="64">
        <f t="shared" si="2"/>
        <v>30000</v>
      </c>
    </row>
    <row r="25" spans="2:15" x14ac:dyDescent="0.2">
      <c r="B25" s="91">
        <v>1500</v>
      </c>
      <c r="C25" t="s">
        <v>86</v>
      </c>
      <c r="D25" t="s">
        <v>85</v>
      </c>
      <c r="I25" s="57"/>
      <c r="J25" s="63" t="s">
        <v>49</v>
      </c>
      <c r="K25" s="62">
        <v>100</v>
      </c>
      <c r="L25" s="61">
        <v>100</v>
      </c>
      <c r="M25" s="60">
        <f t="shared" si="2"/>
        <v>10000</v>
      </c>
    </row>
    <row r="26" spans="2:15" ht="16" thickBot="1" x14ac:dyDescent="0.25">
      <c r="B26" s="91">
        <v>60000</v>
      </c>
      <c r="C26" t="s">
        <v>87</v>
      </c>
      <c r="D26" t="s">
        <v>83</v>
      </c>
      <c r="I26" s="57" t="s">
        <v>48</v>
      </c>
      <c r="J26" s="54" t="s">
        <v>47</v>
      </c>
      <c r="K26" s="59">
        <v>100</v>
      </c>
      <c r="L26" s="89">
        <v>100</v>
      </c>
      <c r="M26" s="53">
        <f t="shared" si="2"/>
        <v>10000</v>
      </c>
      <c r="N26" s="50">
        <v>59796.000000000007</v>
      </c>
      <c r="O26" s="47" t="s">
        <v>46</v>
      </c>
    </row>
    <row r="27" spans="2:15" x14ac:dyDescent="0.2">
      <c r="B27" s="91">
        <v>12100</v>
      </c>
      <c r="C27" t="s">
        <v>30</v>
      </c>
      <c r="D27" t="s">
        <v>85</v>
      </c>
      <c r="I27" s="57"/>
      <c r="L27" s="56" t="s">
        <v>45</v>
      </c>
      <c r="M27" s="55">
        <f>SUM(M20:M26)</f>
        <v>100000</v>
      </c>
    </row>
    <row r="28" spans="2:15" ht="16" thickBot="1" x14ac:dyDescent="0.25">
      <c r="B28" s="91">
        <v>5000</v>
      </c>
      <c r="C28" t="s">
        <v>88</v>
      </c>
      <c r="D28" t="s">
        <v>83</v>
      </c>
      <c r="L28" s="54" t="s">
        <v>44</v>
      </c>
      <c r="M28" s="53">
        <v>65000</v>
      </c>
      <c r="N28" s="47" t="s">
        <v>43</v>
      </c>
    </row>
    <row r="29" spans="2:15" x14ac:dyDescent="0.2">
      <c r="B29" s="91">
        <v>2000</v>
      </c>
      <c r="C29" t="s">
        <v>89</v>
      </c>
      <c r="D29" t="s">
        <v>90</v>
      </c>
      <c r="L29" s="52" t="s">
        <v>42</v>
      </c>
      <c r="M29" s="51">
        <v>223001</v>
      </c>
    </row>
    <row r="30" spans="2:15" x14ac:dyDescent="0.2">
      <c r="B30" s="92">
        <f>SUM(B21:B29)</f>
        <v>89600</v>
      </c>
      <c r="C30" s="93" t="s">
        <v>91</v>
      </c>
      <c r="D30"/>
      <c r="L30" s="47" t="s">
        <v>20</v>
      </c>
      <c r="M30" s="50">
        <v>200800</v>
      </c>
      <c r="N30" s="47" t="s">
        <v>41</v>
      </c>
    </row>
    <row r="31" spans="2:15" x14ac:dyDescent="0.2">
      <c r="B31"/>
      <c r="C31" t="s">
        <v>92</v>
      </c>
      <c r="D31"/>
      <c r="L31" s="49" t="s">
        <v>39</v>
      </c>
      <c r="M31" s="48">
        <v>22201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14.83203125" style="47" customWidth="1"/>
    <col min="2" max="2" width="8.83203125" style="47"/>
    <col min="3" max="3" width="18.5" style="47" bestFit="1" customWidth="1"/>
    <col min="4" max="5" width="8.83203125" style="47"/>
    <col min="6" max="6" width="2.1640625" style="47" customWidth="1"/>
    <col min="7" max="7" width="15.1640625" style="47" customWidth="1"/>
    <col min="8" max="8" width="8.83203125" style="47"/>
    <col min="9" max="9" width="18.5" style="47" bestFit="1" customWidth="1"/>
    <col min="10" max="16384" width="8.83203125" style="47"/>
  </cols>
  <sheetData>
    <row r="1" spans="1:11" ht="16" thickBot="1" x14ac:dyDescent="0.25"/>
    <row r="2" spans="1:11" ht="21" x14ac:dyDescent="0.25">
      <c r="A2" s="83" t="s">
        <v>75</v>
      </c>
      <c r="B2" s="82"/>
      <c r="C2" s="82"/>
      <c r="D2" s="81"/>
      <c r="E2" s="81"/>
      <c r="F2" s="88"/>
      <c r="G2" s="83" t="s">
        <v>74</v>
      </c>
      <c r="H2" s="82"/>
      <c r="I2" s="82"/>
      <c r="J2" s="81"/>
      <c r="K2" s="81"/>
    </row>
    <row r="3" spans="1:11" ht="21" x14ac:dyDescent="0.25">
      <c r="A3" s="80"/>
      <c r="B3" s="87" t="s">
        <v>71</v>
      </c>
      <c r="C3" s="87"/>
      <c r="D3" s="87"/>
      <c r="E3" s="87"/>
      <c r="F3" s="86"/>
      <c r="G3" s="80"/>
      <c r="H3" s="85" t="s">
        <v>71</v>
      </c>
      <c r="I3" s="85"/>
      <c r="J3" s="85"/>
      <c r="K3" s="85"/>
    </row>
    <row r="4" spans="1:11" x14ac:dyDescent="0.2">
      <c r="A4" s="63"/>
      <c r="B4" s="61" t="s">
        <v>69</v>
      </c>
      <c r="C4" s="61"/>
      <c r="D4" s="61" t="s">
        <v>67</v>
      </c>
      <c r="E4" s="61"/>
      <c r="F4" s="84"/>
      <c r="G4" s="63"/>
      <c r="H4" s="61" t="s">
        <v>69</v>
      </c>
      <c r="I4" s="61"/>
      <c r="J4" s="61" t="s">
        <v>67</v>
      </c>
      <c r="K4" s="61"/>
    </row>
    <row r="5" spans="1:11" x14ac:dyDescent="0.2">
      <c r="A5" s="63" t="s">
        <v>73</v>
      </c>
      <c r="B5" s="75"/>
      <c r="C5" s="75"/>
      <c r="D5" s="75">
        <v>300</v>
      </c>
      <c r="E5" s="75"/>
      <c r="F5" s="76"/>
      <c r="G5" s="63" t="s">
        <v>65</v>
      </c>
      <c r="H5" s="75">
        <v>200</v>
      </c>
      <c r="I5" s="75"/>
      <c r="J5" s="75">
        <v>118</v>
      </c>
      <c r="K5" s="75"/>
    </row>
    <row r="6" spans="1:11" x14ac:dyDescent="0.2">
      <c r="A6" s="63"/>
      <c r="B6" s="75"/>
      <c r="C6" s="75"/>
      <c r="D6" s="75"/>
      <c r="E6" s="75"/>
      <c r="F6" s="76"/>
      <c r="G6" s="63" t="s">
        <v>64</v>
      </c>
      <c r="H6" s="75">
        <v>200</v>
      </c>
      <c r="I6" s="75"/>
      <c r="J6" s="75">
        <v>65</v>
      </c>
      <c r="K6" s="75"/>
    </row>
    <row r="7" spans="1:11" x14ac:dyDescent="0.2">
      <c r="A7" s="63" t="s">
        <v>63</v>
      </c>
      <c r="B7" s="75"/>
      <c r="C7" s="75"/>
      <c r="D7" s="75">
        <v>10</v>
      </c>
      <c r="E7" s="75"/>
      <c r="F7" s="76"/>
      <c r="G7" s="63" t="s">
        <v>63</v>
      </c>
      <c r="H7" s="75">
        <v>0</v>
      </c>
      <c r="I7" s="75"/>
      <c r="J7" s="75">
        <v>0</v>
      </c>
      <c r="K7" s="75"/>
    </row>
    <row r="8" spans="1:11" x14ac:dyDescent="0.2">
      <c r="A8" s="63" t="s">
        <v>62</v>
      </c>
      <c r="B8" s="75"/>
      <c r="C8" s="75"/>
      <c r="D8" s="75">
        <v>21</v>
      </c>
      <c r="E8" s="75"/>
      <c r="F8" s="76"/>
      <c r="G8" s="63" t="s">
        <v>62</v>
      </c>
      <c r="H8" s="75">
        <v>0</v>
      </c>
      <c r="I8" s="75"/>
      <c r="J8" s="75">
        <v>0</v>
      </c>
      <c r="K8" s="75"/>
    </row>
    <row r="9" spans="1:11" ht="16" thickBot="1" x14ac:dyDescent="0.25"/>
    <row r="10" spans="1:11" ht="21" x14ac:dyDescent="0.25">
      <c r="A10" s="83" t="s">
        <v>72</v>
      </c>
      <c r="B10" s="82"/>
      <c r="C10" s="82"/>
      <c r="D10" s="81"/>
      <c r="E10" s="65"/>
      <c r="F10" s="65"/>
      <c r="G10" s="65"/>
      <c r="H10" s="65"/>
      <c r="I10" s="65"/>
      <c r="J10" s="65"/>
      <c r="K10" s="65"/>
    </row>
    <row r="11" spans="1:11" ht="21" x14ac:dyDescent="0.25">
      <c r="A11" s="80"/>
      <c r="B11" s="79" t="s">
        <v>71</v>
      </c>
      <c r="C11" s="79"/>
      <c r="D11" s="79"/>
      <c r="E11" s="79"/>
      <c r="F11" s="78"/>
      <c r="G11" s="77" t="s">
        <v>70</v>
      </c>
      <c r="H11" s="77"/>
      <c r="I11" s="77"/>
      <c r="J11" s="77"/>
      <c r="K11" s="77"/>
    </row>
    <row r="12" spans="1:11" x14ac:dyDescent="0.2">
      <c r="A12" s="63"/>
      <c r="B12" s="61" t="s">
        <v>69</v>
      </c>
      <c r="C12" s="61" t="s">
        <v>68</v>
      </c>
      <c r="D12" s="61" t="s">
        <v>67</v>
      </c>
      <c r="E12" s="61" t="s">
        <v>66</v>
      </c>
      <c r="F12" s="61"/>
      <c r="G12" s="61"/>
      <c r="H12" s="61" t="s">
        <v>69</v>
      </c>
      <c r="I12" s="61" t="s">
        <v>68</v>
      </c>
      <c r="J12" s="61" t="s">
        <v>67</v>
      </c>
      <c r="K12" s="61" t="s">
        <v>66</v>
      </c>
    </row>
    <row r="13" spans="1:11" x14ac:dyDescent="0.2">
      <c r="A13" s="63" t="s">
        <v>65</v>
      </c>
      <c r="B13" s="75">
        <v>100</v>
      </c>
      <c r="C13" s="75">
        <v>80</v>
      </c>
      <c r="D13" s="75">
        <v>98</v>
      </c>
      <c r="E13" s="75"/>
      <c r="F13" s="76"/>
      <c r="G13" s="63" t="s">
        <v>65</v>
      </c>
      <c r="H13" s="62">
        <v>82</v>
      </c>
      <c r="I13" s="75">
        <v>100</v>
      </c>
      <c r="J13" s="75">
        <v>132</v>
      </c>
      <c r="K13" s="75"/>
    </row>
    <row r="14" spans="1:11" x14ac:dyDescent="0.2">
      <c r="A14" s="63" t="s">
        <v>64</v>
      </c>
      <c r="B14" s="75">
        <v>100</v>
      </c>
      <c r="C14" s="75">
        <v>0</v>
      </c>
      <c r="D14" s="75">
        <v>52</v>
      </c>
      <c r="E14" s="75"/>
      <c r="F14" s="76"/>
      <c r="G14" s="63" t="s">
        <v>64</v>
      </c>
      <c r="H14" s="62">
        <v>48</v>
      </c>
      <c r="I14" s="75"/>
      <c r="J14" s="75"/>
      <c r="K14" s="75"/>
    </row>
    <row r="15" spans="1:11" x14ac:dyDescent="0.2">
      <c r="A15" s="63" t="s">
        <v>63</v>
      </c>
      <c r="B15" s="75">
        <v>257</v>
      </c>
      <c r="C15" s="75">
        <v>120</v>
      </c>
      <c r="D15" s="75">
        <v>132</v>
      </c>
      <c r="E15" s="75">
        <v>10</v>
      </c>
      <c r="F15" s="76"/>
      <c r="G15" s="63" t="s">
        <v>63</v>
      </c>
      <c r="H15" s="62">
        <v>245</v>
      </c>
      <c r="I15" s="75">
        <v>108</v>
      </c>
      <c r="J15" s="75">
        <v>226</v>
      </c>
      <c r="K15" s="75">
        <v>13</v>
      </c>
    </row>
    <row r="16" spans="1:11" x14ac:dyDescent="0.2">
      <c r="A16" s="63" t="s">
        <v>62</v>
      </c>
      <c r="B16" s="75">
        <v>180</v>
      </c>
      <c r="C16" s="75">
        <v>120</v>
      </c>
      <c r="D16" s="75">
        <v>69</v>
      </c>
      <c r="E16" s="75"/>
      <c r="F16" s="76"/>
      <c r="G16" s="63" t="s">
        <v>62</v>
      </c>
      <c r="H16" s="62">
        <v>231</v>
      </c>
      <c r="I16" s="75"/>
      <c r="J16" s="75"/>
      <c r="K16" s="75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6</vt:i4>
      </vt:variant>
      <vt:variant>
        <vt:lpstr>Pojmenované oblasti</vt:lpstr>
      </vt:variant>
      <vt:variant>
        <vt:i4>4</vt:i4>
      </vt:variant>
    </vt:vector>
  </HeadingPairs>
  <TitlesOfParts>
    <vt:vector size="10" baseType="lpstr">
      <vt:lpstr>Rozpočet H22</vt:lpstr>
      <vt:lpstr>Rozpočet H21, verze 11.8.2021</vt:lpstr>
      <vt:lpstr>Návrh rozpočtu, verze 2.6.2021</vt:lpstr>
      <vt:lpstr>Návrh rozpočtu, verze 23.6.2020</vt:lpstr>
      <vt:lpstr>Ceny Hamerák 2019 vs 2020</vt:lpstr>
      <vt:lpstr>Prodeje závod, permice a splutí</vt:lpstr>
      <vt:lpstr>'Návrh rozpočtu, verze 2.6.2021'!Oblast_tisku</vt:lpstr>
      <vt:lpstr>'Návrh rozpočtu, verze 23.6.2020'!Oblast_tisku</vt:lpstr>
      <vt:lpstr>'Rozpočet H21, verze 11.8.2021'!Oblast_tisku</vt:lpstr>
      <vt:lpstr>'Rozpočet H22'!Oblast_tisku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</dc:creator>
  <cp:lastModifiedBy>Bauer Tomáš (EXT)</cp:lastModifiedBy>
  <cp:revision>8</cp:revision>
  <cp:lastPrinted>2022-09-28T15:15:51Z</cp:lastPrinted>
  <dcterms:created xsi:type="dcterms:W3CDTF">2010-06-08T11:48:43Z</dcterms:created>
  <dcterms:modified xsi:type="dcterms:W3CDTF">2024-10-26T13:29:13Z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38939b85-7e40-4a1d-91e1-0e84c3b219d7_Enabled">
    <vt:lpwstr>true</vt:lpwstr>
  </property>
  <property fmtid="{D5CDD505-2E9C-101B-9397-08002B2CF9AE}" pid="9" name="MSIP_Label_38939b85-7e40-4a1d-91e1-0e84c3b219d7_SetDate">
    <vt:lpwstr>2024-10-26T13:29:13Z</vt:lpwstr>
  </property>
  <property fmtid="{D5CDD505-2E9C-101B-9397-08002B2CF9AE}" pid="10" name="MSIP_Label_38939b85-7e40-4a1d-91e1-0e84c3b219d7_Method">
    <vt:lpwstr>Standard</vt:lpwstr>
  </property>
  <property fmtid="{D5CDD505-2E9C-101B-9397-08002B2CF9AE}" pid="11" name="MSIP_Label_38939b85-7e40-4a1d-91e1-0e84c3b219d7_Name">
    <vt:lpwstr>38939b85-7e40-4a1d-91e1-0e84c3b219d7</vt:lpwstr>
  </property>
  <property fmtid="{D5CDD505-2E9C-101B-9397-08002B2CF9AE}" pid="12" name="MSIP_Label_38939b85-7e40-4a1d-91e1-0e84c3b219d7_SiteId">
    <vt:lpwstr>3ad0376a-54d3-49a6-9e20-52de0a92fc89</vt:lpwstr>
  </property>
  <property fmtid="{D5CDD505-2E9C-101B-9397-08002B2CF9AE}" pid="13" name="MSIP_Label_38939b85-7e40-4a1d-91e1-0e84c3b219d7_ActionId">
    <vt:lpwstr>e1633a54-c109-4f34-b708-6490eb40a536</vt:lpwstr>
  </property>
  <property fmtid="{D5CDD505-2E9C-101B-9397-08002B2CF9AE}" pid="14" name="MSIP_Label_38939b85-7e40-4a1d-91e1-0e84c3b219d7_ContentBits">
    <vt:lpwstr>0</vt:lpwstr>
  </property>
</Properties>
</file>