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ulka" sheetId="1" r:id="rId5"/>
  </sheets>
  <definedNames/>
  <calcPr/>
</workbook>
</file>

<file path=xl/sharedStrings.xml><?xml version="1.0" encoding="utf-8"?>
<sst xmlns="http://schemas.openxmlformats.org/spreadsheetml/2006/main" count="188" uniqueCount="59">
  <si>
    <t>Prodej kde</t>
  </si>
  <si>
    <t>chatka - závod</t>
  </si>
  <si>
    <t>chatka - permice a kelímky</t>
  </si>
  <si>
    <t>Jindřiš</t>
  </si>
  <si>
    <t>Hráz - sobota</t>
  </si>
  <si>
    <t>Hráz - neděle</t>
  </si>
  <si>
    <t>ostatní</t>
  </si>
  <si>
    <t>SUMA</t>
  </si>
  <si>
    <t>Analýzy dat</t>
  </si>
  <si>
    <t>Kategorie</t>
  </si>
  <si>
    <t>závod</t>
  </si>
  <si>
    <t>Splutí</t>
  </si>
  <si>
    <t>permice</t>
  </si>
  <si>
    <t>kelímky</t>
  </si>
  <si>
    <t>splutí</t>
  </si>
  <si>
    <t>sum závod + splutí</t>
  </si>
  <si>
    <t>poměr permic na splutí (se závodem)</t>
  </si>
  <si>
    <t>Co</t>
  </si>
  <si>
    <t>čísla</t>
  </si>
  <si>
    <t>lidi</t>
  </si>
  <si>
    <t>VIK</t>
  </si>
  <si>
    <t>SO</t>
  </si>
  <si>
    <t>KEL</t>
  </si>
  <si>
    <t>ŽE</t>
  </si>
  <si>
    <t>VR.K</t>
  </si>
  <si>
    <t>NE</t>
  </si>
  <si>
    <t>celkem</t>
  </si>
  <si>
    <t>Z+VIK</t>
  </si>
  <si>
    <t>Z+VIK+SO</t>
  </si>
  <si>
    <t>Z+SO+NE+VIK</t>
  </si>
  <si>
    <t>SO+VIK</t>
  </si>
  <si>
    <t>SO+NE+VIK</t>
  </si>
  <si>
    <t>ALL</t>
  </si>
  <si>
    <t>Trendy</t>
  </si>
  <si>
    <t>2016-&gt;2017</t>
  </si>
  <si>
    <t>2017-&gt;2019</t>
  </si>
  <si>
    <t>2019-&gt;2021</t>
  </si>
  <si>
    <t>2021-&gt;2022</t>
  </si>
  <si>
    <t>2022-&gt;2024</t>
  </si>
  <si>
    <t>Podklady</t>
  </si>
  <si>
    <t>Ceny</t>
  </si>
  <si>
    <t>Datum</t>
  </si>
  <si>
    <t>Počasí v týdnu před akcí a během akce</t>
  </si>
  <si>
    <t>Spolu</t>
  </si>
  <si>
    <t>Z+SO</t>
  </si>
  <si>
    <t>V týdnu před akcí</t>
  </si>
  <si>
    <t>V sobotu</t>
  </si>
  <si>
    <t>V neděli</t>
  </si>
  <si>
    <t>chladno, bez deště</t>
  </si>
  <si>
    <t>deštivo, kosa</t>
  </si>
  <si>
    <t>kosa, bez deště</t>
  </si>
  <si>
    <t>babí léto</t>
  </si>
  <si>
    <t>polojasno, čepice</t>
  </si>
  <si>
    <t>poměrně teplo</t>
  </si>
  <si>
    <t>cca 12-15°C, bez deště</t>
  </si>
  <si>
    <t>nevím</t>
  </si>
  <si>
    <t>12-8°C, deštivo</t>
  </si>
  <si>
    <t>8°C, mrholí</t>
  </si>
  <si>
    <t>8°C polojasno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</si>
</sst>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.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/>
    <font>
      <color rgb="FF000000"/>
      <name val="Arial"/>
      <scheme val="minor"/>
    </font>
    <font>
      <b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E6B8AF"/>
        <bgColor rgb="FFE6B8AF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8">
    <border/>
    <border>
      <left style="thick">
        <color rgb="FF000000"/>
      </left>
    </border>
    <border>
      <right style="thick">
        <color rgb="FF000000"/>
      </right>
    </border>
    <border>
      <right style="medium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right style="medium">
        <color rgb="FF000000"/>
      </right>
      <bottom style="thick">
        <color rgb="FF000000"/>
      </bottom>
    </border>
    <border>
      <left style="medium">
        <color rgb="FF000000"/>
      </left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3" fontId="1" numFmtId="0" xfId="0" applyAlignment="1" applyFill="1" applyFont="1">
      <alignment horizontal="center" readingOrder="0"/>
    </xf>
    <xf borderId="1" fillId="4" fontId="1" numFmtId="0" xfId="0" applyAlignment="1" applyBorder="1" applyFill="1" applyFont="1">
      <alignment horizontal="center" readingOrder="0"/>
    </xf>
    <xf borderId="0" fillId="5" fontId="1" numFmtId="0" xfId="0" applyAlignment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1" fillId="8" fontId="1" numFmtId="0" xfId="0" applyAlignment="1" applyBorder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3" fillId="0" fontId="2" numFmtId="0" xfId="0" applyBorder="1" applyFont="1"/>
    <xf borderId="1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5" fillId="0" fontId="2" numFmtId="0" xfId="0" applyBorder="1" applyFont="1"/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6" fillId="0" fontId="1" numFmtId="0" xfId="0" applyAlignment="1" applyBorder="1" applyFont="1">
      <alignment horizontal="right" readingOrder="0"/>
    </xf>
    <xf borderId="7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/>
    </xf>
    <xf borderId="6" fillId="0" fontId="3" numFmtId="0" xfId="0" applyAlignment="1" applyBorder="1" applyFont="1">
      <alignment horizontal="center" readingOrder="0"/>
    </xf>
    <xf borderId="10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  <xf borderId="4" fillId="0" fontId="1" numFmtId="0" xfId="0" applyBorder="1" applyFont="1"/>
    <xf borderId="2" fillId="0" fontId="1" numFmtId="0" xfId="0" applyBorder="1" applyFont="1"/>
    <xf borderId="1" fillId="0" fontId="1" numFmtId="0" xfId="0" applyBorder="1" applyFont="1"/>
    <xf borderId="5" fillId="0" fontId="1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0" fillId="0" fontId="1" numFmtId="0" xfId="0" applyFont="1"/>
    <xf borderId="0" fillId="0" fontId="1" numFmtId="9" xfId="0" applyFont="1" applyNumberFormat="1"/>
    <xf borderId="3" fillId="0" fontId="1" numFmtId="9" xfId="0" applyBorder="1" applyFont="1" applyNumberFormat="1"/>
    <xf borderId="3" fillId="0" fontId="1" numFmtId="0" xfId="0" applyBorder="1" applyFont="1"/>
    <xf borderId="0" fillId="0" fontId="4" numFmtId="0" xfId="0" applyAlignment="1" applyFont="1">
      <alignment readingOrder="0"/>
    </xf>
    <xf borderId="12" fillId="2" fontId="1" numFmtId="0" xfId="0" applyAlignment="1" applyBorder="1" applyFont="1">
      <alignment horizontal="center" readingOrder="0"/>
    </xf>
    <xf borderId="12" fillId="4" fontId="1" numFmtId="0" xfId="0" applyAlignment="1" applyBorder="1" applyFont="1">
      <alignment horizontal="center" readingOrder="0"/>
    </xf>
    <xf borderId="12" fillId="6" fontId="1" numFmtId="0" xfId="0" applyAlignment="1" applyBorder="1" applyFont="1">
      <alignment horizontal="center" readingOrder="0"/>
    </xf>
    <xf borderId="12" fillId="8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13" fillId="0" fontId="1" numFmtId="0" xfId="0" applyAlignment="1" applyBorder="1" applyFont="1">
      <alignment horizontal="right" readingOrder="0"/>
    </xf>
    <xf borderId="14" fillId="0" fontId="1" numFmtId="0" xfId="0" applyAlignment="1" applyBorder="1" applyFont="1">
      <alignment horizontal="center" readingOrder="0"/>
    </xf>
    <xf borderId="15" fillId="0" fontId="1" numFmtId="0" xfId="0" applyAlignment="1" applyBorder="1" applyFont="1">
      <alignment horizontal="center" readingOrder="0"/>
    </xf>
    <xf borderId="13" fillId="0" fontId="1" numFmtId="0" xfId="0" applyAlignment="1" applyBorder="1" applyFont="1">
      <alignment horizontal="center" readingOrder="0"/>
    </xf>
    <xf borderId="16" fillId="0" fontId="1" numFmtId="0" xfId="0" applyAlignment="1" applyBorder="1" applyFont="1">
      <alignment horizontal="center" readingOrder="0"/>
    </xf>
    <xf borderId="17" fillId="0" fontId="1" numFmtId="0" xfId="0" applyAlignment="1" applyBorder="1" applyFont="1">
      <alignment horizontal="center" readingOrder="0"/>
    </xf>
    <xf borderId="13" fillId="0" fontId="3" numFmtId="0" xfId="0" applyAlignment="1" applyBorder="1" applyFont="1">
      <alignment horizontal="center" readingOrder="0"/>
    </xf>
    <xf borderId="13" fillId="0" fontId="1" numFmtId="0" xfId="0" applyAlignment="1" applyBorder="1" applyFont="1">
      <alignment readingOrder="0"/>
    </xf>
    <xf borderId="15" fillId="0" fontId="1" numFmtId="0" xfId="0" applyAlignment="1" applyBorder="1" applyFont="1">
      <alignment readingOrder="0"/>
    </xf>
    <xf borderId="17" fillId="0" fontId="1" numFmtId="0" xfId="0" applyAlignment="1" applyBorder="1" applyFont="1">
      <alignment readingOrder="0"/>
    </xf>
    <xf borderId="16" fillId="0" fontId="1" numFmtId="0" xfId="0" applyAlignment="1" applyBorder="1" applyFont="1">
      <alignment readingOrder="0"/>
    </xf>
    <xf borderId="13" fillId="0" fontId="1" numFmtId="0" xfId="0" applyBorder="1" applyFont="1"/>
    <xf borderId="12" fillId="0" fontId="1" numFmtId="0" xfId="0" applyBorder="1" applyFont="1"/>
    <xf borderId="12" fillId="0" fontId="1" numFmtId="9" xfId="0" applyAlignment="1" applyBorder="1" applyFont="1" applyNumberFormat="1">
      <alignment readingOrder="0"/>
    </xf>
    <xf borderId="5" fillId="0" fontId="1" numFmtId="9" xfId="0" applyAlignment="1" applyBorder="1" applyFont="1" applyNumberFormat="1">
      <alignment readingOrder="0"/>
    </xf>
    <xf borderId="0" fillId="0" fontId="1" numFmtId="9" xfId="0" applyAlignment="1" applyFont="1" applyNumberFormat="1">
      <alignment readingOrder="0"/>
    </xf>
    <xf borderId="3" fillId="0" fontId="1" numFmtId="9" xfId="0" applyAlignment="1" applyBorder="1" applyFont="1" applyNumberFormat="1">
      <alignment readingOrder="0"/>
    </xf>
    <xf borderId="4" fillId="0" fontId="1" numFmtId="9" xfId="0" applyAlignment="1" applyBorder="1" applyFont="1" applyNumberFormat="1">
      <alignment readingOrder="0"/>
    </xf>
    <xf borderId="14" fillId="0" fontId="1" numFmtId="0" xfId="0" applyAlignment="1" applyBorder="1" applyFont="1">
      <alignment readingOrder="0"/>
    </xf>
    <xf borderId="13" fillId="0" fontId="2" numFmtId="0" xfId="0" applyBorder="1" applyFont="1"/>
    <xf borderId="15" fillId="0" fontId="2" numFmtId="0" xfId="0" applyBorder="1" applyFont="1"/>
    <xf borderId="16" fillId="0" fontId="1" numFmtId="0" xfId="0" applyBorder="1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2" max="34" width="5.0"/>
    <col customWidth="1" min="35" max="35" width="5.25"/>
    <col customWidth="1" min="36" max="36" width="7.75"/>
    <col customWidth="1" min="37" max="37" width="9.0"/>
    <col customWidth="1" min="38" max="38" width="12.38"/>
    <col customWidth="1" min="39" max="39" width="7.13"/>
    <col customWidth="1" min="40" max="40" width="10.38"/>
    <col customWidth="1" min="41" max="44" width="7.88"/>
    <col customWidth="1" min="45" max="46" width="5.25"/>
  </cols>
  <sheetData>
    <row r="1">
      <c r="A1" s="1" t="s">
        <v>0</v>
      </c>
      <c r="B1" s="2" t="s">
        <v>1</v>
      </c>
      <c r="E1" s="3"/>
      <c r="F1" s="4" t="s">
        <v>2</v>
      </c>
      <c r="J1" s="5" t="s">
        <v>3</v>
      </c>
      <c r="L1" s="3"/>
      <c r="M1" s="6" t="s">
        <v>4</v>
      </c>
      <c r="S1" s="7" t="s">
        <v>5</v>
      </c>
      <c r="T1" s="3"/>
      <c r="U1" s="8" t="s">
        <v>6</v>
      </c>
      <c r="Y1" s="9" t="s">
        <v>7</v>
      </c>
      <c r="AI1" s="3"/>
      <c r="AJ1" s="10" t="s">
        <v>8</v>
      </c>
      <c r="AR1" s="11"/>
    </row>
    <row r="2">
      <c r="A2" s="1" t="s">
        <v>9</v>
      </c>
      <c r="B2" s="12" t="s">
        <v>10</v>
      </c>
      <c r="C2" s="11"/>
      <c r="D2" s="13" t="s">
        <v>11</v>
      </c>
      <c r="E2" s="3"/>
      <c r="F2" s="14" t="s">
        <v>12</v>
      </c>
      <c r="G2" s="11"/>
      <c r="H2" s="13" t="s">
        <v>13</v>
      </c>
      <c r="J2" s="12" t="s">
        <v>13</v>
      </c>
      <c r="L2" s="3"/>
      <c r="M2" s="14" t="s">
        <v>14</v>
      </c>
      <c r="O2" s="13" t="s">
        <v>12</v>
      </c>
      <c r="P2" s="15"/>
      <c r="Q2" s="14" t="s">
        <v>13</v>
      </c>
      <c r="S2" s="16" t="s">
        <v>14</v>
      </c>
      <c r="T2" s="17" t="s">
        <v>12</v>
      </c>
      <c r="U2" s="14" t="s">
        <v>12</v>
      </c>
      <c r="W2" s="15"/>
      <c r="X2" s="18" t="s">
        <v>13</v>
      </c>
      <c r="Y2" s="12" t="s">
        <v>10</v>
      </c>
      <c r="AA2" s="13" t="s">
        <v>11</v>
      </c>
      <c r="AC2" s="15"/>
      <c r="AD2" s="14" t="s">
        <v>12</v>
      </c>
      <c r="AG2" s="13" t="s">
        <v>13</v>
      </c>
      <c r="AI2" s="3"/>
      <c r="AJ2" s="14" t="s">
        <v>15</v>
      </c>
      <c r="AL2" s="15"/>
      <c r="AM2" s="14" t="s">
        <v>12</v>
      </c>
      <c r="AN2" s="15"/>
      <c r="AO2" s="14" t="s">
        <v>16</v>
      </c>
      <c r="AR2" s="11"/>
      <c r="AS2" s="14"/>
      <c r="AT2" s="14"/>
    </row>
    <row r="3">
      <c r="A3" s="19" t="s">
        <v>17</v>
      </c>
      <c r="B3" s="20" t="s">
        <v>18</v>
      </c>
      <c r="C3" s="21" t="s">
        <v>19</v>
      </c>
      <c r="D3" s="22" t="s">
        <v>20</v>
      </c>
      <c r="E3" s="23" t="s">
        <v>21</v>
      </c>
      <c r="F3" s="21" t="s">
        <v>20</v>
      </c>
      <c r="G3" s="21" t="s">
        <v>21</v>
      </c>
      <c r="H3" s="22" t="s">
        <v>22</v>
      </c>
      <c r="I3" s="21" t="s">
        <v>23</v>
      </c>
      <c r="J3" s="20" t="s">
        <v>22</v>
      </c>
      <c r="K3" s="24" t="s">
        <v>24</v>
      </c>
      <c r="L3" s="23" t="s">
        <v>23</v>
      </c>
      <c r="M3" s="21" t="s">
        <v>20</v>
      </c>
      <c r="N3" s="21" t="s">
        <v>21</v>
      </c>
      <c r="O3" s="22" t="s">
        <v>20</v>
      </c>
      <c r="P3" s="25" t="s">
        <v>21</v>
      </c>
      <c r="Q3" s="21" t="s">
        <v>22</v>
      </c>
      <c r="R3" s="21" t="s">
        <v>23</v>
      </c>
      <c r="S3" s="20" t="s">
        <v>25</v>
      </c>
      <c r="T3" s="23" t="s">
        <v>25</v>
      </c>
      <c r="U3" s="21" t="s">
        <v>20</v>
      </c>
      <c r="V3" s="21" t="s">
        <v>21</v>
      </c>
      <c r="W3" s="25" t="s">
        <v>25</v>
      </c>
      <c r="X3" s="21" t="s">
        <v>22</v>
      </c>
      <c r="Y3" s="20" t="s">
        <v>18</v>
      </c>
      <c r="Z3" s="21" t="s">
        <v>19</v>
      </c>
      <c r="AA3" s="22" t="s">
        <v>20</v>
      </c>
      <c r="AB3" s="21" t="s">
        <v>21</v>
      </c>
      <c r="AC3" s="25" t="s">
        <v>25</v>
      </c>
      <c r="AD3" s="21" t="s">
        <v>20</v>
      </c>
      <c r="AE3" s="21" t="s">
        <v>21</v>
      </c>
      <c r="AF3" s="21" t="s">
        <v>25</v>
      </c>
      <c r="AG3" s="22" t="s">
        <v>22</v>
      </c>
      <c r="AH3" s="21" t="s">
        <v>23</v>
      </c>
      <c r="AI3" s="23" t="s">
        <v>26</v>
      </c>
      <c r="AJ3" s="26" t="s">
        <v>27</v>
      </c>
      <c r="AK3" s="26" t="s">
        <v>28</v>
      </c>
      <c r="AL3" s="27" t="s">
        <v>29</v>
      </c>
      <c r="AM3" s="26" t="s">
        <v>30</v>
      </c>
      <c r="AN3" s="27" t="s">
        <v>31</v>
      </c>
      <c r="AO3" s="26" t="s">
        <v>20</v>
      </c>
      <c r="AP3" s="26" t="s">
        <v>21</v>
      </c>
      <c r="AQ3" s="26" t="s">
        <v>25</v>
      </c>
      <c r="AR3" s="28" t="s">
        <v>32</v>
      </c>
      <c r="AS3" s="26"/>
      <c r="AT3" s="26"/>
    </row>
    <row r="4">
      <c r="A4" s="18">
        <v>2016.0</v>
      </c>
      <c r="B4" s="16">
        <v>360.0</v>
      </c>
      <c r="C4" s="18">
        <v>405.0</v>
      </c>
      <c r="D4" s="29"/>
      <c r="E4" s="30"/>
      <c r="H4" s="29"/>
      <c r="J4" s="31"/>
      <c r="L4" s="30"/>
      <c r="O4" s="29"/>
      <c r="P4" s="32"/>
      <c r="S4" s="31"/>
      <c r="T4" s="30"/>
      <c r="W4" s="32"/>
      <c r="Y4" s="31"/>
      <c r="AA4" s="33">
        <v>553.0</v>
      </c>
      <c r="AB4" s="18">
        <v>119.0</v>
      </c>
      <c r="AC4" s="34">
        <v>205.0</v>
      </c>
      <c r="AD4" s="18">
        <v>302.0</v>
      </c>
      <c r="AE4" s="18">
        <v>252.0</v>
      </c>
      <c r="AF4" s="18">
        <v>160.0</v>
      </c>
      <c r="AG4" s="29"/>
      <c r="AI4" s="30"/>
      <c r="AJ4" s="35">
        <f t="shared" ref="AJ4:AJ9" si="2">Z4+AA4</f>
        <v>553</v>
      </c>
      <c r="AK4" s="35">
        <f t="shared" ref="AK4:AK9" si="3">Z4+AA4+AB4</f>
        <v>672</v>
      </c>
      <c r="AL4" s="32">
        <f t="shared" ref="AL4:AL9" si="4">SUM(Z4:AC4)</f>
        <v>877</v>
      </c>
      <c r="AM4" s="35">
        <f t="shared" ref="AM4:AM9" si="5">AD4+AE4</f>
        <v>554</v>
      </c>
      <c r="AN4" s="32">
        <f t="shared" ref="AN4:AN9" si="6">AD4+AE4+AF4</f>
        <v>714</v>
      </c>
      <c r="AO4" s="36">
        <f t="shared" ref="AO4:AO9" si="7">AD4/AJ4</f>
        <v>0.5461121157</v>
      </c>
      <c r="AP4" s="36">
        <f t="shared" ref="AP4:AQ4" si="1">AE4/AB4</f>
        <v>2.117647059</v>
      </c>
      <c r="AQ4" s="36">
        <f t="shared" si="1"/>
        <v>0.7804878049</v>
      </c>
      <c r="AR4" s="37">
        <f t="shared" ref="AR4:AR9" si="9">AN4/AL4</f>
        <v>0.8141391106</v>
      </c>
    </row>
    <row r="5">
      <c r="A5" s="18">
        <v>2017.0</v>
      </c>
      <c r="B5" s="16">
        <v>358.0</v>
      </c>
      <c r="C5" s="18">
        <v>404.0</v>
      </c>
      <c r="D5" s="29"/>
      <c r="E5" s="30"/>
      <c r="H5" s="29"/>
      <c r="J5" s="31"/>
      <c r="L5" s="30"/>
      <c r="O5" s="29"/>
      <c r="P5" s="32"/>
      <c r="S5" s="31"/>
      <c r="T5" s="30"/>
      <c r="W5" s="32"/>
      <c r="Y5" s="31"/>
      <c r="AA5" s="33">
        <v>558.0</v>
      </c>
      <c r="AB5" s="18">
        <v>121.0</v>
      </c>
      <c r="AC5" s="34">
        <v>158.0</v>
      </c>
      <c r="AD5" s="18">
        <v>302.0</v>
      </c>
      <c r="AE5" s="18">
        <v>252.0</v>
      </c>
      <c r="AF5" s="18">
        <v>160.0</v>
      </c>
      <c r="AG5" s="29"/>
      <c r="AI5" s="30"/>
      <c r="AJ5" s="35">
        <f t="shared" si="2"/>
        <v>558</v>
      </c>
      <c r="AK5" s="35">
        <f t="shared" si="3"/>
        <v>679</v>
      </c>
      <c r="AL5" s="32">
        <f t="shared" si="4"/>
        <v>837</v>
      </c>
      <c r="AM5" s="35">
        <f t="shared" si="5"/>
        <v>554</v>
      </c>
      <c r="AN5" s="32">
        <f t="shared" si="6"/>
        <v>714</v>
      </c>
      <c r="AO5" s="36">
        <f t="shared" si="7"/>
        <v>0.541218638</v>
      </c>
      <c r="AP5" s="36">
        <f t="shared" ref="AP5:AQ5" si="8">AE5/AB5</f>
        <v>2.082644628</v>
      </c>
      <c r="AQ5" s="36">
        <f t="shared" si="8"/>
        <v>1.012658228</v>
      </c>
      <c r="AR5" s="37">
        <f t="shared" si="9"/>
        <v>0.853046595</v>
      </c>
    </row>
    <row r="6">
      <c r="A6" s="18">
        <v>2019.0</v>
      </c>
      <c r="B6" s="31"/>
      <c r="C6" s="18">
        <v>300.0</v>
      </c>
      <c r="D6" s="33">
        <v>10.0</v>
      </c>
      <c r="E6" s="17">
        <v>21.0</v>
      </c>
      <c r="F6" s="18">
        <v>118.0</v>
      </c>
      <c r="G6" s="18">
        <v>65.0</v>
      </c>
      <c r="H6" s="33"/>
      <c r="J6" s="31"/>
      <c r="L6" s="30"/>
      <c r="M6" s="18">
        <v>132.0</v>
      </c>
      <c r="N6" s="18">
        <v>69.0</v>
      </c>
      <c r="O6" s="33">
        <v>98.0</v>
      </c>
      <c r="P6" s="34">
        <v>52.0</v>
      </c>
      <c r="S6" s="16">
        <v>226.0</v>
      </c>
      <c r="T6" s="17">
        <v>132.0</v>
      </c>
      <c r="V6" s="18">
        <v>3.0</v>
      </c>
      <c r="W6" s="34">
        <v>1.0</v>
      </c>
      <c r="Y6" s="31" t="str">
        <f t="shared" ref="Y6:Z6" si="10">B6</f>
        <v/>
      </c>
      <c r="Z6" s="35">
        <f t="shared" si="10"/>
        <v>300</v>
      </c>
      <c r="AA6" s="29">
        <f t="shared" ref="AA6:AB6" si="11">D6+M6</f>
        <v>142</v>
      </c>
      <c r="AB6" s="35">
        <f t="shared" si="11"/>
        <v>90</v>
      </c>
      <c r="AC6" s="32">
        <f t="shared" ref="AC6:AC9" si="16">S6</f>
        <v>226</v>
      </c>
      <c r="AD6" s="35">
        <f t="shared" ref="AD6:AE6" si="12">F6+O6+U6</f>
        <v>216</v>
      </c>
      <c r="AE6" s="35">
        <f t="shared" si="12"/>
        <v>120</v>
      </c>
      <c r="AF6" s="35">
        <f t="shared" ref="AF6:AF9" si="18">T6+W6</f>
        <v>133</v>
      </c>
      <c r="AG6" s="29">
        <f t="shared" ref="AG6:AG9" si="19">H6+J6+K6+Q6+X6</f>
        <v>0</v>
      </c>
      <c r="AH6" s="35">
        <f t="shared" ref="AH6:AH9" si="20">I6+L6</f>
        <v>0</v>
      </c>
      <c r="AI6" s="30">
        <f t="shared" ref="AI6:AI9" si="21">SUM(AG6:AH6)</f>
        <v>0</v>
      </c>
      <c r="AJ6" s="35">
        <f t="shared" si="2"/>
        <v>442</v>
      </c>
      <c r="AK6" s="35">
        <f t="shared" si="3"/>
        <v>532</v>
      </c>
      <c r="AL6" s="32">
        <f t="shared" si="4"/>
        <v>758</v>
      </c>
      <c r="AM6" s="35">
        <f t="shared" si="5"/>
        <v>336</v>
      </c>
      <c r="AN6" s="32">
        <f t="shared" si="6"/>
        <v>469</v>
      </c>
      <c r="AO6" s="36">
        <f t="shared" si="7"/>
        <v>0.4886877828</v>
      </c>
      <c r="AP6" s="36">
        <f t="shared" ref="AP6:AQ6" si="13">AE6/AB6</f>
        <v>1.333333333</v>
      </c>
      <c r="AQ6" s="36">
        <f t="shared" si="13"/>
        <v>0.5884955752</v>
      </c>
      <c r="AR6" s="37">
        <f t="shared" si="9"/>
        <v>0.6187335092</v>
      </c>
    </row>
    <row r="7">
      <c r="A7" s="18">
        <v>2021.0</v>
      </c>
      <c r="B7" s="16"/>
      <c r="C7" s="18">
        <v>256.0</v>
      </c>
      <c r="D7" s="33">
        <v>47.0</v>
      </c>
      <c r="E7" s="17">
        <v>25.0</v>
      </c>
      <c r="F7" s="18">
        <v>149.0</v>
      </c>
      <c r="G7" s="18">
        <v>64.0</v>
      </c>
      <c r="H7" s="33">
        <v>67.0</v>
      </c>
      <c r="I7" s="18">
        <v>88.0</v>
      </c>
      <c r="J7" s="16">
        <v>165.0</v>
      </c>
      <c r="K7" s="18">
        <v>-82.0</v>
      </c>
      <c r="L7" s="17">
        <v>-23.0</v>
      </c>
      <c r="M7" s="18">
        <v>91.0</v>
      </c>
      <c r="N7" s="18">
        <v>118.0</v>
      </c>
      <c r="O7" s="33">
        <v>56.0</v>
      </c>
      <c r="P7" s="34">
        <v>48.0</v>
      </c>
      <c r="Q7" s="18">
        <v>0.0</v>
      </c>
      <c r="R7" s="18">
        <v>0.0</v>
      </c>
      <c r="S7" s="16">
        <v>138.0</v>
      </c>
      <c r="T7" s="17">
        <v>74.0</v>
      </c>
      <c r="U7" s="18">
        <v>0.0</v>
      </c>
      <c r="V7" s="18">
        <v>0.0</v>
      </c>
      <c r="W7" s="34">
        <v>0.0</v>
      </c>
      <c r="X7" s="18">
        <v>0.0</v>
      </c>
      <c r="Y7" s="31" t="str">
        <f t="shared" ref="Y7:Z7" si="14">B7</f>
        <v/>
      </c>
      <c r="Z7" s="35">
        <f t="shared" si="14"/>
        <v>256</v>
      </c>
      <c r="AA7" s="29">
        <f t="shared" ref="AA7:AB7" si="15">D7+M7</f>
        <v>138</v>
      </c>
      <c r="AB7" s="35">
        <f t="shared" si="15"/>
        <v>143</v>
      </c>
      <c r="AC7" s="32">
        <f t="shared" si="16"/>
        <v>138</v>
      </c>
      <c r="AD7" s="35">
        <f t="shared" ref="AD7:AE7" si="17">F7+O7+U7</f>
        <v>205</v>
      </c>
      <c r="AE7" s="35">
        <f t="shared" si="17"/>
        <v>112</v>
      </c>
      <c r="AF7" s="35">
        <f t="shared" si="18"/>
        <v>74</v>
      </c>
      <c r="AG7" s="29">
        <f t="shared" si="19"/>
        <v>150</v>
      </c>
      <c r="AH7" s="35">
        <f t="shared" si="20"/>
        <v>65</v>
      </c>
      <c r="AI7" s="30">
        <f t="shared" si="21"/>
        <v>215</v>
      </c>
      <c r="AJ7" s="35">
        <f t="shared" si="2"/>
        <v>394</v>
      </c>
      <c r="AK7" s="35">
        <f t="shared" si="3"/>
        <v>537</v>
      </c>
      <c r="AL7" s="32">
        <f t="shared" si="4"/>
        <v>675</v>
      </c>
      <c r="AM7" s="35">
        <f t="shared" si="5"/>
        <v>317</v>
      </c>
      <c r="AN7" s="32">
        <f t="shared" si="6"/>
        <v>391</v>
      </c>
      <c r="AO7" s="36">
        <f t="shared" si="7"/>
        <v>0.5203045685</v>
      </c>
      <c r="AP7" s="36">
        <f t="shared" ref="AP7:AQ7" si="22">AE7/AB7</f>
        <v>0.7832167832</v>
      </c>
      <c r="AQ7" s="36">
        <f t="shared" si="22"/>
        <v>0.5362318841</v>
      </c>
      <c r="AR7" s="37">
        <f t="shared" si="9"/>
        <v>0.5792592593</v>
      </c>
    </row>
    <row r="8">
      <c r="A8" s="18">
        <v>2022.0</v>
      </c>
      <c r="B8" s="16">
        <v>242.0</v>
      </c>
      <c r="C8" s="18">
        <v>274.0</v>
      </c>
      <c r="D8" s="33">
        <v>26.0</v>
      </c>
      <c r="E8" s="17">
        <v>19.0</v>
      </c>
      <c r="F8" s="18">
        <v>110.0</v>
      </c>
      <c r="G8" s="18">
        <v>59.0</v>
      </c>
      <c r="H8" s="33">
        <v>26.0</v>
      </c>
      <c r="I8" s="18">
        <v>41.0</v>
      </c>
      <c r="J8" s="16">
        <v>76.0</v>
      </c>
      <c r="K8" s="18">
        <v>-38.0</v>
      </c>
      <c r="L8" s="17">
        <v>-38.0</v>
      </c>
      <c r="M8" s="18">
        <v>60.0</v>
      </c>
      <c r="N8" s="18">
        <v>62.0</v>
      </c>
      <c r="O8" s="33">
        <v>37.0</v>
      </c>
      <c r="P8" s="34">
        <v>52.0</v>
      </c>
      <c r="Q8" s="18">
        <v>0.0</v>
      </c>
      <c r="R8" s="18">
        <v>0.0</v>
      </c>
      <c r="S8" s="16">
        <v>114.0</v>
      </c>
      <c r="T8" s="17">
        <v>73.0</v>
      </c>
      <c r="U8" s="18">
        <v>0.0</v>
      </c>
      <c r="V8" s="18">
        <v>0.0</v>
      </c>
      <c r="W8" s="34">
        <v>0.0</v>
      </c>
      <c r="X8" s="18">
        <v>0.0</v>
      </c>
      <c r="Y8" s="31">
        <f t="shared" ref="Y8:Z8" si="23">B8</f>
        <v>242</v>
      </c>
      <c r="Z8" s="35">
        <f t="shared" si="23"/>
        <v>274</v>
      </c>
      <c r="AA8" s="29">
        <f t="shared" ref="AA8:AB8" si="24">D8+M8</f>
        <v>86</v>
      </c>
      <c r="AB8" s="35">
        <f t="shared" si="24"/>
        <v>81</v>
      </c>
      <c r="AC8" s="32">
        <f t="shared" si="16"/>
        <v>114</v>
      </c>
      <c r="AD8" s="35">
        <f t="shared" ref="AD8:AE8" si="25">F8+O8+U8</f>
        <v>147</v>
      </c>
      <c r="AE8" s="35">
        <f t="shared" si="25"/>
        <v>111</v>
      </c>
      <c r="AF8" s="35">
        <f t="shared" si="18"/>
        <v>73</v>
      </c>
      <c r="AG8" s="29">
        <f t="shared" si="19"/>
        <v>64</v>
      </c>
      <c r="AH8" s="35">
        <f t="shared" si="20"/>
        <v>3</v>
      </c>
      <c r="AI8" s="30">
        <f t="shared" si="21"/>
        <v>67</v>
      </c>
      <c r="AJ8" s="35">
        <f t="shared" si="2"/>
        <v>360</v>
      </c>
      <c r="AK8" s="35">
        <f t="shared" si="3"/>
        <v>441</v>
      </c>
      <c r="AL8" s="32">
        <f t="shared" si="4"/>
        <v>555</v>
      </c>
      <c r="AM8" s="35">
        <f t="shared" si="5"/>
        <v>258</v>
      </c>
      <c r="AN8" s="32">
        <f t="shared" si="6"/>
        <v>331</v>
      </c>
      <c r="AO8" s="36">
        <f t="shared" si="7"/>
        <v>0.4083333333</v>
      </c>
      <c r="AP8" s="36">
        <f t="shared" ref="AP8:AQ8" si="26">AE8/AB8</f>
        <v>1.37037037</v>
      </c>
      <c r="AQ8" s="36">
        <f t="shared" si="26"/>
        <v>0.6403508772</v>
      </c>
      <c r="AR8" s="37">
        <f t="shared" si="9"/>
        <v>0.5963963964</v>
      </c>
    </row>
    <row r="9">
      <c r="A9" s="18">
        <v>2024.0</v>
      </c>
      <c r="B9" s="16">
        <v>219.0</v>
      </c>
      <c r="C9" s="18">
        <v>253.0</v>
      </c>
      <c r="D9" s="33">
        <v>21.0</v>
      </c>
      <c r="E9" s="17">
        <v>7.0</v>
      </c>
      <c r="F9" s="18">
        <v>90.0</v>
      </c>
      <c r="G9" s="18">
        <v>66.0</v>
      </c>
      <c r="H9" s="33">
        <v>12.0</v>
      </c>
      <c r="I9" s="18">
        <v>15.0</v>
      </c>
      <c r="J9" s="16">
        <v>0.0</v>
      </c>
      <c r="K9" s="18">
        <v>0.0</v>
      </c>
      <c r="L9" s="17">
        <v>-15.0</v>
      </c>
      <c r="M9" s="18">
        <v>43.0</v>
      </c>
      <c r="N9" s="18">
        <v>55.0</v>
      </c>
      <c r="O9" s="33">
        <v>33.0</v>
      </c>
      <c r="P9" s="34">
        <v>47.0</v>
      </c>
      <c r="Q9" s="18">
        <v>3.0</v>
      </c>
      <c r="R9" s="18">
        <v>0.0</v>
      </c>
      <c r="S9" s="16">
        <v>125.0</v>
      </c>
      <c r="T9" s="17">
        <v>77.0</v>
      </c>
      <c r="U9" s="18">
        <v>1.0</v>
      </c>
      <c r="V9" s="18">
        <v>3.0</v>
      </c>
      <c r="W9" s="34">
        <v>1.0</v>
      </c>
      <c r="X9" s="18">
        <v>8.0</v>
      </c>
      <c r="Y9" s="31">
        <f t="shared" ref="Y9:Z9" si="27">B9</f>
        <v>219</v>
      </c>
      <c r="Z9" s="35">
        <f t="shared" si="27"/>
        <v>253</v>
      </c>
      <c r="AA9" s="29">
        <f t="shared" ref="AA9:AB9" si="28">D9+M9</f>
        <v>64</v>
      </c>
      <c r="AB9" s="35">
        <f t="shared" si="28"/>
        <v>62</v>
      </c>
      <c r="AC9" s="32">
        <f t="shared" si="16"/>
        <v>125</v>
      </c>
      <c r="AD9" s="35">
        <f t="shared" ref="AD9:AE9" si="29">F9+O9+U9</f>
        <v>124</v>
      </c>
      <c r="AE9" s="35">
        <f t="shared" si="29"/>
        <v>116</v>
      </c>
      <c r="AF9" s="35">
        <f t="shared" si="18"/>
        <v>78</v>
      </c>
      <c r="AG9" s="29">
        <f t="shared" si="19"/>
        <v>23</v>
      </c>
      <c r="AH9" s="35">
        <f t="shared" si="20"/>
        <v>0</v>
      </c>
      <c r="AI9" s="30">
        <f t="shared" si="21"/>
        <v>23</v>
      </c>
      <c r="AJ9" s="35">
        <f t="shared" si="2"/>
        <v>317</v>
      </c>
      <c r="AK9" s="35">
        <f t="shared" si="3"/>
        <v>379</v>
      </c>
      <c r="AL9" s="32">
        <f t="shared" si="4"/>
        <v>504</v>
      </c>
      <c r="AM9" s="35">
        <f t="shared" si="5"/>
        <v>240</v>
      </c>
      <c r="AN9" s="32">
        <f t="shared" si="6"/>
        <v>318</v>
      </c>
      <c r="AO9" s="36">
        <f t="shared" si="7"/>
        <v>0.3911671924</v>
      </c>
      <c r="AP9" s="36">
        <f t="shared" ref="AP9:AQ9" si="30">AE9/AB9</f>
        <v>1.870967742</v>
      </c>
      <c r="AQ9" s="36">
        <f t="shared" si="30"/>
        <v>0.624</v>
      </c>
      <c r="AR9" s="37">
        <f t="shared" si="9"/>
        <v>0.630952381</v>
      </c>
    </row>
    <row r="10">
      <c r="B10" s="31"/>
      <c r="D10" s="29"/>
      <c r="E10" s="30"/>
      <c r="H10" s="29"/>
      <c r="J10" s="31"/>
      <c r="L10" s="30"/>
      <c r="O10" s="29"/>
      <c r="P10" s="32"/>
      <c r="S10" s="31"/>
      <c r="T10" s="30"/>
      <c r="W10" s="32"/>
      <c r="Y10" s="31"/>
      <c r="AA10" s="29"/>
      <c r="AC10" s="32"/>
      <c r="AG10" s="29"/>
      <c r="AI10" s="30"/>
      <c r="AL10" s="32"/>
      <c r="AN10" s="32"/>
      <c r="AR10" s="38"/>
    </row>
    <row r="11">
      <c r="B11" s="31"/>
      <c r="D11" s="29"/>
      <c r="E11" s="30"/>
      <c r="H11" s="29"/>
      <c r="J11" s="31"/>
      <c r="L11" s="30"/>
      <c r="O11" s="29"/>
      <c r="P11" s="32"/>
      <c r="S11" s="31"/>
      <c r="T11" s="30"/>
      <c r="W11" s="32"/>
      <c r="Y11" s="31"/>
      <c r="AA11" s="29"/>
      <c r="AC11" s="32"/>
      <c r="AG11" s="29"/>
      <c r="AI11" s="30"/>
      <c r="AL11" s="32"/>
      <c r="AN11" s="32"/>
      <c r="AR11" s="38"/>
    </row>
    <row r="12">
      <c r="B12" s="31"/>
      <c r="D12" s="29"/>
      <c r="E12" s="30"/>
      <c r="H12" s="29"/>
      <c r="J12" s="31"/>
      <c r="L12" s="30"/>
      <c r="O12" s="29"/>
      <c r="P12" s="32"/>
      <c r="S12" s="31"/>
      <c r="T12" s="30"/>
      <c r="W12" s="32"/>
      <c r="Y12" s="31"/>
      <c r="AA12" s="29"/>
      <c r="AC12" s="32"/>
      <c r="AG12" s="29"/>
      <c r="AI12" s="30"/>
      <c r="AL12" s="32"/>
      <c r="AN12" s="32"/>
      <c r="AR12" s="38"/>
    </row>
    <row r="16">
      <c r="A16" s="39" t="s">
        <v>33</v>
      </c>
    </row>
    <row r="17">
      <c r="A17" s="1" t="s">
        <v>0</v>
      </c>
      <c r="B17" s="40" t="s">
        <v>1</v>
      </c>
      <c r="E17" s="11"/>
      <c r="F17" s="4" t="s">
        <v>2</v>
      </c>
      <c r="J17" s="41" t="s">
        <v>3</v>
      </c>
      <c r="L17" s="11"/>
      <c r="M17" s="6" t="s">
        <v>4</v>
      </c>
      <c r="S17" s="42" t="s">
        <v>5</v>
      </c>
      <c r="T17" s="11"/>
      <c r="U17" s="8" t="s">
        <v>6</v>
      </c>
      <c r="Y17" s="43" t="s">
        <v>7</v>
      </c>
      <c r="AI17" s="11"/>
      <c r="AJ17" s="10" t="s">
        <v>8</v>
      </c>
      <c r="AR17" s="11"/>
    </row>
    <row r="18">
      <c r="A18" s="1" t="s">
        <v>9</v>
      </c>
      <c r="B18" s="44" t="s">
        <v>10</v>
      </c>
      <c r="C18" s="15"/>
      <c r="D18" s="14" t="s">
        <v>11</v>
      </c>
      <c r="E18" s="11"/>
      <c r="F18" s="14" t="s">
        <v>12</v>
      </c>
      <c r="H18" s="13" t="s">
        <v>13</v>
      </c>
      <c r="J18" s="44" t="s">
        <v>13</v>
      </c>
      <c r="L18" s="11"/>
      <c r="M18" s="14" t="s">
        <v>14</v>
      </c>
      <c r="O18" s="13" t="s">
        <v>12</v>
      </c>
      <c r="P18" s="15"/>
      <c r="Q18" s="14" t="s">
        <v>13</v>
      </c>
      <c r="S18" s="45" t="s">
        <v>14</v>
      </c>
      <c r="T18" s="46" t="s">
        <v>12</v>
      </c>
      <c r="U18" s="14" t="s">
        <v>12</v>
      </c>
      <c r="W18" s="15"/>
      <c r="X18" s="18" t="s">
        <v>13</v>
      </c>
      <c r="Y18" s="44" t="s">
        <v>10</v>
      </c>
      <c r="AA18" s="13" t="s">
        <v>11</v>
      </c>
      <c r="AC18" s="15"/>
      <c r="AD18" s="14" t="s">
        <v>12</v>
      </c>
      <c r="AG18" s="13" t="s">
        <v>13</v>
      </c>
      <c r="AI18" s="11"/>
      <c r="AJ18" s="14" t="s">
        <v>15</v>
      </c>
      <c r="AL18" s="15"/>
      <c r="AM18" s="14" t="s">
        <v>12</v>
      </c>
      <c r="AN18" s="15"/>
      <c r="AO18" s="13" t="s">
        <v>16</v>
      </c>
      <c r="AR18" s="11"/>
    </row>
    <row r="19">
      <c r="A19" s="47" t="s">
        <v>17</v>
      </c>
      <c r="B19" s="48" t="s">
        <v>18</v>
      </c>
      <c r="C19" s="49" t="s">
        <v>19</v>
      </c>
      <c r="D19" s="50" t="s">
        <v>20</v>
      </c>
      <c r="E19" s="51" t="s">
        <v>21</v>
      </c>
      <c r="F19" s="50" t="s">
        <v>20</v>
      </c>
      <c r="G19" s="50" t="s">
        <v>21</v>
      </c>
      <c r="H19" s="52" t="s">
        <v>22</v>
      </c>
      <c r="I19" s="50" t="s">
        <v>23</v>
      </c>
      <c r="J19" s="48" t="s">
        <v>22</v>
      </c>
      <c r="K19" s="53" t="s">
        <v>24</v>
      </c>
      <c r="L19" s="51" t="s">
        <v>23</v>
      </c>
      <c r="M19" s="50" t="s">
        <v>20</v>
      </c>
      <c r="N19" s="50" t="s">
        <v>21</v>
      </c>
      <c r="O19" s="52" t="s">
        <v>20</v>
      </c>
      <c r="P19" s="49" t="s">
        <v>21</v>
      </c>
      <c r="Q19" s="50" t="s">
        <v>22</v>
      </c>
      <c r="R19" s="50" t="s">
        <v>23</v>
      </c>
      <c r="S19" s="48" t="s">
        <v>25</v>
      </c>
      <c r="T19" s="51" t="s">
        <v>25</v>
      </c>
      <c r="U19" s="50" t="s">
        <v>20</v>
      </c>
      <c r="V19" s="50" t="s">
        <v>21</v>
      </c>
      <c r="W19" s="49" t="s">
        <v>25</v>
      </c>
      <c r="X19" s="50" t="s">
        <v>22</v>
      </c>
      <c r="Y19" s="48" t="s">
        <v>18</v>
      </c>
      <c r="Z19" s="50" t="s">
        <v>19</v>
      </c>
      <c r="AA19" s="52" t="s">
        <v>20</v>
      </c>
      <c r="AB19" s="50" t="s">
        <v>21</v>
      </c>
      <c r="AC19" s="49" t="s">
        <v>25</v>
      </c>
      <c r="AD19" s="50" t="s">
        <v>20</v>
      </c>
      <c r="AE19" s="50" t="s">
        <v>21</v>
      </c>
      <c r="AF19" s="50" t="s">
        <v>25</v>
      </c>
      <c r="AG19" s="52" t="s">
        <v>22</v>
      </c>
      <c r="AH19" s="50" t="s">
        <v>23</v>
      </c>
      <c r="AI19" s="51" t="s">
        <v>26</v>
      </c>
      <c r="AJ19" s="54" t="s">
        <v>27</v>
      </c>
      <c r="AK19" s="54" t="s">
        <v>28</v>
      </c>
      <c r="AL19" s="55" t="s">
        <v>29</v>
      </c>
      <c r="AM19" s="54" t="s">
        <v>30</v>
      </c>
      <c r="AN19" s="54" t="s">
        <v>31</v>
      </c>
      <c r="AO19" s="56" t="s">
        <v>20</v>
      </c>
      <c r="AP19" s="54" t="s">
        <v>21</v>
      </c>
      <c r="AQ19" s="54" t="s">
        <v>25</v>
      </c>
      <c r="AR19" s="57" t="s">
        <v>32</v>
      </c>
      <c r="AS19" s="58"/>
      <c r="AT19" s="58"/>
    </row>
    <row r="20">
      <c r="B20" s="45"/>
      <c r="C20" s="32"/>
      <c r="E20" s="38"/>
      <c r="H20" s="29"/>
      <c r="J20" s="59"/>
      <c r="L20" s="38"/>
      <c r="O20" s="29"/>
      <c r="P20" s="32"/>
      <c r="S20" s="59"/>
      <c r="T20" s="38"/>
      <c r="W20" s="32"/>
      <c r="Y20" s="59"/>
      <c r="AA20" s="33"/>
      <c r="AC20" s="34"/>
      <c r="AG20" s="29"/>
      <c r="AI20" s="38"/>
      <c r="AL20" s="32"/>
      <c r="AO20" s="29"/>
      <c r="AR20" s="38"/>
    </row>
    <row r="21">
      <c r="A21" s="18" t="s">
        <v>34</v>
      </c>
      <c r="B21" s="60">
        <f t="shared" ref="B21:AR21" si="31">IF(ISERR(B5/B4),"",B5/B4)</f>
        <v>0.9944444444</v>
      </c>
      <c r="C21" s="61">
        <f t="shared" si="31"/>
        <v>0.9975308642</v>
      </c>
      <c r="D21" s="62" t="str">
        <f t="shared" si="31"/>
        <v/>
      </c>
      <c r="E21" s="63" t="str">
        <f t="shared" si="31"/>
        <v/>
      </c>
      <c r="F21" s="62" t="str">
        <f t="shared" si="31"/>
        <v/>
      </c>
      <c r="G21" s="62" t="str">
        <f t="shared" si="31"/>
        <v/>
      </c>
      <c r="H21" s="64" t="str">
        <f t="shared" si="31"/>
        <v/>
      </c>
      <c r="I21" s="62" t="str">
        <f t="shared" si="31"/>
        <v/>
      </c>
      <c r="J21" s="60" t="str">
        <f t="shared" si="31"/>
        <v/>
      </c>
      <c r="K21" s="62" t="str">
        <f t="shared" si="31"/>
        <v/>
      </c>
      <c r="L21" s="63" t="str">
        <f t="shared" si="31"/>
        <v/>
      </c>
      <c r="M21" s="62" t="str">
        <f t="shared" si="31"/>
        <v/>
      </c>
      <c r="N21" s="62" t="str">
        <f t="shared" si="31"/>
        <v/>
      </c>
      <c r="O21" s="64" t="str">
        <f t="shared" si="31"/>
        <v/>
      </c>
      <c r="P21" s="61" t="str">
        <f t="shared" si="31"/>
        <v/>
      </c>
      <c r="Q21" s="62" t="str">
        <f t="shared" si="31"/>
        <v/>
      </c>
      <c r="R21" s="62" t="str">
        <f t="shared" si="31"/>
        <v/>
      </c>
      <c r="S21" s="60" t="str">
        <f t="shared" si="31"/>
        <v/>
      </c>
      <c r="T21" s="63" t="str">
        <f t="shared" si="31"/>
        <v/>
      </c>
      <c r="U21" s="62" t="str">
        <f t="shared" si="31"/>
        <v/>
      </c>
      <c r="V21" s="62" t="str">
        <f t="shared" si="31"/>
        <v/>
      </c>
      <c r="W21" s="61" t="str">
        <f t="shared" si="31"/>
        <v/>
      </c>
      <c r="X21" s="62" t="str">
        <f t="shared" si="31"/>
        <v/>
      </c>
      <c r="Y21" s="60" t="str">
        <f t="shared" si="31"/>
        <v/>
      </c>
      <c r="Z21" s="62" t="str">
        <f t="shared" si="31"/>
        <v/>
      </c>
      <c r="AA21" s="64">
        <f t="shared" si="31"/>
        <v>1.009041591</v>
      </c>
      <c r="AB21" s="62">
        <f t="shared" si="31"/>
        <v>1.016806723</v>
      </c>
      <c r="AC21" s="61">
        <f t="shared" si="31"/>
        <v>0.7707317073</v>
      </c>
      <c r="AD21" s="62">
        <f t="shared" si="31"/>
        <v>1</v>
      </c>
      <c r="AE21" s="62">
        <f t="shared" si="31"/>
        <v>1</v>
      </c>
      <c r="AF21" s="62">
        <f t="shared" si="31"/>
        <v>1</v>
      </c>
      <c r="AG21" s="64" t="str">
        <f t="shared" si="31"/>
        <v/>
      </c>
      <c r="AH21" s="62" t="str">
        <f t="shared" si="31"/>
        <v/>
      </c>
      <c r="AI21" s="63" t="str">
        <f t="shared" si="31"/>
        <v/>
      </c>
      <c r="AJ21" s="64">
        <f t="shared" si="31"/>
        <v>1.009041591</v>
      </c>
      <c r="AK21" s="62">
        <f t="shared" si="31"/>
        <v>1.010416667</v>
      </c>
      <c r="AL21" s="62">
        <f t="shared" si="31"/>
        <v>0.9543899658</v>
      </c>
      <c r="AM21" s="64">
        <f t="shared" si="31"/>
        <v>1</v>
      </c>
      <c r="AN21" s="62">
        <f t="shared" si="31"/>
        <v>1</v>
      </c>
      <c r="AO21" s="64">
        <f t="shared" si="31"/>
        <v>0.9910394265</v>
      </c>
      <c r="AP21" s="62">
        <f t="shared" si="31"/>
        <v>0.9834710744</v>
      </c>
      <c r="AQ21" s="62">
        <f t="shared" si="31"/>
        <v>1.297468354</v>
      </c>
      <c r="AR21" s="63">
        <f t="shared" si="31"/>
        <v>1.047789725</v>
      </c>
    </row>
    <row r="22">
      <c r="A22" s="18" t="s">
        <v>35</v>
      </c>
      <c r="B22" s="60">
        <f t="shared" ref="B22:AR22" si="32">IF(ISERR(B6/B5),"",B6/B5)</f>
        <v>0</v>
      </c>
      <c r="C22" s="61">
        <f t="shared" si="32"/>
        <v>0.7425742574</v>
      </c>
      <c r="D22" s="62" t="str">
        <f t="shared" si="32"/>
        <v/>
      </c>
      <c r="E22" s="63" t="str">
        <f t="shared" si="32"/>
        <v/>
      </c>
      <c r="F22" s="62" t="str">
        <f t="shared" si="32"/>
        <v/>
      </c>
      <c r="G22" s="62" t="str">
        <f t="shared" si="32"/>
        <v/>
      </c>
      <c r="H22" s="64" t="str">
        <f t="shared" si="32"/>
        <v/>
      </c>
      <c r="I22" s="62" t="str">
        <f t="shared" si="32"/>
        <v/>
      </c>
      <c r="J22" s="60" t="str">
        <f t="shared" si="32"/>
        <v/>
      </c>
      <c r="K22" s="62" t="str">
        <f t="shared" si="32"/>
        <v/>
      </c>
      <c r="L22" s="63" t="str">
        <f t="shared" si="32"/>
        <v/>
      </c>
      <c r="M22" s="62" t="str">
        <f t="shared" si="32"/>
        <v/>
      </c>
      <c r="N22" s="62" t="str">
        <f t="shared" si="32"/>
        <v/>
      </c>
      <c r="O22" s="64" t="str">
        <f t="shared" si="32"/>
        <v/>
      </c>
      <c r="P22" s="61" t="str">
        <f t="shared" si="32"/>
        <v/>
      </c>
      <c r="Q22" s="62" t="str">
        <f t="shared" si="32"/>
        <v/>
      </c>
      <c r="R22" s="62" t="str">
        <f t="shared" si="32"/>
        <v/>
      </c>
      <c r="S22" s="60" t="str">
        <f t="shared" si="32"/>
        <v/>
      </c>
      <c r="T22" s="63" t="str">
        <f t="shared" si="32"/>
        <v/>
      </c>
      <c r="U22" s="62" t="str">
        <f t="shared" si="32"/>
        <v/>
      </c>
      <c r="V22" s="62" t="str">
        <f t="shared" si="32"/>
        <v/>
      </c>
      <c r="W22" s="61" t="str">
        <f t="shared" si="32"/>
        <v/>
      </c>
      <c r="X22" s="62" t="str">
        <f t="shared" si="32"/>
        <v/>
      </c>
      <c r="Y22" s="60" t="str">
        <f t="shared" si="32"/>
        <v/>
      </c>
      <c r="Z22" s="62" t="str">
        <f t="shared" si="32"/>
        <v/>
      </c>
      <c r="AA22" s="64">
        <f t="shared" si="32"/>
        <v>0.2544802867</v>
      </c>
      <c r="AB22" s="62">
        <f t="shared" si="32"/>
        <v>0.7438016529</v>
      </c>
      <c r="AC22" s="61">
        <f t="shared" si="32"/>
        <v>1.430379747</v>
      </c>
      <c r="AD22" s="62">
        <f t="shared" si="32"/>
        <v>0.7152317881</v>
      </c>
      <c r="AE22" s="62">
        <f t="shared" si="32"/>
        <v>0.4761904762</v>
      </c>
      <c r="AF22" s="62">
        <f t="shared" si="32"/>
        <v>0.83125</v>
      </c>
      <c r="AG22" s="64" t="str">
        <f t="shared" si="32"/>
        <v/>
      </c>
      <c r="AH22" s="62" t="str">
        <f t="shared" si="32"/>
        <v/>
      </c>
      <c r="AI22" s="63" t="str">
        <f t="shared" si="32"/>
        <v/>
      </c>
      <c r="AJ22" s="64">
        <f t="shared" si="32"/>
        <v>0.7921146953</v>
      </c>
      <c r="AK22" s="62">
        <f t="shared" si="32"/>
        <v>0.7835051546</v>
      </c>
      <c r="AL22" s="62">
        <f t="shared" si="32"/>
        <v>0.9056152927</v>
      </c>
      <c r="AM22" s="64">
        <f t="shared" si="32"/>
        <v>0.6064981949</v>
      </c>
      <c r="AN22" s="62">
        <f t="shared" si="32"/>
        <v>0.6568627451</v>
      </c>
      <c r="AO22" s="64">
        <f t="shared" si="32"/>
        <v>0.9029396782</v>
      </c>
      <c r="AP22" s="62">
        <f t="shared" si="32"/>
        <v>0.6402116402</v>
      </c>
      <c r="AQ22" s="62">
        <f t="shared" si="32"/>
        <v>0.5811393805</v>
      </c>
      <c r="AR22" s="63">
        <f t="shared" si="32"/>
        <v>0.7253220549</v>
      </c>
    </row>
    <row r="23">
      <c r="A23" s="18" t="s">
        <v>36</v>
      </c>
      <c r="B23" s="60" t="str">
        <f t="shared" ref="B23:AR23" si="33">IF(ISERR(B7/B6),"",B7/B6)</f>
        <v/>
      </c>
      <c r="C23" s="61">
        <f t="shared" si="33"/>
        <v>0.8533333333</v>
      </c>
      <c r="D23" s="62">
        <f t="shared" si="33"/>
        <v>4.7</v>
      </c>
      <c r="E23" s="63">
        <f t="shared" si="33"/>
        <v>1.19047619</v>
      </c>
      <c r="F23" s="62">
        <f t="shared" si="33"/>
        <v>1.262711864</v>
      </c>
      <c r="G23" s="62">
        <f t="shared" si="33"/>
        <v>0.9846153846</v>
      </c>
      <c r="H23" s="64" t="str">
        <f t="shared" si="33"/>
        <v/>
      </c>
      <c r="I23" s="62" t="str">
        <f t="shared" si="33"/>
        <v/>
      </c>
      <c r="J23" s="60" t="str">
        <f t="shared" si="33"/>
        <v/>
      </c>
      <c r="K23" s="62" t="str">
        <f t="shared" si="33"/>
        <v/>
      </c>
      <c r="L23" s="63" t="str">
        <f t="shared" si="33"/>
        <v/>
      </c>
      <c r="M23" s="62">
        <f t="shared" si="33"/>
        <v>0.6893939394</v>
      </c>
      <c r="N23" s="62">
        <f t="shared" si="33"/>
        <v>1.710144928</v>
      </c>
      <c r="O23" s="64">
        <f t="shared" si="33"/>
        <v>0.5714285714</v>
      </c>
      <c r="P23" s="61">
        <f t="shared" si="33"/>
        <v>0.9230769231</v>
      </c>
      <c r="Q23" s="62" t="str">
        <f t="shared" si="33"/>
        <v/>
      </c>
      <c r="R23" s="62" t="str">
        <f t="shared" si="33"/>
        <v/>
      </c>
      <c r="S23" s="60">
        <f t="shared" si="33"/>
        <v>0.610619469</v>
      </c>
      <c r="T23" s="63">
        <f t="shared" si="33"/>
        <v>0.5606060606</v>
      </c>
      <c r="U23" s="62" t="str">
        <f t="shared" si="33"/>
        <v/>
      </c>
      <c r="V23" s="62">
        <f t="shared" si="33"/>
        <v>0</v>
      </c>
      <c r="W23" s="61">
        <f t="shared" si="33"/>
        <v>0</v>
      </c>
      <c r="X23" s="62" t="str">
        <f t="shared" si="33"/>
        <v/>
      </c>
      <c r="Y23" s="60" t="str">
        <f t="shared" si="33"/>
        <v/>
      </c>
      <c r="Z23" s="62">
        <f t="shared" si="33"/>
        <v>0.8533333333</v>
      </c>
      <c r="AA23" s="64">
        <f t="shared" si="33"/>
        <v>0.9718309859</v>
      </c>
      <c r="AB23" s="62">
        <f t="shared" si="33"/>
        <v>1.588888889</v>
      </c>
      <c r="AC23" s="61">
        <f t="shared" si="33"/>
        <v>0.610619469</v>
      </c>
      <c r="AD23" s="62">
        <f t="shared" si="33"/>
        <v>0.9490740741</v>
      </c>
      <c r="AE23" s="62">
        <f t="shared" si="33"/>
        <v>0.9333333333</v>
      </c>
      <c r="AF23" s="62">
        <f t="shared" si="33"/>
        <v>0.5563909774</v>
      </c>
      <c r="AG23" s="64" t="str">
        <f t="shared" si="33"/>
        <v/>
      </c>
      <c r="AH23" s="62" t="str">
        <f t="shared" si="33"/>
        <v/>
      </c>
      <c r="AI23" s="63" t="str">
        <f t="shared" si="33"/>
        <v/>
      </c>
      <c r="AJ23" s="64">
        <f t="shared" si="33"/>
        <v>0.8914027149</v>
      </c>
      <c r="AK23" s="62">
        <f t="shared" si="33"/>
        <v>1.009398496</v>
      </c>
      <c r="AL23" s="62">
        <f t="shared" si="33"/>
        <v>0.8905013193</v>
      </c>
      <c r="AM23" s="64">
        <f t="shared" si="33"/>
        <v>0.943452381</v>
      </c>
      <c r="AN23" s="62">
        <f t="shared" si="33"/>
        <v>0.8336886994</v>
      </c>
      <c r="AO23" s="64">
        <f t="shared" si="33"/>
        <v>1.064697312</v>
      </c>
      <c r="AP23" s="62">
        <f t="shared" si="33"/>
        <v>0.5874125874</v>
      </c>
      <c r="AQ23" s="62">
        <f t="shared" si="33"/>
        <v>0.911191021</v>
      </c>
      <c r="AR23" s="63">
        <f t="shared" si="33"/>
        <v>0.936201532</v>
      </c>
    </row>
    <row r="24">
      <c r="A24" s="18" t="s">
        <v>37</v>
      </c>
      <c r="B24" s="60" t="str">
        <f t="shared" ref="B24:AR24" si="34">IF(ISERR(B8/B7),"",B8/B7)</f>
        <v/>
      </c>
      <c r="C24" s="61">
        <f t="shared" si="34"/>
        <v>1.0703125</v>
      </c>
      <c r="D24" s="62">
        <f t="shared" si="34"/>
        <v>0.5531914894</v>
      </c>
      <c r="E24" s="63">
        <f t="shared" si="34"/>
        <v>0.76</v>
      </c>
      <c r="F24" s="62">
        <f t="shared" si="34"/>
        <v>0.7382550336</v>
      </c>
      <c r="G24" s="62">
        <f t="shared" si="34"/>
        <v>0.921875</v>
      </c>
      <c r="H24" s="64">
        <f t="shared" si="34"/>
        <v>0.3880597015</v>
      </c>
      <c r="I24" s="62">
        <f t="shared" si="34"/>
        <v>0.4659090909</v>
      </c>
      <c r="J24" s="60">
        <f t="shared" si="34"/>
        <v>0.4606060606</v>
      </c>
      <c r="K24" s="62">
        <f t="shared" si="34"/>
        <v>0.4634146341</v>
      </c>
      <c r="L24" s="63">
        <f t="shared" si="34"/>
        <v>1.652173913</v>
      </c>
      <c r="M24" s="62">
        <f t="shared" si="34"/>
        <v>0.6593406593</v>
      </c>
      <c r="N24" s="62">
        <f t="shared" si="34"/>
        <v>0.5254237288</v>
      </c>
      <c r="O24" s="64">
        <f t="shared" si="34"/>
        <v>0.6607142857</v>
      </c>
      <c r="P24" s="61">
        <f t="shared" si="34"/>
        <v>1.083333333</v>
      </c>
      <c r="Q24" s="62" t="str">
        <f t="shared" si="34"/>
        <v/>
      </c>
      <c r="R24" s="62" t="str">
        <f t="shared" si="34"/>
        <v/>
      </c>
      <c r="S24" s="60">
        <f t="shared" si="34"/>
        <v>0.8260869565</v>
      </c>
      <c r="T24" s="63">
        <f t="shared" si="34"/>
        <v>0.9864864865</v>
      </c>
      <c r="U24" s="62" t="str">
        <f t="shared" si="34"/>
        <v/>
      </c>
      <c r="V24" s="62" t="str">
        <f t="shared" si="34"/>
        <v/>
      </c>
      <c r="W24" s="61" t="str">
        <f t="shared" si="34"/>
        <v/>
      </c>
      <c r="X24" s="62" t="str">
        <f t="shared" si="34"/>
        <v/>
      </c>
      <c r="Y24" s="60" t="str">
        <f t="shared" si="34"/>
        <v/>
      </c>
      <c r="Z24" s="62">
        <f t="shared" si="34"/>
        <v>1.0703125</v>
      </c>
      <c r="AA24" s="64">
        <f t="shared" si="34"/>
        <v>0.6231884058</v>
      </c>
      <c r="AB24" s="62">
        <f t="shared" si="34"/>
        <v>0.5664335664</v>
      </c>
      <c r="AC24" s="61">
        <f t="shared" si="34"/>
        <v>0.8260869565</v>
      </c>
      <c r="AD24" s="62">
        <f t="shared" si="34"/>
        <v>0.7170731707</v>
      </c>
      <c r="AE24" s="62">
        <f t="shared" si="34"/>
        <v>0.9910714286</v>
      </c>
      <c r="AF24" s="62">
        <f t="shared" si="34"/>
        <v>0.9864864865</v>
      </c>
      <c r="AG24" s="64">
        <f t="shared" si="34"/>
        <v>0.4266666667</v>
      </c>
      <c r="AH24" s="62">
        <f t="shared" si="34"/>
        <v>0.04615384615</v>
      </c>
      <c r="AI24" s="63">
        <f t="shared" si="34"/>
        <v>0.311627907</v>
      </c>
      <c r="AJ24" s="64">
        <f t="shared" si="34"/>
        <v>0.9137055838</v>
      </c>
      <c r="AK24" s="62">
        <f t="shared" si="34"/>
        <v>0.8212290503</v>
      </c>
      <c r="AL24" s="62">
        <f t="shared" si="34"/>
        <v>0.8222222222</v>
      </c>
      <c r="AM24" s="64">
        <f t="shared" si="34"/>
        <v>0.8138801262</v>
      </c>
      <c r="AN24" s="62">
        <f t="shared" si="34"/>
        <v>0.8465473146</v>
      </c>
      <c r="AO24" s="64">
        <f t="shared" si="34"/>
        <v>0.784796748</v>
      </c>
      <c r="AP24" s="62">
        <f t="shared" si="34"/>
        <v>1.749669312</v>
      </c>
      <c r="AQ24" s="62">
        <f t="shared" si="34"/>
        <v>1.194167852</v>
      </c>
      <c r="AR24" s="63">
        <f t="shared" si="34"/>
        <v>1.029584572</v>
      </c>
    </row>
    <row r="25">
      <c r="A25" s="18" t="s">
        <v>38</v>
      </c>
      <c r="B25" s="60">
        <f t="shared" ref="B25:AR25" si="35">IF(ISERR(B9/B8),"",B9/B8)</f>
        <v>0.9049586777</v>
      </c>
      <c r="C25" s="61">
        <f t="shared" si="35"/>
        <v>0.9233576642</v>
      </c>
      <c r="D25" s="62">
        <f t="shared" si="35"/>
        <v>0.8076923077</v>
      </c>
      <c r="E25" s="63">
        <f t="shared" si="35"/>
        <v>0.3684210526</v>
      </c>
      <c r="F25" s="62">
        <f t="shared" si="35"/>
        <v>0.8181818182</v>
      </c>
      <c r="G25" s="62">
        <f t="shared" si="35"/>
        <v>1.118644068</v>
      </c>
      <c r="H25" s="64">
        <f t="shared" si="35"/>
        <v>0.4615384615</v>
      </c>
      <c r="I25" s="62">
        <f t="shared" si="35"/>
        <v>0.3658536585</v>
      </c>
      <c r="J25" s="60">
        <f t="shared" si="35"/>
        <v>0</v>
      </c>
      <c r="K25" s="62">
        <f t="shared" si="35"/>
        <v>0</v>
      </c>
      <c r="L25" s="63">
        <f t="shared" si="35"/>
        <v>0.3947368421</v>
      </c>
      <c r="M25" s="62">
        <f t="shared" si="35"/>
        <v>0.7166666667</v>
      </c>
      <c r="N25" s="62">
        <f t="shared" si="35"/>
        <v>0.8870967742</v>
      </c>
      <c r="O25" s="64">
        <f t="shared" si="35"/>
        <v>0.8918918919</v>
      </c>
      <c r="P25" s="61">
        <f t="shared" si="35"/>
        <v>0.9038461538</v>
      </c>
      <c r="Q25" s="62" t="str">
        <f t="shared" si="35"/>
        <v/>
      </c>
      <c r="R25" s="62" t="str">
        <f t="shared" si="35"/>
        <v/>
      </c>
      <c r="S25" s="60">
        <f t="shared" si="35"/>
        <v>1.096491228</v>
      </c>
      <c r="T25" s="63">
        <f t="shared" si="35"/>
        <v>1.054794521</v>
      </c>
      <c r="U25" s="62" t="str">
        <f t="shared" si="35"/>
        <v/>
      </c>
      <c r="V25" s="62" t="str">
        <f t="shared" si="35"/>
        <v/>
      </c>
      <c r="W25" s="61" t="str">
        <f t="shared" si="35"/>
        <v/>
      </c>
      <c r="X25" s="62" t="str">
        <f t="shared" si="35"/>
        <v/>
      </c>
      <c r="Y25" s="60">
        <f t="shared" si="35"/>
        <v>0.9049586777</v>
      </c>
      <c r="Z25" s="62">
        <f t="shared" si="35"/>
        <v>0.9233576642</v>
      </c>
      <c r="AA25" s="64">
        <f t="shared" si="35"/>
        <v>0.7441860465</v>
      </c>
      <c r="AB25" s="62">
        <f t="shared" si="35"/>
        <v>0.7654320988</v>
      </c>
      <c r="AC25" s="61">
        <f t="shared" si="35"/>
        <v>1.096491228</v>
      </c>
      <c r="AD25" s="62">
        <f t="shared" si="35"/>
        <v>0.843537415</v>
      </c>
      <c r="AE25" s="62">
        <f t="shared" si="35"/>
        <v>1.045045045</v>
      </c>
      <c r="AF25" s="62">
        <f t="shared" si="35"/>
        <v>1.068493151</v>
      </c>
      <c r="AG25" s="64">
        <f t="shared" si="35"/>
        <v>0.359375</v>
      </c>
      <c r="AH25" s="62">
        <f t="shared" si="35"/>
        <v>0</v>
      </c>
      <c r="AI25" s="63">
        <f t="shared" si="35"/>
        <v>0.3432835821</v>
      </c>
      <c r="AJ25" s="64">
        <f t="shared" si="35"/>
        <v>0.8805555556</v>
      </c>
      <c r="AK25" s="62">
        <f t="shared" si="35"/>
        <v>0.8594104308</v>
      </c>
      <c r="AL25" s="62">
        <f t="shared" si="35"/>
        <v>0.9081081081</v>
      </c>
      <c r="AM25" s="64">
        <f t="shared" si="35"/>
        <v>0.9302325581</v>
      </c>
      <c r="AN25" s="62">
        <f t="shared" si="35"/>
        <v>0.9607250755</v>
      </c>
      <c r="AO25" s="64">
        <f t="shared" si="35"/>
        <v>0.9579604713</v>
      </c>
      <c r="AP25" s="62">
        <f t="shared" si="35"/>
        <v>1.365300785</v>
      </c>
      <c r="AQ25" s="62">
        <f t="shared" si="35"/>
        <v>0.9744657534</v>
      </c>
      <c r="AR25" s="63">
        <f t="shared" si="35"/>
        <v>1.057941303</v>
      </c>
    </row>
    <row r="26">
      <c r="B26" s="59"/>
      <c r="C26" s="32"/>
      <c r="E26" s="38"/>
      <c r="H26" s="29"/>
      <c r="J26" s="59"/>
      <c r="L26" s="38"/>
      <c r="O26" s="29"/>
      <c r="P26" s="32"/>
      <c r="S26" s="59"/>
      <c r="T26" s="38"/>
      <c r="W26" s="32"/>
      <c r="Y26" s="59"/>
      <c r="AA26" s="29"/>
      <c r="AC26" s="32"/>
      <c r="AG26" s="29"/>
      <c r="AI26" s="38"/>
      <c r="AL26" s="32"/>
      <c r="AO26" s="29"/>
      <c r="AR26" s="38"/>
    </row>
    <row r="27">
      <c r="B27" s="59"/>
      <c r="C27" s="32"/>
      <c r="E27" s="38"/>
      <c r="H27" s="29"/>
      <c r="J27" s="59"/>
      <c r="L27" s="38"/>
      <c r="O27" s="29"/>
      <c r="P27" s="32"/>
      <c r="S27" s="59"/>
      <c r="T27" s="38"/>
      <c r="W27" s="32"/>
      <c r="Y27" s="59"/>
      <c r="AA27" s="29"/>
      <c r="AC27" s="32"/>
      <c r="AG27" s="29"/>
      <c r="AI27" s="38"/>
      <c r="AL27" s="32"/>
      <c r="AO27" s="29"/>
      <c r="AR27" s="38"/>
    </row>
    <row r="28">
      <c r="B28" s="59"/>
      <c r="C28" s="32"/>
      <c r="E28" s="38"/>
      <c r="H28" s="29"/>
      <c r="J28" s="59"/>
      <c r="L28" s="38"/>
      <c r="O28" s="29"/>
      <c r="P28" s="32"/>
      <c r="S28" s="59"/>
      <c r="T28" s="38"/>
      <c r="W28" s="32"/>
      <c r="Y28" s="59"/>
      <c r="AA28" s="29"/>
      <c r="AC28" s="32"/>
      <c r="AG28" s="29"/>
      <c r="AI28" s="38"/>
      <c r="AL28" s="32"/>
      <c r="AO28" s="29"/>
      <c r="AR28" s="38"/>
    </row>
    <row r="33">
      <c r="A33" s="39" t="s">
        <v>39</v>
      </c>
      <c r="B33" s="44" t="s">
        <v>40</v>
      </c>
      <c r="N33" s="11"/>
      <c r="O33" s="18" t="s">
        <v>41</v>
      </c>
      <c r="P33" s="44" t="s">
        <v>42</v>
      </c>
      <c r="Y33" s="11"/>
      <c r="Z33" s="14"/>
      <c r="AA33" s="14"/>
    </row>
    <row r="34">
      <c r="A34" s="18"/>
      <c r="B34" s="45" t="s">
        <v>18</v>
      </c>
      <c r="C34" s="13" t="s">
        <v>11</v>
      </c>
      <c r="E34" s="15"/>
      <c r="F34" s="14" t="s">
        <v>12</v>
      </c>
      <c r="I34" s="13" t="s">
        <v>13</v>
      </c>
      <c r="J34" s="15"/>
      <c r="K34" s="14" t="s">
        <v>43</v>
      </c>
      <c r="N34" s="11"/>
      <c r="P34" s="44"/>
      <c r="Y34" s="11"/>
      <c r="Z34" s="14"/>
      <c r="AA34" s="14"/>
    </row>
    <row r="35">
      <c r="A35" s="54"/>
      <c r="B35" s="65" t="s">
        <v>10</v>
      </c>
      <c r="C35" s="52" t="s">
        <v>20</v>
      </c>
      <c r="D35" s="50" t="s">
        <v>21</v>
      </c>
      <c r="E35" s="49" t="s">
        <v>25</v>
      </c>
      <c r="F35" s="50" t="s">
        <v>20</v>
      </c>
      <c r="G35" s="50" t="s">
        <v>21</v>
      </c>
      <c r="H35" s="50" t="s">
        <v>25</v>
      </c>
      <c r="I35" s="52" t="s">
        <v>22</v>
      </c>
      <c r="J35" s="49" t="s">
        <v>23</v>
      </c>
      <c r="K35" s="54" t="s">
        <v>44</v>
      </c>
      <c r="L35" s="54" t="s">
        <v>20</v>
      </c>
      <c r="M35" s="54" t="s">
        <v>21</v>
      </c>
      <c r="N35" s="57" t="s">
        <v>25</v>
      </c>
      <c r="O35" s="58"/>
      <c r="P35" s="48" t="s">
        <v>45</v>
      </c>
      <c r="Q35" s="66"/>
      <c r="R35" s="66"/>
      <c r="S35" s="52" t="s">
        <v>46</v>
      </c>
      <c r="T35" s="66"/>
      <c r="U35" s="67"/>
      <c r="V35" s="50" t="s">
        <v>47</v>
      </c>
      <c r="W35" s="66"/>
      <c r="X35" s="66"/>
      <c r="Y35" s="68"/>
      <c r="Z35" s="58"/>
      <c r="AA35" s="58"/>
      <c r="AB35" s="58"/>
      <c r="AC35" s="58"/>
      <c r="AD35" s="58"/>
      <c r="AE35" s="58"/>
      <c r="AF35" s="58"/>
      <c r="AG35" s="58"/>
      <c r="AH35" s="58"/>
      <c r="AI35" s="58"/>
      <c r="AJ35" s="58"/>
      <c r="AK35" s="58"/>
      <c r="AL35" s="58"/>
      <c r="AM35" s="58"/>
      <c r="AN35" s="58"/>
      <c r="AO35" s="58"/>
      <c r="AP35" s="58"/>
      <c r="AQ35" s="58"/>
      <c r="AR35" s="58"/>
      <c r="AS35" s="58"/>
      <c r="AT35" s="58"/>
    </row>
    <row r="36">
      <c r="A36" s="18">
        <v>2016.0</v>
      </c>
      <c r="B36" s="59"/>
      <c r="C36" s="29"/>
      <c r="E36" s="32"/>
      <c r="I36" s="29"/>
      <c r="J36" s="32"/>
      <c r="K36" s="35">
        <f t="shared" ref="K36:K41" si="37">B36+G36</f>
        <v>0</v>
      </c>
      <c r="L36" s="35">
        <f t="shared" ref="L36:L41" si="38">B36+F36</f>
        <v>0</v>
      </c>
      <c r="M36" s="35">
        <f t="shared" ref="M36:N36" si="36">D36+G36</f>
        <v>0</v>
      </c>
      <c r="N36" s="38">
        <f t="shared" si="36"/>
        <v>0</v>
      </c>
      <c r="O36" s="69">
        <v>42644.0</v>
      </c>
      <c r="P36" s="59"/>
      <c r="S36" s="29"/>
      <c r="U36" s="32"/>
      <c r="Y36" s="38"/>
    </row>
    <row r="37">
      <c r="A37" s="18">
        <v>2017.0</v>
      </c>
      <c r="B37" s="45">
        <v>100.0</v>
      </c>
      <c r="C37" s="33">
        <v>100.0</v>
      </c>
      <c r="D37" s="18">
        <v>80.0</v>
      </c>
      <c r="E37" s="34">
        <v>80.0</v>
      </c>
      <c r="F37" s="18">
        <v>80.0</v>
      </c>
      <c r="G37" s="18">
        <v>60.0</v>
      </c>
      <c r="H37" s="18">
        <v>60.0</v>
      </c>
      <c r="I37" s="29"/>
      <c r="J37" s="32"/>
      <c r="K37" s="35">
        <f t="shared" si="37"/>
        <v>160</v>
      </c>
      <c r="L37" s="35">
        <f t="shared" si="38"/>
        <v>180</v>
      </c>
      <c r="M37" s="35">
        <f t="shared" ref="M37:N37" si="39">D37+G37</f>
        <v>140</v>
      </c>
      <c r="N37" s="38">
        <f t="shared" si="39"/>
        <v>140</v>
      </c>
      <c r="O37" s="69">
        <v>43014.0</v>
      </c>
      <c r="P37" s="59"/>
      <c r="S37" s="29"/>
      <c r="U37" s="32"/>
      <c r="Y37" s="38"/>
    </row>
    <row r="38">
      <c r="A38" s="18">
        <v>2019.0</v>
      </c>
      <c r="B38" s="45">
        <v>120.0</v>
      </c>
      <c r="C38" s="33">
        <v>120.0</v>
      </c>
      <c r="D38" s="18">
        <v>80.0</v>
      </c>
      <c r="E38" s="34">
        <v>80.0</v>
      </c>
      <c r="F38" s="18">
        <v>120.0</v>
      </c>
      <c r="G38" s="18">
        <v>80.0</v>
      </c>
      <c r="H38" s="18">
        <v>100.0</v>
      </c>
      <c r="I38" s="29"/>
      <c r="J38" s="32"/>
      <c r="K38" s="35">
        <f t="shared" si="37"/>
        <v>200</v>
      </c>
      <c r="L38" s="35">
        <f t="shared" si="38"/>
        <v>240</v>
      </c>
      <c r="M38" s="35">
        <f t="shared" ref="M38:N38" si="40">D38+G38</f>
        <v>160</v>
      </c>
      <c r="N38" s="38">
        <f t="shared" si="40"/>
        <v>180</v>
      </c>
      <c r="O38" s="69">
        <v>43743.0</v>
      </c>
      <c r="P38" s="45" t="s">
        <v>48</v>
      </c>
      <c r="S38" s="33" t="s">
        <v>49</v>
      </c>
      <c r="U38" s="32"/>
      <c r="V38" s="18" t="s">
        <v>50</v>
      </c>
      <c r="Y38" s="38"/>
    </row>
    <row r="39">
      <c r="A39" s="18">
        <v>2021.0</v>
      </c>
      <c r="B39" s="45">
        <v>150.0</v>
      </c>
      <c r="C39" s="33">
        <v>150.0</v>
      </c>
      <c r="D39" s="18">
        <v>100.0</v>
      </c>
      <c r="E39" s="34">
        <v>120.0</v>
      </c>
      <c r="F39" s="18">
        <v>200.0</v>
      </c>
      <c r="G39" s="18">
        <v>150.0</v>
      </c>
      <c r="H39" s="18">
        <v>150.0</v>
      </c>
      <c r="I39" s="33">
        <v>50.0</v>
      </c>
      <c r="J39" s="34">
        <v>50.0</v>
      </c>
      <c r="K39" s="35">
        <f t="shared" si="37"/>
        <v>300</v>
      </c>
      <c r="L39" s="35">
        <f t="shared" si="38"/>
        <v>350</v>
      </c>
      <c r="M39" s="35">
        <f t="shared" ref="M39:N39" si="41">D39+G39</f>
        <v>250</v>
      </c>
      <c r="N39" s="38">
        <f t="shared" si="41"/>
        <v>270</v>
      </c>
      <c r="O39" s="69">
        <v>44471.0</v>
      </c>
      <c r="P39" s="45" t="s">
        <v>51</v>
      </c>
      <c r="S39" s="33" t="s">
        <v>52</v>
      </c>
      <c r="U39" s="32"/>
      <c r="Y39" s="38"/>
    </row>
    <row r="40">
      <c r="A40" s="18">
        <v>2022.0</v>
      </c>
      <c r="B40" s="45">
        <v>160.0</v>
      </c>
      <c r="C40" s="33">
        <v>160.0</v>
      </c>
      <c r="D40" s="18">
        <v>120.0</v>
      </c>
      <c r="E40" s="34">
        <v>140.0</v>
      </c>
      <c r="F40" s="18">
        <v>220.0</v>
      </c>
      <c r="G40" s="18">
        <v>160.0</v>
      </c>
      <c r="H40" s="18">
        <v>160.0</v>
      </c>
      <c r="I40" s="33">
        <v>50.0</v>
      </c>
      <c r="J40" s="34">
        <v>50.0</v>
      </c>
      <c r="K40" s="35">
        <f t="shared" si="37"/>
        <v>320</v>
      </c>
      <c r="L40" s="35">
        <f t="shared" si="38"/>
        <v>380</v>
      </c>
      <c r="M40" s="35">
        <f t="shared" ref="M40:N40" si="42">D40+G40</f>
        <v>280</v>
      </c>
      <c r="N40" s="38">
        <f t="shared" si="42"/>
        <v>300</v>
      </c>
      <c r="O40" s="69">
        <v>44835.0</v>
      </c>
      <c r="P40" s="45" t="s">
        <v>53</v>
      </c>
      <c r="S40" s="33" t="s">
        <v>54</v>
      </c>
      <c r="U40" s="32"/>
      <c r="W40" s="18" t="s">
        <v>55</v>
      </c>
      <c r="Y40" s="38"/>
    </row>
    <row r="41">
      <c r="A41" s="18">
        <v>2024.0</v>
      </c>
      <c r="B41" s="45">
        <v>200.0</v>
      </c>
      <c r="C41" s="33">
        <v>200.0</v>
      </c>
      <c r="D41" s="18">
        <v>150.0</v>
      </c>
      <c r="E41" s="34">
        <v>150.0</v>
      </c>
      <c r="F41" s="18">
        <v>230.0</v>
      </c>
      <c r="G41" s="18">
        <v>170.0</v>
      </c>
      <c r="H41" s="18">
        <v>170.0</v>
      </c>
      <c r="I41" s="33">
        <v>50.0</v>
      </c>
      <c r="J41" s="34">
        <v>50.0</v>
      </c>
      <c r="K41" s="35">
        <f t="shared" si="37"/>
        <v>370</v>
      </c>
      <c r="L41" s="35">
        <f t="shared" si="38"/>
        <v>430</v>
      </c>
      <c r="M41" s="35">
        <f t="shared" ref="M41:N41" si="43">D41+G41</f>
        <v>320</v>
      </c>
      <c r="N41" s="38">
        <f t="shared" si="43"/>
        <v>320</v>
      </c>
      <c r="O41" s="69">
        <v>45570.0</v>
      </c>
      <c r="P41" s="45" t="s">
        <v>56</v>
      </c>
      <c r="S41" s="33" t="s">
        <v>57</v>
      </c>
      <c r="U41" s="32"/>
      <c r="V41" s="18" t="s">
        <v>58</v>
      </c>
      <c r="Y41" s="38"/>
    </row>
  </sheetData>
  <mergeCells count="58">
    <mergeCell ref="O18:P18"/>
    <mergeCell ref="Q18:R18"/>
    <mergeCell ref="U18:W18"/>
    <mergeCell ref="Y18:Z18"/>
    <mergeCell ref="AA18:AC18"/>
    <mergeCell ref="AD18:AF18"/>
    <mergeCell ref="AG18:AI18"/>
    <mergeCell ref="B17:E17"/>
    <mergeCell ref="B18:C18"/>
    <mergeCell ref="D18:E18"/>
    <mergeCell ref="F18:G18"/>
    <mergeCell ref="H18:I18"/>
    <mergeCell ref="J18:L18"/>
    <mergeCell ref="M18:N18"/>
    <mergeCell ref="F1:I1"/>
    <mergeCell ref="J1:L1"/>
    <mergeCell ref="M1:R1"/>
    <mergeCell ref="S1:T1"/>
    <mergeCell ref="U1:X1"/>
    <mergeCell ref="Y1:AI1"/>
    <mergeCell ref="AJ1:AR1"/>
    <mergeCell ref="AJ2:AL2"/>
    <mergeCell ref="AM2:AN2"/>
    <mergeCell ref="AO2:AR2"/>
    <mergeCell ref="O2:P2"/>
    <mergeCell ref="Q2:R2"/>
    <mergeCell ref="U2:W2"/>
    <mergeCell ref="Y2:Z2"/>
    <mergeCell ref="AA2:AC2"/>
    <mergeCell ref="AD2:AF2"/>
    <mergeCell ref="AG2:AI2"/>
    <mergeCell ref="B1:E1"/>
    <mergeCell ref="B2:C2"/>
    <mergeCell ref="D2:E2"/>
    <mergeCell ref="F2:G2"/>
    <mergeCell ref="H2:I2"/>
    <mergeCell ref="J2:L2"/>
    <mergeCell ref="M2:N2"/>
    <mergeCell ref="F17:I17"/>
    <mergeCell ref="J17:L17"/>
    <mergeCell ref="M17:R17"/>
    <mergeCell ref="S17:T17"/>
    <mergeCell ref="U17:X17"/>
    <mergeCell ref="Y17:AI17"/>
    <mergeCell ref="AJ17:AR17"/>
    <mergeCell ref="AJ18:AL18"/>
    <mergeCell ref="AM18:AN18"/>
    <mergeCell ref="AO18:AR18"/>
    <mergeCell ref="P35:R35"/>
    <mergeCell ref="S35:U35"/>
    <mergeCell ref="V35:X35"/>
    <mergeCell ref="B33:N33"/>
    <mergeCell ref="P33:Y33"/>
    <mergeCell ref="C34:E34"/>
    <mergeCell ref="F34:H34"/>
    <mergeCell ref="I34:J34"/>
    <mergeCell ref="K34:N34"/>
    <mergeCell ref="P34:Y34"/>
  </mergeCells>
  <conditionalFormatting sqref="B20:AI28 AJ21:AR25">
    <cfRule type="colorScale" priority="1">
      <colorScale>
        <cfvo type="formula" val="0.5"/>
        <cfvo type="formula" val="1"/>
        <cfvo type="formula" val="2"/>
        <color rgb="FFE67C73"/>
        <color rgb="FFFFFFFF"/>
        <color rgb="FF57BB8A"/>
      </colorScale>
    </cfRule>
  </conditionalFormatting>
  <drawing r:id="rId1"/>
</worksheet>
</file>