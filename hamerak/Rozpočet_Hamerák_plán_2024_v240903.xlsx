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zpočet H24, v 3.9.24" sheetId="1" r:id="rId4"/>
    <sheet state="visible" name="Rozpočet H22, v 13.8.22" sheetId="2" r:id="rId5"/>
    <sheet state="visible" name="Rozpočet H21, verze 11.8.2021" sheetId="3" r:id="rId6"/>
    <sheet state="visible" name="Návrh rozpočtu, verze 2.6.2021" sheetId="4" r:id="rId7"/>
    <sheet state="visible" name="Návrh rozpočtu, verze 23.6.2020" sheetId="5" r:id="rId8"/>
    <sheet state="visible" name="Ceny Hamerák 2019 vs 2020" sheetId="6" r:id="rId9"/>
    <sheet state="visible" name="Prodeje závod, permice a splutí" sheetId="7" r:id="rId10"/>
  </sheets>
  <definedNames/>
  <calcPr/>
  <extLst>
    <ext uri="GoogleSheetsCustomDataVersion2">
      <go:sheetsCustomData xmlns:go="http://customooxmlschemas.google.com/" r:id="rId11" roundtripDataChecksum="vi4rxZPlXrYtYS27DrG1Ui0Mv+YrT3lY0nHvjq+0UK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======
ID#AAABUuw9Oew
Bauer Tomáš    (2024-09-03 15:24:34)
205 (216) víkend
112 (117) sobota
74 (132) neděle
rok 2021 (v závorce 2019)
2021: poměrně slušné počasí v sobotu i v neděli
2019: (v neděli bylo lepší počasí a nebyl závod, v sobotu pár nad nulou…)</t>
      </text>
    </comment>
    <comment authorId="0" ref="E6">
      <text>
        <t xml:space="preserve">======
ID#AAABUuw9OeE
Bauer Tomáš    (2024-09-03 15:24:34)
138 (142) víkend
143 (90) sobota
138 (226) neděle
rok 2021 (v závorce 2019)
2021: poměrně slušné počasí v sobotu i v neděli
2019: (v neděli bylo lepší počasí a nebyl závod, v sobotu pár nad nulou…)</t>
      </text>
    </comment>
    <comment authorId="0" ref="D8">
      <text>
        <t xml:space="preserve">======
ID#AAABUuoxe6A
Bauer Tomáš    (2024-09-03 15:24:34)
ČSK 80.000
mínus 5000 pro Hradečáky</t>
      </text>
    </comment>
  </commentList>
  <extLst>
    <ext uri="GoogleSheetsCustomDataVersion2">
      <go:sheetsCustomData xmlns:go="http://customooxmlschemas.google.com/" r:id="rId1" roundtripDataSignature="AMtx7mjTHm1n3NWMbEVwz8QX9fBhjp2eW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======
ID#AAABUuw9Oek
Bauer Tomáš    (2024-09-03 15:24:34)
216 víkend
117 sobota
132 neděle
(v neděli bylo lepší počasí a nebyl závod, v sobotu pár nad nulou…)</t>
      </text>
    </comment>
    <comment authorId="0" ref="D8">
      <text>
        <t xml:space="preserve">======
ID#AAABUuw9OeM
Bauer Tomáš    (2024-09-03 15:24:34)
ČSK 80.000
mínus 5000 pro Hradečáky</t>
      </text>
    </comment>
    <comment authorId="0" ref="J17">
      <text>
        <t xml:space="preserve">======
ID#AAABUuw9OeI
Bauer Tomáš    (2024-09-03 15:24:34)
Převážně Ešus cesty a náklady
Včetně nového nůžkového stanu (3000)</t>
      </text>
    </comment>
    <comment authorId="0" ref="E6">
      <text>
        <t xml:space="preserve">======
ID#AAABUuw9Od4
Bauer Tomáš    (2024-09-03 15:24:34)
142 víkend
90 sobota
226 neděle</t>
      </text>
    </comment>
  </commentList>
  <extLst>
    <ext uri="GoogleSheetsCustomDataVersion2">
      <go:sheetsCustomData xmlns:go="http://customooxmlschemas.google.com/" r:id="rId1" roundtripDataSignature="AMtx7mh7Uv9Yf+a13tsLS623jXGFXnV20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ID#AAABUuw9Oes
Bauer Tomáš    (2024-09-03 15:24:34)
142 víkend
90 sobota
226 neděle</t>
      </text>
    </comment>
    <comment authorId="0" ref="D8">
      <text>
        <t xml:space="preserve">======
ID#AAABUuw9Oeg
Bauer Tomáš    (2024-09-03 15:24:34)
ČSK 80.000
mínus 5000 pro Hradečáky</t>
      </text>
    </comment>
    <comment authorId="0" ref="C6">
      <text>
        <t xml:space="preserve">======
ID#AAABUuw9OeQ
Bauer Tomáš    (2024-09-03 15:24:34)
čísla viz list "Ceny Hamerák 2019 vs 2020"</t>
      </text>
    </comment>
    <comment authorId="0" ref="J17">
      <text>
        <t xml:space="preserve">======
ID#AAABUuw9Od0
Bauer Tomáš    (2024-09-03 15:24:34)
Převážně Ešus cesty a náklady
Včetně nového nůžkového stanu (3000)</t>
      </text>
    </comment>
    <comment authorId="0" ref="E7">
      <text>
        <t xml:space="preserve">======
ID#AAABUuoxe6Q
Bauer Tomáš    (2024-09-03 15:24:34)
216 víkend
117 sobota
132 neděle
(v neděli bylo lepší počasí a nebyl závod, v sobotu pár nad nulou…)</t>
      </text>
    </comment>
    <comment authorId="0" ref="C5">
      <text>
        <t xml:space="preserve">======
ID#AAABUuoxe6M
Bauer Tomáš    (2024-09-03 15:24:34)
čísla viz list "Ceny Hamerák 2019 vs 2020"</t>
      </text>
    </comment>
    <comment authorId="0" ref="C7">
      <text>
        <t xml:space="preserve">======
ID#AAABUuoxe54
Bauer Tomáš    (2024-09-03 15:24:34)
čísla viz list "Ceny Hamerák 2019 vs 2020"
očekávám pokles proti 2019 (protože covid / hromadná doprava)</t>
      </text>
    </comment>
  </commentList>
  <extLst>
    <ext uri="GoogleSheetsCustomDataVersion2">
      <go:sheetsCustomData xmlns:go="http://customooxmlschemas.google.com/" r:id="rId1" roundtripDataSignature="AMtx7mgMU1fwJlkq2dFp4OOyi1nlkzq4c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======
ID#AAABUuw9Oeo
Bauer Tomáš    (2024-09-03 15:24:34)
čísla viz list "Ceny Hamerák 2019 vs 2020"</t>
      </text>
    </comment>
    <comment authorId="0" ref="E6">
      <text>
        <t xml:space="preserve">======
ID#AAABUuw9OeY
Bauer Tomáš    (2024-09-03 15:24:34)
142 víkend
90 sobota
226 neděle</t>
      </text>
    </comment>
    <comment authorId="0" ref="E7">
      <text>
        <t xml:space="preserve">======
ID#AAABUuw9OeA
Bauer Tomáš    (2024-09-03 15:24:34)
216 víkend
117 sobota
132 neděle
(v neděli bylo lepší počasí a nebyl závod, v sobotu pár nad nulou…)</t>
      </text>
    </comment>
    <comment authorId="0" ref="C6">
      <text>
        <t xml:space="preserve">======
ID#AAABUuw9Od8
Bauer Tomáš    (2024-09-03 15:24:34)
čísla viz list "Ceny Hamerák 2019 vs 2020"</t>
      </text>
    </comment>
    <comment authorId="0" ref="J17">
      <text>
        <t xml:space="preserve">======
ID#AAABUuoxe6I
Bauer Tomáš    (2024-09-03 15:24:34)
Převážně Ešus cesty a náklady
Včetně nového nůžkového stanu (3000)</t>
      </text>
    </comment>
    <comment authorId="0" ref="D8">
      <text>
        <t xml:space="preserve">======
ID#AAABUuoxe6E
Bauer Tomáš    (2024-09-03 15:24:34)
ČSK 80.000
mínus 5000 pro Hradečáky</t>
      </text>
    </comment>
    <comment authorId="0" ref="C7">
      <text>
        <t xml:space="preserve">======
ID#AAABUuoxe58
Bauer Tomáš    (2024-09-03 15:24:34)
čísla viz list "Ceny Hamerák 2019 vs 2020"
očekávám pokles proti 2019 (protože covid / hromadná doprava)</t>
      </text>
    </comment>
  </commentList>
  <extLst>
    <ext uri="GoogleSheetsCustomDataVersion2">
      <go:sheetsCustomData xmlns:go="http://customooxmlschemas.google.com/" r:id="rId1" roundtripDataSignature="AMtx7mhatC0cJEXYyxYrbWej5GO4/EBSd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======
ID#AAABUuw9Oec
Tomas Bauer    (2024-09-03 15:24:34)
Splutí víkendové:
7 Bohemka
3 výměna</t>
      </text>
    </comment>
    <comment authorId="0" ref="K15">
      <text>
        <t xml:space="preserve">======
ID#AAABUuw9OeU
Tomas Bauer    (2024-09-03 15:24:34)
Bohemka 8
Výměna 5</t>
      </text>
    </comment>
  </commentList>
  <extLst>
    <ext uri="GoogleSheetsCustomDataVersion2">
      <go:sheetsCustomData xmlns:go="http://customooxmlschemas.google.com/" r:id="rId1" roundtripDataSignature="AMtx7mjahYavWTYEywWT1ZSHGHIERycKsQ=="/>
    </ext>
  </extLst>
</comments>
</file>

<file path=xl/sharedStrings.xml><?xml version="1.0" encoding="utf-8"?>
<sst xmlns="http://schemas.openxmlformats.org/spreadsheetml/2006/main" count="514" uniqueCount="135">
  <si>
    <t>PŘÍJMY</t>
  </si>
  <si>
    <t>VÝDAJE</t>
  </si>
  <si>
    <t>Návrh pro 2024</t>
  </si>
  <si>
    <t>Skutečnost v 2022</t>
  </si>
  <si>
    <t>kategorie</t>
  </si>
  <si>
    <t>položka</t>
  </si>
  <si>
    <t>Příjem</t>
  </si>
  <si>
    <t>počet</t>
  </si>
  <si>
    <t>doprava</t>
  </si>
  <si>
    <t>bus Jan Kukla</t>
  </si>
  <si>
    <t>Startovné</t>
  </si>
  <si>
    <t>vlak JHMD</t>
  </si>
  <si>
    <t>Splutí</t>
  </si>
  <si>
    <t>permice tisk</t>
  </si>
  <si>
    <t>Permice</t>
  </si>
  <si>
    <t>materiál náklady (igelity aj.)</t>
  </si>
  <si>
    <t>igelity a také desinfekční prostředky</t>
  </si>
  <si>
    <t>Dotace ČSK</t>
  </si>
  <si>
    <t>obslužná vozidla</t>
  </si>
  <si>
    <t>Kelímky</t>
  </si>
  <si>
    <t>ceny</t>
  </si>
  <si>
    <t>hrnky potisk</t>
  </si>
  <si>
    <t>CELKEM</t>
  </si>
  <si>
    <t>branky</t>
  </si>
  <si>
    <t>materiál branky</t>
  </si>
  <si>
    <t>místní poplatky</t>
  </si>
  <si>
    <t>Boček/kokta vstup</t>
  </si>
  <si>
    <t>Hrázný Fučík</t>
  </si>
  <si>
    <t>Feit - louka Dvoreček</t>
  </si>
  <si>
    <t>vodohospodářství</t>
  </si>
  <si>
    <t>Rybáři</t>
  </si>
  <si>
    <t>občerstvení</t>
  </si>
  <si>
    <t>pivo Kamenice</t>
  </si>
  <si>
    <t>náklady občerstvení</t>
  </si>
  <si>
    <t>příprava, zpracování</t>
  </si>
  <si>
    <t>materiál, cesty, pošta</t>
  </si>
  <si>
    <t>Příjmy</t>
  </si>
  <si>
    <t>ubytování</t>
  </si>
  <si>
    <t>chatky</t>
  </si>
  <si>
    <t>Výdaje</t>
  </si>
  <si>
    <t>kelímky</t>
  </si>
  <si>
    <t>výroba kelímků</t>
  </si>
  <si>
    <t>změna nákladů</t>
  </si>
  <si>
    <t>Odhad počtu lidí</t>
  </si>
  <si>
    <t>Položka</t>
  </si>
  <si>
    <t>Cena návrh 2024</t>
  </si>
  <si>
    <t>Počet 2022</t>
  </si>
  <si>
    <t>Součet řádek Kč</t>
  </si>
  <si>
    <t>Součet skupina Kč</t>
  </si>
  <si>
    <t>Cena 2022</t>
  </si>
  <si>
    <t>Navýšení ceny 2024</t>
  </si>
  <si>
    <t>podle roku 2022</t>
  </si>
  <si>
    <t>Závod (lidi)</t>
  </si>
  <si>
    <t>závod</t>
  </si>
  <si>
    <t>Splutí víkend</t>
  </si>
  <si>
    <t>Splutí sobota</t>
  </si>
  <si>
    <t>Splutí neděle</t>
  </si>
  <si>
    <t>splutí</t>
  </si>
  <si>
    <t>Permice víkend</t>
  </si>
  <si>
    <t>Permice sobota</t>
  </si>
  <si>
    <t>Permice neděle</t>
  </si>
  <si>
    <t>permice</t>
  </si>
  <si>
    <t>Kelímek</t>
  </si>
  <si>
    <t>Splutí a permice víkend</t>
  </si>
  <si>
    <t>Prodeje</t>
  </si>
  <si>
    <t>Splutí a permice sobota</t>
  </si>
  <si>
    <t>základní dotace 65k</t>
  </si>
  <si>
    <t>Splutí a permice neděle</t>
  </si>
  <si>
    <t>Náklady</t>
  </si>
  <si>
    <t>Z/Z 2024 plán</t>
  </si>
  <si>
    <t>PŘÍJMY 2022</t>
  </si>
  <si>
    <t>VÝDAJE 2024</t>
  </si>
  <si>
    <t>Návrh pro 2022</t>
  </si>
  <si>
    <t>Skutečnost v 2021</t>
  </si>
  <si>
    <t>příjmy z dopravy + dotace 25k by měla pokrýt náklady</t>
  </si>
  <si>
    <t>vlaky budou o cca 22000 dražší</t>
  </si>
  <si>
    <t>Jan Kukla sponzoring</t>
  </si>
  <si>
    <t>materiál</t>
  </si>
  <si>
    <t>náklady</t>
  </si>
  <si>
    <t>Hamerák 2022</t>
  </si>
  <si>
    <t>Počet</t>
  </si>
  <si>
    <t>Cena 2021</t>
  </si>
  <si>
    <t>Navýšení ceny 2022</t>
  </si>
  <si>
    <t>podle roku 2021</t>
  </si>
  <si>
    <t>Z/Z 2021 plán</t>
  </si>
  <si>
    <t>PŘÍJMY 2020</t>
  </si>
  <si>
    <t>VÝDAJE 2020</t>
  </si>
  <si>
    <t>Návrh pro 2021</t>
  </si>
  <si>
    <t>Skutečnost v 2019</t>
  </si>
  <si>
    <t>Hamerák 2021</t>
  </si>
  <si>
    <t>Cena</t>
  </si>
  <si>
    <t>podle roku 2019</t>
  </si>
  <si>
    <t>cílem je mít příjmy z dopravy &gt; 80.000,- Kč (105k náklady autobusy mínus 25k dotace)</t>
  </si>
  <si>
    <t>základní dotace 65k, navíc dotace na dopravu 25k</t>
  </si>
  <si>
    <t>Návrh pro 2020</t>
  </si>
  <si>
    <t>Hamerák 2019</t>
  </si>
  <si>
    <t>Součet Kč</t>
  </si>
  <si>
    <t>+10%</t>
  </si>
  <si>
    <t>prodeje</t>
  </si>
  <si>
    <t>dotace+spo</t>
  </si>
  <si>
    <t>základní dotace 65k a není sponzoring J. Kukla</t>
  </si>
  <si>
    <t>příjmy</t>
  </si>
  <si>
    <t>Z/Z 2019</t>
  </si>
  <si>
    <t>Z/Z 2020 plán</t>
  </si>
  <si>
    <t>Hamerák splutí 2020</t>
  </si>
  <si>
    <t>Var. 2020 bez závodu</t>
  </si>
  <si>
    <t>Účel</t>
  </si>
  <si>
    <t>Kategorie</t>
  </si>
  <si>
    <t>Ubytování v kempu - chatky</t>
  </si>
  <si>
    <t>Ubytování</t>
  </si>
  <si>
    <t>úklid autobusů, ochrana sedaček, atd.</t>
  </si>
  <si>
    <t>Doprava</t>
  </si>
  <si>
    <t>Boček/Kokta pronájem kolem vstupu</t>
  </si>
  <si>
    <t>Místní</t>
  </si>
  <si>
    <t>Feit - Louka na výstupu Dvoreček</t>
  </si>
  <si>
    <t>Doprava, 2 autobusy pro obsluhu Dvoreček a Jindřiš v sobotu a neděli</t>
  </si>
  <si>
    <t>Tisk permice</t>
  </si>
  <si>
    <t>Další náklady (+ rezerva)</t>
  </si>
  <si>
    <t>Příprava</t>
  </si>
  <si>
    <t>Celkem</t>
  </si>
  <si>
    <t>případně doprava 3 busy za 80 tisíc, tedy + 20.000,- Kč (nutno potvrdit s Honzou)</t>
  </si>
  <si>
    <t>Pokladna 1 - Závod a splutí</t>
  </si>
  <si>
    <t>Pokladna 2 - permice</t>
  </si>
  <si>
    <t>Sobota</t>
  </si>
  <si>
    <t>Otevření</t>
  </si>
  <si>
    <t>Prodáno</t>
  </si>
  <si>
    <t>Závod</t>
  </si>
  <si>
    <t>Permice víkend:</t>
  </si>
  <si>
    <t>Permice sobota:</t>
  </si>
  <si>
    <t>Splutí víkend:</t>
  </si>
  <si>
    <t>Splutí sobota:</t>
  </si>
  <si>
    <t>Pokladna 3 - Hráz</t>
  </si>
  <si>
    <t>Neděle</t>
  </si>
  <si>
    <t>Během dne doplněno</t>
  </si>
  <si>
    <t>Oprávky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</si>
</sst>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;[Red]\-#,##0\ "/>
  </numFmts>
  <fonts count="16">
    <font>
      <sz val="10.0"/>
      <color rgb="FF000000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sz val="8.0"/>
      <color theme="1"/>
      <name val="Arial"/>
    </font>
    <font>
      <sz val="10.0"/>
      <color theme="1"/>
      <name val="Arial"/>
    </font>
    <font>
      <sz val="12.0"/>
      <color rgb="FF00B050"/>
      <name val="Arial"/>
    </font>
    <font>
      <b/>
      <i/>
      <sz val="12.0"/>
      <color rgb="FF1F497D"/>
      <name val="Calibri"/>
    </font>
    <font>
      <i/>
      <sz val="12.0"/>
      <color rgb="FF1F497D"/>
      <name val="Calibri"/>
    </font>
    <font>
      <b/>
      <sz val="11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2.0"/>
      <color rgb="FF000000"/>
      <name val="Arial"/>
    </font>
    <font>
      <color theme="1"/>
      <name val="Calibri"/>
      <scheme val="minor"/>
    </font>
    <font>
      <sz val="14.0"/>
      <color theme="1"/>
      <name val="Calibri"/>
    </font>
    <font>
      <sz val="14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E5DFEC"/>
        <bgColor rgb="FFE5DFEC"/>
      </patternFill>
    </fill>
    <fill>
      <patternFill patternType="solid">
        <fgColor rgb="FF0070C0"/>
        <bgColor rgb="FF0070C0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5" fillId="0" fontId="4" numFmtId="0" xfId="0" applyBorder="1" applyFont="1"/>
    <xf borderId="6" fillId="0" fontId="2" numFmtId="0" xfId="0" applyAlignment="1" applyBorder="1" applyFont="1">
      <alignment horizontal="center"/>
    </xf>
    <xf borderId="5" fillId="0" fontId="2" numFmtId="0" xfId="0" applyBorder="1" applyFont="1"/>
    <xf borderId="7" fillId="0" fontId="2" numFmtId="0" xfId="0" applyBorder="1" applyFont="1"/>
    <xf borderId="7" fillId="0" fontId="1" numFmtId="164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readingOrder="0"/>
    </xf>
    <xf borderId="0" fillId="0" fontId="5" numFmtId="0" xfId="0" applyFont="1"/>
    <xf borderId="9" fillId="0" fontId="2" numFmtId="0" xfId="0" applyBorder="1" applyFont="1"/>
    <xf borderId="10" fillId="0" fontId="2" numFmtId="164" xfId="0" applyBorder="1" applyFont="1" applyNumberFormat="1"/>
    <xf borderId="10" fillId="0" fontId="2" numFmtId="164" xfId="0" applyAlignment="1" applyBorder="1" applyFont="1" applyNumberFormat="1">
      <alignment readingOrder="0"/>
    </xf>
    <xf borderId="11" fillId="0" fontId="2" numFmtId="164" xfId="0" applyBorder="1" applyFont="1" applyNumberFormat="1"/>
    <xf borderId="12" fillId="0" fontId="2" numFmtId="0" xfId="0" applyBorder="1" applyFont="1"/>
    <xf borderId="12" fillId="0" fontId="2" numFmtId="164" xfId="0" applyBorder="1" applyFont="1" applyNumberFormat="1"/>
    <xf borderId="12" fillId="0" fontId="2" numFmtId="164" xfId="0" applyAlignment="1" applyBorder="1" applyFont="1" applyNumberFormat="1">
      <alignment readingOrder="0"/>
    </xf>
    <xf borderId="13" fillId="0" fontId="2" numFmtId="0" xfId="0" applyAlignment="1" applyBorder="1" applyFont="1">
      <alignment readingOrder="0"/>
    </xf>
    <xf borderId="10" fillId="0" fontId="2" numFmtId="164" xfId="0" applyAlignment="1" applyBorder="1" applyFont="1" applyNumberFormat="1">
      <alignment horizontal="right"/>
    </xf>
    <xf borderId="11" fillId="0" fontId="2" numFmtId="164" xfId="0" applyAlignment="1" applyBorder="1" applyFont="1" applyNumberFormat="1">
      <alignment readingOrder="0"/>
    </xf>
    <xf borderId="1" fillId="0" fontId="1" numFmtId="0" xfId="0" applyBorder="1" applyFont="1"/>
    <xf borderId="6" fillId="0" fontId="2" numFmtId="164" xfId="0" applyBorder="1" applyFont="1" applyNumberFormat="1"/>
    <xf borderId="12" fillId="0" fontId="2" numFmtId="0" xfId="0" applyAlignment="1" applyBorder="1" applyFont="1">
      <alignment readingOrder="0"/>
    </xf>
    <xf borderId="0" fillId="0" fontId="6" numFmtId="164" xfId="0" applyFont="1" applyNumberFormat="1"/>
    <xf borderId="0" fillId="0" fontId="6" numFmtId="0" xfId="0" applyFont="1"/>
    <xf borderId="14" fillId="0" fontId="6" numFmtId="0" xfId="0" applyBorder="1" applyFont="1"/>
    <xf borderId="15" fillId="0" fontId="2" numFmtId="0" xfId="0" applyBorder="1" applyFont="1"/>
    <xf borderId="10" fillId="0" fontId="2" numFmtId="0" xfId="0" applyBorder="1" applyFont="1"/>
    <xf borderId="10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0" fontId="6" numFmtId="0" xfId="0" applyBorder="1" applyFont="1"/>
    <xf borderId="16" fillId="0" fontId="2" numFmtId="164" xfId="0" applyBorder="1" applyFont="1" applyNumberFormat="1"/>
    <xf borderId="11" fillId="0" fontId="2" numFmtId="0" xfId="0" applyBorder="1" applyFont="1"/>
    <xf borderId="17" fillId="0" fontId="2" numFmtId="164" xfId="0" applyBorder="1" applyFont="1" applyNumberFormat="1"/>
    <xf borderId="18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19" fillId="0" fontId="2" numFmtId="164" xfId="0" applyAlignment="1" applyBorder="1" applyFont="1" applyNumberFormat="1">
      <alignment readingOrder="0"/>
    </xf>
    <xf borderId="15" fillId="0" fontId="2" numFmtId="164" xfId="0" applyAlignment="1" applyBorder="1" applyFont="1" applyNumberFormat="1">
      <alignment readingOrder="0"/>
    </xf>
    <xf borderId="6" fillId="0" fontId="1" numFmtId="0" xfId="0" applyBorder="1" applyFont="1"/>
    <xf borderId="6" fillId="0" fontId="1" numFmtId="164" xfId="0" applyBorder="1" applyFont="1" applyNumberFormat="1"/>
    <xf borderId="20" fillId="0" fontId="2" numFmtId="0" xfId="0" applyBorder="1" applyFont="1"/>
    <xf borderId="20" fillId="0" fontId="2" numFmtId="164" xfId="0" applyBorder="1" applyFont="1" applyNumberFormat="1"/>
    <xf borderId="3" fillId="0" fontId="2" numFmtId="164" xfId="0" applyBorder="1" applyFont="1" applyNumberFormat="1"/>
    <xf borderId="0" fillId="0" fontId="7" numFmtId="0" xfId="0" applyFont="1"/>
    <xf borderId="21" fillId="0" fontId="7" numFmtId="0" xfId="0" applyBorder="1" applyFont="1"/>
    <xf borderId="0" fillId="0" fontId="8" numFmtId="0" xfId="0" applyFont="1"/>
    <xf borderId="0" fillId="0" fontId="2" numFmtId="9" xfId="0" applyFont="1" applyNumberFormat="1"/>
    <xf borderId="0" fillId="0" fontId="9" numFmtId="0" xfId="0" applyFont="1"/>
    <xf borderId="22" fillId="2" fontId="10" numFmtId="0" xfId="0" applyAlignment="1" applyBorder="1" applyFill="1" applyFont="1">
      <alignment readingOrder="0"/>
    </xf>
    <xf borderId="23" fillId="2" fontId="10" numFmtId="0" xfId="0" applyAlignment="1" applyBorder="1" applyFont="1">
      <alignment readingOrder="0"/>
    </xf>
    <xf borderId="24" fillId="2" fontId="10" numFmtId="0" xfId="0" applyBorder="1" applyFont="1"/>
    <xf borderId="0" fillId="0" fontId="11" numFmtId="0" xfId="0" applyFont="1"/>
    <xf borderId="23" fillId="2" fontId="10" numFmtId="0" xfId="0" applyBorder="1" applyFont="1"/>
    <xf quotePrefix="1" borderId="0" fillId="0" fontId="2" numFmtId="0" xfId="0" applyAlignment="1" applyFont="1">
      <alignment readingOrder="0"/>
    </xf>
    <xf borderId="13" fillId="0" fontId="2" numFmtId="0" xfId="0" applyBorder="1" applyFont="1"/>
    <xf borderId="25" fillId="0" fontId="2" numFmtId="0" xfId="0" applyAlignment="1" applyBorder="1" applyFont="1">
      <alignment readingOrder="0"/>
    </xf>
    <xf borderId="25" fillId="0" fontId="2" numFmtId="164" xfId="0" applyAlignment="1" applyBorder="1" applyFont="1" applyNumberFormat="1">
      <alignment readingOrder="0"/>
    </xf>
    <xf borderId="26" fillId="0" fontId="2" numFmtId="164" xfId="0" applyBorder="1" applyFont="1" applyNumberFormat="1"/>
    <xf borderId="25" fillId="0" fontId="2" numFmtId="0" xfId="0" applyBorder="1" applyFont="1"/>
    <xf borderId="25" fillId="0" fontId="2" numFmtId="9" xfId="0" applyBorder="1" applyFont="1" applyNumberFormat="1"/>
    <xf borderId="27" fillId="0" fontId="2" numFmtId="0" xfId="0" applyBorder="1" applyFont="1"/>
    <xf borderId="28" fillId="0" fontId="2" numFmtId="0" xfId="0" applyAlignment="1" applyBorder="1" applyFont="1">
      <alignment readingOrder="0"/>
    </xf>
    <xf borderId="28" fillId="0" fontId="2" numFmtId="164" xfId="0" applyAlignment="1" applyBorder="1" applyFont="1" applyNumberFormat="1">
      <alignment readingOrder="0"/>
    </xf>
    <xf borderId="29" fillId="0" fontId="2" numFmtId="164" xfId="0" applyBorder="1" applyFont="1" applyNumberFormat="1"/>
    <xf borderId="28" fillId="0" fontId="2" numFmtId="0" xfId="0" applyBorder="1" applyFont="1"/>
    <xf borderId="28" fillId="0" fontId="2" numFmtId="9" xfId="0" applyBorder="1" applyFont="1" applyNumberFormat="1"/>
    <xf borderId="30" fillId="0" fontId="2" numFmtId="0" xfId="0" applyAlignment="1" applyBorder="1" applyFont="1">
      <alignment readingOrder="0"/>
    </xf>
    <xf borderId="30" fillId="0" fontId="2" numFmtId="164" xfId="0" applyAlignment="1" applyBorder="1" applyFont="1" applyNumberFormat="1">
      <alignment readingOrder="0"/>
    </xf>
    <xf borderId="31" fillId="0" fontId="2" numFmtId="164" xfId="0" applyBorder="1" applyFont="1" applyNumberFormat="1"/>
    <xf borderId="30" fillId="0" fontId="2" numFmtId="0" xfId="0" applyBorder="1" applyFont="1"/>
    <xf borderId="30" fillId="0" fontId="2" numFmtId="9" xfId="0" applyBorder="1" applyFont="1" applyNumberFormat="1"/>
    <xf borderId="32" fillId="0" fontId="2" numFmtId="0" xfId="0" applyBorder="1" applyFont="1"/>
    <xf borderId="33" fillId="0" fontId="2" numFmtId="0" xfId="0" applyAlignment="1" applyBorder="1" applyFont="1">
      <alignment readingOrder="0"/>
    </xf>
    <xf borderId="33" fillId="0" fontId="2" numFmtId="164" xfId="0" applyAlignment="1" applyBorder="1" applyFont="1" applyNumberFormat="1">
      <alignment readingOrder="0"/>
    </xf>
    <xf borderId="34" fillId="0" fontId="2" numFmtId="164" xfId="0" applyBorder="1" applyFont="1" applyNumberFormat="1"/>
    <xf borderId="33" fillId="0" fontId="2" numFmtId="0" xfId="0" applyBorder="1" applyFont="1"/>
    <xf borderId="33" fillId="0" fontId="2" numFmtId="9" xfId="0" applyBorder="1" applyFont="1" applyNumberFormat="1"/>
    <xf borderId="0" fillId="0" fontId="2" numFmtId="9" xfId="0" applyAlignment="1" applyFont="1" applyNumberFormat="1">
      <alignment horizontal="left"/>
    </xf>
    <xf borderId="35" fillId="0" fontId="12" numFmtId="0" xfId="0" applyAlignment="1" applyBorder="1" applyFont="1">
      <alignment readingOrder="0" shrinkToFit="0" vertical="bottom" wrapText="0"/>
    </xf>
    <xf borderId="30" fillId="0" fontId="12" numFmtId="0" xfId="0" applyAlignment="1" applyBorder="1" applyFont="1">
      <alignment horizontal="right" readingOrder="0" shrinkToFit="0" vertical="bottom" wrapText="0"/>
    </xf>
    <xf borderId="36" fillId="0" fontId="12" numFmtId="0" xfId="0" applyAlignment="1" applyBorder="1" applyFont="1">
      <alignment horizontal="right" readingOrder="0" shrinkToFit="0" vertical="bottom" wrapText="0"/>
    </xf>
    <xf borderId="34" fillId="0" fontId="2" numFmtId="164" xfId="0" applyAlignment="1" applyBorder="1" applyFont="1" applyNumberFormat="1">
      <alignment horizontal="right"/>
    </xf>
    <xf borderId="37" fillId="0" fontId="2" numFmtId="0" xfId="0" applyAlignment="1" applyBorder="1" applyFont="1">
      <alignment readingOrder="0"/>
    </xf>
    <xf borderId="29" fillId="0" fontId="1" numFmtId="164" xfId="0" applyBorder="1" applyFont="1" applyNumberFormat="1"/>
    <xf borderId="21" fillId="0" fontId="1" numFmtId="0" xfId="0" applyBorder="1" applyFont="1"/>
    <xf borderId="21" fillId="0" fontId="1" numFmtId="164" xfId="0" applyBorder="1" applyFont="1" applyNumberFormat="1"/>
    <xf borderId="0" fillId="0" fontId="1" numFmtId="164" xfId="0" applyFont="1" applyNumberFormat="1"/>
    <xf borderId="38" fillId="3" fontId="1" numFmtId="0" xfId="0" applyAlignment="1" applyBorder="1" applyFill="1" applyFont="1">
      <alignment readingOrder="0"/>
    </xf>
    <xf borderId="38" fillId="3" fontId="1" numFmtId="164" xfId="0" applyBorder="1" applyFont="1" applyNumberFormat="1"/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7" fillId="0" fontId="1" numFmtId="164" xfId="0" applyBorder="1" applyFont="1" applyNumberFormat="1"/>
    <xf borderId="8" fillId="0" fontId="2" numFmtId="164" xfId="0" applyBorder="1" applyFont="1" applyNumberFormat="1"/>
    <xf borderId="16" fillId="0" fontId="1" numFmtId="0" xfId="0" applyAlignment="1" applyBorder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19" fillId="0" fontId="2" numFmtId="164" xfId="0" applyBorder="1" applyFont="1" applyNumberFormat="1"/>
    <xf borderId="15" fillId="0" fontId="2" numFmtId="164" xfId="0" applyBorder="1" applyFont="1" applyNumberFormat="1"/>
    <xf borderId="22" fillId="2" fontId="10" numFmtId="0" xfId="0" applyBorder="1" applyFont="1"/>
    <xf quotePrefix="1" borderId="0" fillId="0" fontId="2" numFmtId="9" xfId="0" applyFont="1" applyNumberFormat="1"/>
    <xf borderId="25" fillId="0" fontId="2" numFmtId="164" xfId="0" applyBorder="1" applyFont="1" applyNumberFormat="1"/>
    <xf borderId="28" fillId="0" fontId="2" numFmtId="164" xfId="0" applyBorder="1" applyFont="1" applyNumberFormat="1"/>
    <xf borderId="30" fillId="0" fontId="2" numFmtId="164" xfId="0" applyBorder="1" applyFont="1" applyNumberFormat="1"/>
    <xf borderId="33" fillId="0" fontId="2" numFmtId="164" xfId="0" applyBorder="1" applyFont="1" applyNumberFormat="1"/>
    <xf borderId="38" fillId="3" fontId="1" numFmtId="0" xfId="0" applyBorder="1" applyFont="1"/>
    <xf borderId="39" fillId="0" fontId="2" numFmtId="164" xfId="0" applyBorder="1" applyFont="1" applyNumberFormat="1"/>
    <xf borderId="10" fillId="0" fontId="1" numFmtId="0" xfId="0" applyAlignment="1" applyBorder="1" applyFont="1">
      <alignment horizontal="center"/>
    </xf>
    <xf borderId="12" fillId="0" fontId="1" numFmtId="164" xfId="0" applyBorder="1" applyFont="1" applyNumberFormat="1"/>
    <xf borderId="7" fillId="0" fontId="2" numFmtId="164" xfId="0" applyBorder="1" applyFont="1" applyNumberFormat="1"/>
    <xf borderId="13" fillId="0" fontId="11" numFmtId="0" xfId="0" applyBorder="1" applyFont="1"/>
    <xf borderId="25" fillId="0" fontId="11" numFmtId="164" xfId="0" applyBorder="1" applyFont="1" applyNumberFormat="1"/>
    <xf borderId="25" fillId="0" fontId="11" numFmtId="0" xfId="0" applyBorder="1" applyFont="1"/>
    <xf borderId="26" fillId="0" fontId="11" numFmtId="164" xfId="0" applyBorder="1" applyFont="1" applyNumberFormat="1"/>
    <xf borderId="0" fillId="0" fontId="11" numFmtId="164" xfId="0" applyFont="1" applyNumberFormat="1"/>
    <xf quotePrefix="1" borderId="0" fillId="0" fontId="11" numFmtId="9" xfId="0" applyFont="1" applyNumberFormat="1"/>
    <xf borderId="27" fillId="0" fontId="11" numFmtId="0" xfId="0" applyBorder="1" applyFont="1"/>
    <xf borderId="28" fillId="0" fontId="11" numFmtId="164" xfId="0" applyBorder="1" applyFont="1" applyNumberFormat="1"/>
    <xf borderId="28" fillId="0" fontId="11" numFmtId="0" xfId="0" applyBorder="1" applyFont="1"/>
    <xf borderId="29" fillId="0" fontId="11" numFmtId="164" xfId="0" applyBorder="1" applyFont="1" applyNumberFormat="1"/>
    <xf borderId="0" fillId="0" fontId="11" numFmtId="9" xfId="0" applyAlignment="1" applyFont="1" applyNumberFormat="1">
      <alignment horizontal="left"/>
    </xf>
    <xf borderId="9" fillId="0" fontId="11" numFmtId="0" xfId="0" applyBorder="1" applyFont="1"/>
    <xf borderId="30" fillId="0" fontId="11" numFmtId="164" xfId="0" applyBorder="1" applyFont="1" applyNumberFormat="1"/>
    <xf borderId="30" fillId="0" fontId="11" numFmtId="0" xfId="0" applyBorder="1" applyFont="1"/>
    <xf borderId="31" fillId="0" fontId="11" numFmtId="164" xfId="0" applyBorder="1" applyFont="1" applyNumberFormat="1"/>
    <xf borderId="32" fillId="0" fontId="11" numFmtId="0" xfId="0" applyBorder="1" applyFont="1"/>
    <xf borderId="33" fillId="0" fontId="11" numFmtId="164" xfId="0" applyBorder="1" applyFont="1" applyNumberFormat="1"/>
    <xf borderId="33" fillId="0" fontId="11" numFmtId="0" xfId="0" applyBorder="1" applyFont="1"/>
    <xf borderId="34" fillId="0" fontId="11" numFmtId="164" xfId="0" applyBorder="1" applyFont="1" applyNumberFormat="1"/>
    <xf borderId="0" fillId="0" fontId="11" numFmtId="9" xfId="0" applyFont="1" applyNumberFormat="1"/>
    <xf borderId="29" fillId="0" fontId="9" numFmtId="164" xfId="0" applyBorder="1" applyFont="1" applyNumberFormat="1"/>
    <xf borderId="21" fillId="0" fontId="11" numFmtId="0" xfId="0" applyBorder="1" applyFont="1"/>
    <xf borderId="21" fillId="0" fontId="9" numFmtId="164" xfId="0" applyBorder="1" applyFont="1" applyNumberFormat="1"/>
    <xf borderId="38" fillId="3" fontId="9" numFmtId="0" xfId="0" applyBorder="1" applyFont="1"/>
    <xf borderId="38" fillId="3" fontId="9" numFmtId="164" xfId="0" applyBorder="1" applyFont="1" applyNumberFormat="1"/>
    <xf borderId="38" fillId="4" fontId="9" numFmtId="0" xfId="0" applyBorder="1" applyFill="1" applyFont="1"/>
    <xf borderId="0" fillId="0" fontId="5" numFmtId="164" xfId="0" applyFont="1" applyNumberFormat="1"/>
    <xf borderId="0" fillId="0" fontId="13" numFmtId="0" xfId="0" applyFont="1"/>
    <xf borderId="33" fillId="5" fontId="11" numFmtId="0" xfId="0" applyBorder="1" applyFill="1" applyFont="1"/>
    <xf borderId="0" fillId="0" fontId="9" numFmtId="164" xfId="0" applyFont="1" applyNumberFormat="1"/>
    <xf borderId="27" fillId="2" fontId="10" numFmtId="0" xfId="0" applyBorder="1" applyFont="1"/>
    <xf borderId="28" fillId="2" fontId="10" numFmtId="0" xfId="0" applyBorder="1" applyFont="1"/>
    <xf borderId="28" fillId="0" fontId="10" numFmtId="0" xfId="0" applyBorder="1" applyFont="1"/>
    <xf borderId="7" fillId="0" fontId="10" numFmtId="0" xfId="0" applyBorder="1" applyFont="1"/>
    <xf borderId="9" fillId="0" fontId="10" numFmtId="0" xfId="0" applyAlignment="1" applyBorder="1" applyFont="1">
      <alignment horizontal="center"/>
    </xf>
    <xf borderId="30" fillId="6" fontId="14" numFmtId="0" xfId="0" applyBorder="1" applyFill="1" applyFont="1"/>
    <xf borderId="36" fillId="0" fontId="14" numFmtId="0" xfId="0" applyBorder="1" applyFont="1"/>
    <xf borderId="30" fillId="7" fontId="15" numFmtId="0" xfId="0" applyBorder="1" applyFill="1" applyFont="1"/>
    <xf borderId="36" fillId="0" fontId="11" numFmtId="0" xfId="0" applyBorder="1" applyFont="1"/>
    <xf borderId="30" fillId="8" fontId="11" numFmtId="164" xfId="0" applyBorder="1" applyFill="1" applyFont="1" applyNumberFormat="1"/>
    <xf borderId="36" fillId="0" fontId="11" numFmtId="164" xfId="0" applyBorder="1" applyFont="1" applyNumberFormat="1"/>
    <xf borderId="30" fillId="9" fontId="15" numFmtId="0" xfId="0" applyBorder="1" applyFill="1" applyFont="1"/>
    <xf borderId="30" fillId="0" fontId="15" numFmtId="0" xfId="0" applyBorder="1" applyFont="1"/>
    <xf borderId="30" fillId="3" fontId="1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86"/>
    <col customWidth="1" min="3" max="3" width="22.0"/>
    <col customWidth="1" min="4" max="4" width="21.29"/>
    <col customWidth="1" min="5" max="5" width="21.0"/>
    <col customWidth="1" min="6" max="6" width="23.57"/>
    <col customWidth="1" min="7" max="7" width="22.0"/>
    <col customWidth="1" min="8" max="8" width="28.86"/>
    <col customWidth="1" min="9" max="9" width="25.14"/>
    <col customWidth="1" min="10" max="10" width="22.0"/>
    <col customWidth="1" min="11" max="11" width="14.14"/>
    <col customWidth="1" min="12" max="12" width="26.86"/>
    <col customWidth="1" min="13" max="26" width="8.71"/>
  </cols>
  <sheetData>
    <row r="1" ht="12.75" customHeight="1"/>
    <row r="2" ht="12.75" customHeight="1">
      <c r="A2" s="1" t="s">
        <v>0</v>
      </c>
      <c r="B2" s="2"/>
      <c r="C2" s="2"/>
      <c r="D2" s="2"/>
      <c r="E2" s="2"/>
      <c r="F2" s="3"/>
      <c r="G2" s="1" t="s">
        <v>1</v>
      </c>
      <c r="H2" s="2"/>
      <c r="I2" s="2"/>
      <c r="J2" s="2"/>
    </row>
    <row r="3" ht="12.75" customHeight="1">
      <c r="A3" s="4"/>
      <c r="B3" s="5" t="s">
        <v>2</v>
      </c>
      <c r="C3" s="6"/>
      <c r="D3" s="5" t="s">
        <v>3</v>
      </c>
      <c r="E3" s="6"/>
      <c r="F3" s="7"/>
      <c r="G3" s="8" t="s">
        <v>4</v>
      </c>
      <c r="H3" s="9" t="s">
        <v>5</v>
      </c>
      <c r="I3" s="10" t="s">
        <v>2</v>
      </c>
      <c r="J3" s="11" t="s">
        <v>3</v>
      </c>
    </row>
    <row r="4" ht="21.0" customHeight="1">
      <c r="A4" s="12"/>
      <c r="B4" s="13" t="s">
        <v>6</v>
      </c>
      <c r="C4" s="13" t="s">
        <v>7</v>
      </c>
      <c r="D4" s="13" t="s">
        <v>6</v>
      </c>
      <c r="E4" s="13" t="s">
        <v>7</v>
      </c>
      <c r="F4" s="3"/>
      <c r="G4" s="14" t="s">
        <v>8</v>
      </c>
      <c r="H4" s="15" t="s">
        <v>9</v>
      </c>
      <c r="I4" s="16">
        <v>120000.0</v>
      </c>
      <c r="J4" s="17">
        <v>102000.0</v>
      </c>
      <c r="K4" s="18"/>
      <c r="L4" s="18"/>
    </row>
    <row r="5" ht="21.0" customHeight="1">
      <c r="A5" s="19" t="s">
        <v>10</v>
      </c>
      <c r="B5" s="20">
        <f>F26</f>
        <v>55000</v>
      </c>
      <c r="C5" s="20">
        <f>D26</f>
        <v>275</v>
      </c>
      <c r="D5" s="21">
        <v>44000.0</v>
      </c>
      <c r="E5" s="22">
        <f>D26</f>
        <v>275</v>
      </c>
      <c r="F5" s="3"/>
      <c r="G5" s="14" t="s">
        <v>8</v>
      </c>
      <c r="H5" s="23" t="s">
        <v>11</v>
      </c>
      <c r="I5" s="24">
        <v>0.0</v>
      </c>
      <c r="J5" s="24">
        <v>0.0</v>
      </c>
      <c r="K5" s="3"/>
    </row>
    <row r="6" ht="21.0" customHeight="1">
      <c r="A6" s="19" t="s">
        <v>12</v>
      </c>
      <c r="B6" s="20">
        <f>F29</f>
        <v>46450</v>
      </c>
      <c r="C6" s="20">
        <f>SUM(D30:D32)</f>
        <v>344</v>
      </c>
      <c r="D6" s="21">
        <v>39440.0</v>
      </c>
      <c r="E6" s="22">
        <f>SUM(D30:D32)</f>
        <v>344</v>
      </c>
      <c r="F6" s="3"/>
      <c r="G6" s="14" t="s">
        <v>8</v>
      </c>
      <c r="H6" s="23" t="s">
        <v>13</v>
      </c>
      <c r="I6" s="24">
        <v>6000.0</v>
      </c>
      <c r="J6" s="25">
        <v>6000.0</v>
      </c>
    </row>
    <row r="7" ht="21.0" customHeight="1">
      <c r="A7" s="19" t="s">
        <v>14</v>
      </c>
      <c r="B7" s="20">
        <f>F32</f>
        <v>67900</v>
      </c>
      <c r="C7" s="20">
        <f>SUM(D27:D29)</f>
        <v>281</v>
      </c>
      <c r="D7" s="21">
        <v>64460.0</v>
      </c>
      <c r="E7" s="22">
        <f>SUM(D27:D29)</f>
        <v>281</v>
      </c>
      <c r="F7" s="3"/>
      <c r="G7" s="14" t="s">
        <v>8</v>
      </c>
      <c r="H7" s="23" t="s">
        <v>15</v>
      </c>
      <c r="I7" s="25">
        <v>3000.0</v>
      </c>
      <c r="J7" s="25">
        <v>869.0</v>
      </c>
      <c r="K7" s="18" t="s">
        <v>16</v>
      </c>
    </row>
    <row r="8" ht="21.0" customHeight="1">
      <c r="A8" s="19" t="s">
        <v>17</v>
      </c>
      <c r="B8" s="20">
        <f>E36</f>
        <v>65000</v>
      </c>
      <c r="C8" s="20"/>
      <c r="D8" s="21">
        <v>65000.0</v>
      </c>
      <c r="E8" s="22"/>
      <c r="F8" s="3"/>
      <c r="G8" s="14" t="s">
        <v>8</v>
      </c>
      <c r="H8" s="23" t="s">
        <v>18</v>
      </c>
      <c r="I8" s="25">
        <v>6000.0</v>
      </c>
      <c r="J8" s="25">
        <v>4535.0</v>
      </c>
    </row>
    <row r="9" ht="21.0" customHeight="1">
      <c r="A9" s="26" t="s">
        <v>19</v>
      </c>
      <c r="B9" s="27">
        <f>F33</f>
        <v>5350</v>
      </c>
      <c r="C9" s="28">
        <f>D33</f>
        <v>107</v>
      </c>
      <c r="D9" s="28">
        <v>5350.0</v>
      </c>
      <c r="E9" s="22">
        <f>D33</f>
        <v>107</v>
      </c>
      <c r="F9" s="3"/>
      <c r="G9" s="14" t="s">
        <v>20</v>
      </c>
      <c r="H9" s="23" t="s">
        <v>21</v>
      </c>
      <c r="I9" s="25">
        <v>7000.0</v>
      </c>
      <c r="J9" s="25">
        <v>6500.0</v>
      </c>
    </row>
    <row r="10" ht="21.0" customHeight="1">
      <c r="A10" s="29" t="s">
        <v>22</v>
      </c>
      <c r="B10" s="30">
        <f>SUM(B5:B9)</f>
        <v>239700</v>
      </c>
      <c r="C10" s="30"/>
      <c r="D10" s="30">
        <f>SUM(D5:D9)</f>
        <v>218250</v>
      </c>
      <c r="E10" s="30"/>
      <c r="F10" s="3"/>
      <c r="G10" s="14" t="s">
        <v>23</v>
      </c>
      <c r="H10" s="31" t="s">
        <v>24</v>
      </c>
      <c r="I10" s="25">
        <v>2500.0</v>
      </c>
      <c r="J10" s="25">
        <v>2389.0</v>
      </c>
    </row>
    <row r="11" ht="21.0" customHeight="1">
      <c r="A11" s="3"/>
      <c r="B11" s="32"/>
      <c r="C11" s="32"/>
      <c r="D11" s="32"/>
      <c r="E11" s="32"/>
      <c r="F11" s="3"/>
      <c r="G11" s="14" t="s">
        <v>25</v>
      </c>
      <c r="H11" s="23" t="s">
        <v>26</v>
      </c>
      <c r="I11" s="25">
        <v>2000.0</v>
      </c>
      <c r="J11" s="25">
        <v>1500.0</v>
      </c>
    </row>
    <row r="12" ht="21.0" customHeight="1">
      <c r="A12" s="3"/>
      <c r="B12" s="33"/>
      <c r="C12" s="33"/>
      <c r="D12" s="33"/>
      <c r="E12" s="33"/>
      <c r="F12" s="3"/>
      <c r="G12" s="14" t="s">
        <v>25</v>
      </c>
      <c r="H12" s="23" t="s">
        <v>27</v>
      </c>
      <c r="I12" s="25">
        <v>700.0</v>
      </c>
      <c r="J12" s="25">
        <v>700.0</v>
      </c>
    </row>
    <row r="13" ht="21.0" customHeight="1">
      <c r="A13" s="3"/>
      <c r="B13" s="33"/>
      <c r="C13" s="33"/>
      <c r="D13" s="33"/>
      <c r="E13" s="33"/>
      <c r="F13" s="3"/>
      <c r="G13" s="14" t="s">
        <v>25</v>
      </c>
      <c r="H13" s="23" t="s">
        <v>28</v>
      </c>
      <c r="I13" s="25">
        <v>2000.0</v>
      </c>
      <c r="J13" s="25">
        <v>1800.0</v>
      </c>
    </row>
    <row r="14" ht="21.0" customHeight="1">
      <c r="A14" s="3"/>
      <c r="B14" s="33"/>
      <c r="C14" s="33"/>
      <c r="D14" s="33"/>
      <c r="E14" s="33"/>
      <c r="F14" s="3"/>
      <c r="G14" s="14" t="s">
        <v>29</v>
      </c>
      <c r="H14" s="23" t="s">
        <v>30</v>
      </c>
      <c r="I14" s="24">
        <f>15000*1.21</f>
        <v>18150</v>
      </c>
      <c r="J14" s="24">
        <v>14520.0</v>
      </c>
    </row>
    <row r="15" ht="21.0" customHeight="1">
      <c r="A15" s="3"/>
      <c r="B15" s="33"/>
      <c r="C15" s="33"/>
      <c r="D15" s="33"/>
      <c r="E15" s="33"/>
      <c r="F15" s="3"/>
      <c r="G15" s="14" t="s">
        <v>31</v>
      </c>
      <c r="H15" s="23" t="s">
        <v>32</v>
      </c>
      <c r="I15" s="24">
        <v>5000.0</v>
      </c>
      <c r="J15" s="25">
        <v>4000.0</v>
      </c>
    </row>
    <row r="16" ht="21.0" customHeight="1">
      <c r="A16" s="3"/>
      <c r="B16" s="34"/>
      <c r="C16" s="34"/>
      <c r="D16" s="34"/>
      <c r="E16" s="33"/>
      <c r="F16" s="3"/>
      <c r="G16" s="14" t="s">
        <v>31</v>
      </c>
      <c r="H16" s="31" t="s">
        <v>33</v>
      </c>
      <c r="I16" s="24">
        <v>4000.0</v>
      </c>
      <c r="J16" s="25">
        <v>3005.0</v>
      </c>
    </row>
    <row r="17" ht="21.0" customHeight="1">
      <c r="A17" s="35"/>
      <c r="B17" s="36"/>
      <c r="C17" s="37" t="s">
        <v>2</v>
      </c>
      <c r="D17" s="38" t="s">
        <v>3</v>
      </c>
      <c r="E17" s="39"/>
      <c r="F17" s="3"/>
      <c r="G17" s="14" t="s">
        <v>34</v>
      </c>
      <c r="H17" s="23" t="s">
        <v>35</v>
      </c>
      <c r="I17" s="25">
        <v>4000.0</v>
      </c>
      <c r="J17" s="25">
        <v>3577.0</v>
      </c>
    </row>
    <row r="18" ht="21.0" customHeight="1">
      <c r="A18" s="35"/>
      <c r="B18" s="36" t="s">
        <v>36</v>
      </c>
      <c r="C18" s="20">
        <f>B10</f>
        <v>239700</v>
      </c>
      <c r="D18" s="40">
        <f>D10</f>
        <v>218250</v>
      </c>
      <c r="E18" s="39"/>
      <c r="F18" s="3"/>
      <c r="G18" s="14" t="s">
        <v>37</v>
      </c>
      <c r="H18" s="23" t="s">
        <v>38</v>
      </c>
      <c r="I18" s="25">
        <v>57000.0</v>
      </c>
      <c r="J18" s="25">
        <v>50100.0</v>
      </c>
    </row>
    <row r="19" ht="21.0" customHeight="1">
      <c r="A19" s="35"/>
      <c r="B19" s="41" t="s">
        <v>39</v>
      </c>
      <c r="C19" s="22">
        <f t="shared" ref="C19:D19" si="1">-I20</f>
        <v>-237350</v>
      </c>
      <c r="D19" s="42">
        <f t="shared" si="1"/>
        <v>-219221</v>
      </c>
      <c r="E19" s="39"/>
      <c r="F19" s="3"/>
      <c r="G19" s="43" t="s">
        <v>40</v>
      </c>
      <c r="H19" s="44" t="s">
        <v>41</v>
      </c>
      <c r="I19" s="45">
        <v>0.0</v>
      </c>
      <c r="J19" s="46">
        <v>17726.0</v>
      </c>
    </row>
    <row r="20" ht="21.0" customHeight="1">
      <c r="A20" s="35"/>
      <c r="B20" s="47" t="s">
        <v>22</v>
      </c>
      <c r="C20" s="48">
        <f t="shared" ref="C20:D20" si="2">SUM(C18:C19)</f>
        <v>2350</v>
      </c>
      <c r="D20" s="48">
        <f t="shared" si="2"/>
        <v>-971</v>
      </c>
      <c r="E20" s="39"/>
      <c r="F20" s="3"/>
      <c r="G20" s="29" t="s">
        <v>22</v>
      </c>
      <c r="H20" s="49"/>
      <c r="I20" s="50">
        <f t="shared" ref="I20:J20" si="3">SUM(I4:I19)</f>
        <v>237350</v>
      </c>
      <c r="J20" s="51">
        <f t="shared" si="3"/>
        <v>219221</v>
      </c>
    </row>
    <row r="21" ht="12.75" customHeight="1">
      <c r="A21" s="52"/>
      <c r="B21" s="52"/>
      <c r="C21" s="52"/>
      <c r="D21" s="53"/>
      <c r="E21" s="52"/>
    </row>
    <row r="22" ht="12.75" customHeight="1">
      <c r="A22" s="54"/>
      <c r="B22" s="54"/>
      <c r="C22" s="54"/>
      <c r="D22" s="54"/>
      <c r="E22" s="54"/>
      <c r="F22" s="3"/>
      <c r="G22" s="3"/>
      <c r="H22" s="3" t="s">
        <v>42</v>
      </c>
      <c r="I22" s="55">
        <f>I20/J20-1</f>
        <v>0.08269736932</v>
      </c>
      <c r="J22" s="3"/>
    </row>
    <row r="23" ht="12.75" customHeight="1">
      <c r="A23" s="54"/>
      <c r="B23" s="54"/>
      <c r="C23" s="54"/>
      <c r="D23" s="54"/>
      <c r="E23" s="54"/>
    </row>
    <row r="24" ht="12.75" customHeight="1">
      <c r="A24" s="54"/>
      <c r="B24" s="54"/>
      <c r="C24" s="54"/>
      <c r="D24" s="54"/>
      <c r="E24" s="54"/>
    </row>
    <row r="25" ht="19.5" customHeight="1">
      <c r="A25" s="56" t="s">
        <v>43</v>
      </c>
      <c r="B25" s="57" t="s">
        <v>44</v>
      </c>
      <c r="C25" s="58" t="s">
        <v>45</v>
      </c>
      <c r="D25" s="58" t="s">
        <v>46</v>
      </c>
      <c r="E25" s="59" t="s">
        <v>47</v>
      </c>
      <c r="F25" s="59" t="s">
        <v>48</v>
      </c>
      <c r="G25" s="60"/>
      <c r="H25" s="60"/>
      <c r="I25" s="57" t="s">
        <v>44</v>
      </c>
      <c r="J25" s="58" t="s">
        <v>45</v>
      </c>
      <c r="K25" s="61" t="s">
        <v>49</v>
      </c>
      <c r="L25" s="58" t="s">
        <v>50</v>
      </c>
    </row>
    <row r="26" ht="19.5" customHeight="1">
      <c r="A26" s="62" t="s">
        <v>51</v>
      </c>
      <c r="B26" s="63" t="s">
        <v>52</v>
      </c>
      <c r="C26" s="64">
        <v>200.0</v>
      </c>
      <c r="D26" s="65">
        <v>275.0</v>
      </c>
      <c r="E26" s="66">
        <f t="shared" ref="E26:E33" si="4">D26*C26</f>
        <v>55000</v>
      </c>
      <c r="F26" s="66">
        <f>E26</f>
        <v>55000</v>
      </c>
      <c r="G26" s="3" t="s">
        <v>53</v>
      </c>
      <c r="H26" s="3"/>
      <c r="I26" s="63" t="s">
        <v>52</v>
      </c>
      <c r="J26" s="67">
        <f t="shared" ref="J26:J32" si="5">C26</f>
        <v>200</v>
      </c>
      <c r="K26" s="64">
        <v>160.0</v>
      </c>
      <c r="L26" s="68">
        <f t="shared" ref="L26:L36" si="6">J26/K26-1</f>
        <v>0.25</v>
      </c>
    </row>
    <row r="27" ht="19.5" customHeight="1">
      <c r="A27" s="55"/>
      <c r="B27" s="69" t="s">
        <v>54</v>
      </c>
      <c r="C27" s="70">
        <f>C26</f>
        <v>200</v>
      </c>
      <c r="D27" s="71">
        <v>86.0</v>
      </c>
      <c r="E27" s="72">
        <f t="shared" si="4"/>
        <v>17200</v>
      </c>
      <c r="F27" s="72"/>
      <c r="G27" s="3"/>
      <c r="H27" s="3"/>
      <c r="I27" s="69" t="s">
        <v>54</v>
      </c>
      <c r="J27" s="73">
        <f t="shared" si="5"/>
        <v>200</v>
      </c>
      <c r="K27" s="70">
        <v>160.0</v>
      </c>
      <c r="L27" s="74">
        <f t="shared" si="6"/>
        <v>0.25</v>
      </c>
    </row>
    <row r="28" ht="19.5" customHeight="1">
      <c r="A28" s="55"/>
      <c r="B28" s="19" t="s">
        <v>55</v>
      </c>
      <c r="C28" s="75">
        <v>150.0</v>
      </c>
      <c r="D28" s="76">
        <v>81.0</v>
      </c>
      <c r="E28" s="77">
        <f t="shared" si="4"/>
        <v>12150</v>
      </c>
      <c r="F28" s="77"/>
      <c r="G28" s="3"/>
      <c r="H28" s="3"/>
      <c r="I28" s="19" t="s">
        <v>55</v>
      </c>
      <c r="J28" s="78">
        <f t="shared" si="5"/>
        <v>150</v>
      </c>
      <c r="K28" s="75">
        <v>120.0</v>
      </c>
      <c r="L28" s="79">
        <f t="shared" si="6"/>
        <v>0.25</v>
      </c>
    </row>
    <row r="29" ht="19.5" customHeight="1">
      <c r="A29" s="62" t="s">
        <v>51</v>
      </c>
      <c r="B29" s="80" t="s">
        <v>56</v>
      </c>
      <c r="C29" s="81">
        <v>150.0</v>
      </c>
      <c r="D29" s="82">
        <v>114.0</v>
      </c>
      <c r="E29" s="83">
        <f t="shared" si="4"/>
        <v>17100</v>
      </c>
      <c r="F29" s="83">
        <f>SUM(E27:E29)</f>
        <v>46450</v>
      </c>
      <c r="G29" s="3" t="s">
        <v>57</v>
      </c>
      <c r="H29" s="3"/>
      <c r="I29" s="80" t="s">
        <v>56</v>
      </c>
      <c r="J29" s="84">
        <f t="shared" si="5"/>
        <v>150</v>
      </c>
      <c r="K29" s="81">
        <v>140.0</v>
      </c>
      <c r="L29" s="85">
        <f t="shared" si="6"/>
        <v>0.07142857143</v>
      </c>
    </row>
    <row r="30" ht="19.5" customHeight="1">
      <c r="A30" s="86"/>
      <c r="B30" s="69" t="s">
        <v>58</v>
      </c>
      <c r="C30" s="70">
        <v>230.0</v>
      </c>
      <c r="D30" s="71">
        <v>157.0</v>
      </c>
      <c r="E30" s="72">
        <f t="shared" si="4"/>
        <v>36110</v>
      </c>
      <c r="F30" s="72"/>
      <c r="G30" s="3"/>
      <c r="H30" s="3"/>
      <c r="I30" s="69" t="s">
        <v>58</v>
      </c>
      <c r="J30" s="73">
        <f t="shared" si="5"/>
        <v>230</v>
      </c>
      <c r="K30" s="70">
        <v>220.0</v>
      </c>
      <c r="L30" s="74">
        <f t="shared" si="6"/>
        <v>0.04545454545</v>
      </c>
    </row>
    <row r="31" ht="19.5" customHeight="1">
      <c r="A31" s="86"/>
      <c r="B31" s="19" t="s">
        <v>59</v>
      </c>
      <c r="C31" s="75">
        <v>170.0</v>
      </c>
      <c r="D31" s="76">
        <v>114.0</v>
      </c>
      <c r="E31" s="77">
        <f t="shared" si="4"/>
        <v>19380</v>
      </c>
      <c r="F31" s="77"/>
      <c r="G31" s="3"/>
      <c r="H31" s="3"/>
      <c r="I31" s="19" t="s">
        <v>59</v>
      </c>
      <c r="J31" s="78">
        <f t="shared" si="5"/>
        <v>170</v>
      </c>
      <c r="K31" s="75">
        <v>160.0</v>
      </c>
      <c r="L31" s="79">
        <f t="shared" si="6"/>
        <v>0.0625</v>
      </c>
    </row>
    <row r="32" ht="19.5" customHeight="1">
      <c r="A32" s="62" t="s">
        <v>51</v>
      </c>
      <c r="B32" s="80" t="s">
        <v>60</v>
      </c>
      <c r="C32" s="81">
        <v>170.0</v>
      </c>
      <c r="D32" s="82">
        <v>73.0</v>
      </c>
      <c r="E32" s="83">
        <f t="shared" si="4"/>
        <v>12410</v>
      </c>
      <c r="F32" s="83">
        <f>SUM(E30:E32)</f>
        <v>67900</v>
      </c>
      <c r="G32" s="3" t="s">
        <v>61</v>
      </c>
      <c r="H32" s="3"/>
      <c r="I32" s="80" t="s">
        <v>60</v>
      </c>
      <c r="J32" s="84">
        <f t="shared" si="5"/>
        <v>170</v>
      </c>
      <c r="K32" s="81">
        <v>160.0</v>
      </c>
      <c r="L32" s="85">
        <f t="shared" si="6"/>
        <v>0.0625</v>
      </c>
    </row>
    <row r="33" ht="18.75" customHeight="1">
      <c r="A33" s="62" t="s">
        <v>51</v>
      </c>
      <c r="B33" s="87" t="s">
        <v>19</v>
      </c>
      <c r="C33" s="88">
        <v>50.0</v>
      </c>
      <c r="D33" s="89">
        <v>107.0</v>
      </c>
      <c r="E33" s="89">
        <f t="shared" si="4"/>
        <v>5350</v>
      </c>
      <c r="F33" s="90">
        <f>E33</f>
        <v>5350</v>
      </c>
      <c r="G33" s="3" t="s">
        <v>40</v>
      </c>
      <c r="I33" s="43" t="s">
        <v>62</v>
      </c>
      <c r="J33" s="91">
        <v>50.0</v>
      </c>
      <c r="K33" s="91">
        <v>50.0</v>
      </c>
      <c r="L33" s="85">
        <f t="shared" si="6"/>
        <v>0</v>
      </c>
    </row>
    <row r="34" ht="18.75" customHeight="1">
      <c r="I34" s="69" t="s">
        <v>63</v>
      </c>
      <c r="J34" s="73">
        <f t="shared" ref="J34:K34" si="7">J27+J30</f>
        <v>430</v>
      </c>
      <c r="K34" s="73">
        <f t="shared" si="7"/>
        <v>380</v>
      </c>
      <c r="L34" s="74">
        <f t="shared" si="6"/>
        <v>0.1315789474</v>
      </c>
    </row>
    <row r="35" ht="19.5" customHeight="1">
      <c r="A35" s="55"/>
      <c r="B35" s="3"/>
      <c r="C35" s="3"/>
      <c r="D35" s="69" t="s">
        <v>64</v>
      </c>
      <c r="E35" s="92">
        <f>SUM(E26:E33)</f>
        <v>174700</v>
      </c>
      <c r="F35" s="3"/>
      <c r="G35" s="3"/>
      <c r="H35" s="3"/>
      <c r="I35" s="19" t="s">
        <v>65</v>
      </c>
      <c r="J35" s="78">
        <f t="shared" ref="J35:K35" si="8">J28+J31</f>
        <v>320</v>
      </c>
      <c r="K35" s="78">
        <f t="shared" si="8"/>
        <v>280</v>
      </c>
      <c r="L35" s="79">
        <f t="shared" si="6"/>
        <v>0.1428571429</v>
      </c>
    </row>
    <row r="36" ht="19.5" customHeight="1">
      <c r="A36" s="3"/>
      <c r="B36" s="3"/>
      <c r="C36" s="3"/>
      <c r="D36" s="80" t="s">
        <v>17</v>
      </c>
      <c r="E36" s="83">
        <v>65000.0</v>
      </c>
      <c r="F36" s="3" t="s">
        <v>66</v>
      </c>
      <c r="G36" s="3"/>
      <c r="H36" s="3"/>
      <c r="I36" s="80" t="s">
        <v>67</v>
      </c>
      <c r="J36" s="84">
        <f t="shared" ref="J36:K36" si="9">J29+J32</f>
        <v>320</v>
      </c>
      <c r="K36" s="84">
        <f t="shared" si="9"/>
        <v>300</v>
      </c>
      <c r="L36" s="85">
        <f t="shared" si="6"/>
        <v>0.06666666667</v>
      </c>
    </row>
    <row r="37" ht="19.5" customHeight="1">
      <c r="A37" s="3"/>
      <c r="B37" s="3"/>
      <c r="C37" s="3"/>
      <c r="D37" s="93" t="s">
        <v>36</v>
      </c>
      <c r="E37" s="94">
        <f>E35+E36</f>
        <v>239700</v>
      </c>
      <c r="F37" s="3"/>
      <c r="G37" s="3"/>
      <c r="H37" s="3"/>
    </row>
    <row r="38" ht="19.5" customHeight="1">
      <c r="A38" s="3"/>
      <c r="B38" s="3"/>
      <c r="C38" s="3"/>
      <c r="D38" s="2" t="s">
        <v>68</v>
      </c>
      <c r="E38" s="95">
        <f>I20</f>
        <v>237350</v>
      </c>
      <c r="F38" s="3"/>
      <c r="G38" s="3"/>
      <c r="H38" s="3"/>
    </row>
    <row r="39" ht="19.5" customHeight="1">
      <c r="A39" s="3"/>
      <c r="B39" s="3"/>
      <c r="C39" s="3"/>
      <c r="D39" s="96" t="s">
        <v>69</v>
      </c>
      <c r="E39" s="97">
        <f>E37-E38</f>
        <v>2350</v>
      </c>
      <c r="F39" s="3"/>
      <c r="G39" s="3"/>
      <c r="H39" s="3"/>
    </row>
    <row r="40" ht="19.5" customHeight="1">
      <c r="A40" s="3"/>
      <c r="B40" s="3"/>
      <c r="C40" s="3"/>
      <c r="D40" s="3"/>
      <c r="E40" s="3"/>
      <c r="F40" s="3"/>
      <c r="G40" s="3"/>
      <c r="H40" s="3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">
    <mergeCell ref="B3:C3"/>
    <mergeCell ref="D3:E3"/>
  </mergeCells>
  <printOptions/>
  <pageMargins bottom="0.39375" footer="0.0" header="0.0" left="0.0" right="0.0" top="0.393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5" width="24.29"/>
    <col customWidth="1" min="6" max="6" width="27.71"/>
    <col customWidth="1" min="7" max="8" width="21.43"/>
    <col customWidth="1" min="9" max="9" width="25.57"/>
    <col customWidth="1" min="10" max="10" width="21.43"/>
    <col customWidth="1" min="11" max="11" width="14.14"/>
    <col customWidth="1" min="12" max="12" width="26.86"/>
    <col customWidth="1" min="13" max="26" width="8.71"/>
  </cols>
  <sheetData>
    <row r="1" ht="12.75" customHeight="1"/>
    <row r="2" ht="12.75" customHeight="1">
      <c r="A2" s="1" t="s">
        <v>70</v>
      </c>
      <c r="B2" s="2"/>
      <c r="C2" s="2"/>
      <c r="D2" s="2"/>
      <c r="E2" s="2"/>
      <c r="F2" s="3"/>
      <c r="G2" s="1" t="s">
        <v>71</v>
      </c>
      <c r="H2" s="2"/>
      <c r="I2" s="2"/>
      <c r="J2" s="2"/>
    </row>
    <row r="3" ht="12.75" customHeight="1">
      <c r="A3" s="4"/>
      <c r="B3" s="98" t="s">
        <v>72</v>
      </c>
      <c r="C3" s="6"/>
      <c r="D3" s="98" t="s">
        <v>73</v>
      </c>
      <c r="E3" s="6"/>
      <c r="F3" s="7"/>
      <c r="G3" s="8" t="s">
        <v>4</v>
      </c>
      <c r="H3" s="9" t="s">
        <v>5</v>
      </c>
      <c r="I3" s="99" t="s">
        <v>72</v>
      </c>
      <c r="J3" s="100" t="s">
        <v>73</v>
      </c>
    </row>
    <row r="4" ht="21.0" customHeight="1">
      <c r="A4" s="12"/>
      <c r="B4" s="13" t="s">
        <v>6</v>
      </c>
      <c r="C4" s="13" t="s">
        <v>7</v>
      </c>
      <c r="D4" s="13" t="s">
        <v>6</v>
      </c>
      <c r="E4" s="13" t="s">
        <v>7</v>
      </c>
      <c r="F4" s="3"/>
      <c r="G4" s="14" t="s">
        <v>8</v>
      </c>
      <c r="H4" s="15" t="s">
        <v>9</v>
      </c>
      <c r="I4" s="101">
        <v>105000.0</v>
      </c>
      <c r="J4" s="102">
        <v>95000.0</v>
      </c>
      <c r="K4" s="18" t="s">
        <v>74</v>
      </c>
      <c r="L4" s="18"/>
    </row>
    <row r="5" ht="21.0" customHeight="1">
      <c r="A5" s="19" t="s">
        <v>10</v>
      </c>
      <c r="B5" s="20">
        <f>F26</f>
        <v>40000</v>
      </c>
      <c r="C5" s="20">
        <f>D26</f>
        <v>250</v>
      </c>
      <c r="D5" s="20">
        <v>38400.0</v>
      </c>
      <c r="E5" s="20">
        <v>256.0</v>
      </c>
      <c r="F5" s="3"/>
      <c r="G5" s="14" t="s">
        <v>8</v>
      </c>
      <c r="H5" s="23" t="s">
        <v>11</v>
      </c>
      <c r="I5" s="24">
        <v>0.0</v>
      </c>
      <c r="J5" s="24">
        <v>0.0</v>
      </c>
      <c r="K5" s="3" t="s">
        <v>75</v>
      </c>
    </row>
    <row r="6" ht="21.0" customHeight="1">
      <c r="A6" s="19" t="s">
        <v>12</v>
      </c>
      <c r="B6" s="20">
        <f>F29</f>
        <v>58800</v>
      </c>
      <c r="C6" s="20">
        <f>SUM(D30:D32)</f>
        <v>380</v>
      </c>
      <c r="D6" s="20">
        <v>51560.0</v>
      </c>
      <c r="E6" s="20">
        <v>419.0</v>
      </c>
      <c r="F6" s="3"/>
      <c r="G6" s="14" t="s">
        <v>8</v>
      </c>
      <c r="H6" s="23" t="s">
        <v>13</v>
      </c>
      <c r="I6" s="24">
        <v>6000.0</v>
      </c>
      <c r="J6" s="24">
        <v>5500.0</v>
      </c>
    </row>
    <row r="7" ht="21.0" customHeight="1">
      <c r="A7" s="19" t="s">
        <v>14</v>
      </c>
      <c r="B7" s="20">
        <f>F32</f>
        <v>72800</v>
      </c>
      <c r="C7" s="20">
        <f>SUM(D27:D29)</f>
        <v>420</v>
      </c>
      <c r="D7" s="20">
        <v>68900.0</v>
      </c>
      <c r="E7" s="20">
        <v>465.0</v>
      </c>
      <c r="F7" s="3"/>
      <c r="G7" s="14" t="s">
        <v>8</v>
      </c>
      <c r="H7" s="23" t="s">
        <v>15</v>
      </c>
      <c r="I7" s="24">
        <v>3000.0</v>
      </c>
      <c r="J7" s="24">
        <v>2000.0</v>
      </c>
      <c r="K7" s="18" t="s">
        <v>16</v>
      </c>
    </row>
    <row r="8" ht="21.0" customHeight="1">
      <c r="A8" s="19" t="s">
        <v>17</v>
      </c>
      <c r="B8" s="20">
        <f>E35</f>
        <v>65000</v>
      </c>
      <c r="C8" s="20"/>
      <c r="D8" s="20">
        <v>85000.0</v>
      </c>
      <c r="E8" s="20"/>
      <c r="F8" s="3"/>
      <c r="G8" s="14" t="s">
        <v>8</v>
      </c>
      <c r="H8" s="23" t="s">
        <v>18</v>
      </c>
      <c r="I8" s="24">
        <v>3000.0</v>
      </c>
      <c r="J8" s="24">
        <v>2500.0</v>
      </c>
    </row>
    <row r="9" ht="21.0" customHeight="1">
      <c r="A9" s="63" t="s">
        <v>76</v>
      </c>
      <c r="B9" s="22">
        <v>0.0</v>
      </c>
      <c r="C9" s="22"/>
      <c r="D9" s="22">
        <v>0.0</v>
      </c>
      <c r="E9" s="22"/>
      <c r="F9" s="3"/>
      <c r="G9" s="14" t="s">
        <v>20</v>
      </c>
      <c r="H9" s="23" t="s">
        <v>21</v>
      </c>
      <c r="I9" s="24">
        <v>9000.0</v>
      </c>
      <c r="J9" s="24">
        <v>8500.0</v>
      </c>
    </row>
    <row r="10" ht="21.0" customHeight="1">
      <c r="A10" s="29" t="s">
        <v>22</v>
      </c>
      <c r="B10" s="30">
        <f>SUM(B5:B9)</f>
        <v>236600</v>
      </c>
      <c r="C10" s="30"/>
      <c r="D10" s="30">
        <f>SUM(D5:D9)</f>
        <v>243860</v>
      </c>
      <c r="E10" s="30"/>
      <c r="F10" s="3"/>
      <c r="G10" s="14" t="s">
        <v>23</v>
      </c>
      <c r="H10" s="23" t="s">
        <v>77</v>
      </c>
      <c r="I10" s="24">
        <v>1500.0</v>
      </c>
      <c r="J10" s="24">
        <v>1500.0</v>
      </c>
    </row>
    <row r="11" ht="21.0" customHeight="1">
      <c r="A11" s="3"/>
      <c r="B11" s="32"/>
      <c r="C11" s="32"/>
      <c r="D11" s="32"/>
      <c r="E11" s="32"/>
      <c r="F11" s="3"/>
      <c r="G11" s="14" t="s">
        <v>25</v>
      </c>
      <c r="H11" s="23" t="s">
        <v>26</v>
      </c>
      <c r="I11" s="24">
        <v>1500.0</v>
      </c>
      <c r="J11" s="24">
        <v>1500.0</v>
      </c>
    </row>
    <row r="12" ht="21.0" customHeight="1">
      <c r="A12" s="3"/>
      <c r="B12" s="33"/>
      <c r="C12" s="33"/>
      <c r="D12" s="33"/>
      <c r="E12" s="33"/>
      <c r="F12" s="3"/>
      <c r="G12" s="14" t="s">
        <v>25</v>
      </c>
      <c r="H12" s="23" t="s">
        <v>27</v>
      </c>
      <c r="I12" s="24">
        <v>500.0</v>
      </c>
      <c r="J12" s="24">
        <v>500.0</v>
      </c>
    </row>
    <row r="13" ht="21.0" customHeight="1">
      <c r="A13" s="3"/>
      <c r="B13" s="33"/>
      <c r="C13" s="33"/>
      <c r="D13" s="33"/>
      <c r="E13" s="33"/>
      <c r="F13" s="3"/>
      <c r="G13" s="14" t="s">
        <v>25</v>
      </c>
      <c r="H13" s="23" t="s">
        <v>28</v>
      </c>
      <c r="I13" s="24">
        <v>1500.0</v>
      </c>
      <c r="J13" s="24">
        <v>1500.0</v>
      </c>
    </row>
    <row r="14" ht="21.0" customHeight="1">
      <c r="A14" s="3"/>
      <c r="B14" s="33"/>
      <c r="C14" s="33"/>
      <c r="D14" s="33"/>
      <c r="E14" s="33"/>
      <c r="F14" s="3"/>
      <c r="G14" s="14" t="s">
        <v>29</v>
      </c>
      <c r="H14" s="23" t="s">
        <v>30</v>
      </c>
      <c r="I14" s="24">
        <v>16000.0</v>
      </c>
      <c r="J14" s="24">
        <v>14520.0</v>
      </c>
    </row>
    <row r="15" ht="21.0" customHeight="1">
      <c r="A15" s="3"/>
      <c r="B15" s="33"/>
      <c r="C15" s="33"/>
      <c r="D15" s="33"/>
      <c r="E15" s="33"/>
      <c r="F15" s="3"/>
      <c r="G15" s="14" t="s">
        <v>31</v>
      </c>
      <c r="H15" s="23" t="s">
        <v>32</v>
      </c>
      <c r="I15" s="24">
        <v>5000.0</v>
      </c>
      <c r="J15" s="24">
        <v>5000.0</v>
      </c>
    </row>
    <row r="16" ht="21.0" customHeight="1">
      <c r="A16" s="3"/>
      <c r="B16" s="34"/>
      <c r="C16" s="34"/>
      <c r="D16" s="34"/>
      <c r="E16" s="33"/>
      <c r="F16" s="3"/>
      <c r="G16" s="14" t="s">
        <v>31</v>
      </c>
      <c r="H16" s="23" t="s">
        <v>78</v>
      </c>
      <c r="I16" s="24">
        <v>4000.0</v>
      </c>
      <c r="J16" s="24">
        <v>3000.0</v>
      </c>
    </row>
    <row r="17" ht="21.0" customHeight="1">
      <c r="A17" s="35"/>
      <c r="B17" s="36"/>
      <c r="C17" s="37" t="s">
        <v>72</v>
      </c>
      <c r="D17" s="103" t="s">
        <v>73</v>
      </c>
      <c r="E17" s="39"/>
      <c r="F17" s="3"/>
      <c r="G17" s="14" t="s">
        <v>34</v>
      </c>
      <c r="H17" s="23" t="s">
        <v>35</v>
      </c>
      <c r="I17" s="24">
        <v>9000.0</v>
      </c>
      <c r="J17" s="24">
        <v>10000.0</v>
      </c>
    </row>
    <row r="18" ht="21.0" customHeight="1">
      <c r="A18" s="35"/>
      <c r="B18" s="36" t="s">
        <v>36</v>
      </c>
      <c r="C18" s="20">
        <f>B10</f>
        <v>236600</v>
      </c>
      <c r="D18" s="40">
        <f>D10</f>
        <v>243860</v>
      </c>
      <c r="E18" s="39"/>
      <c r="F18" s="3"/>
      <c r="G18" s="14" t="s">
        <v>37</v>
      </c>
      <c r="H18" s="23" t="s">
        <v>38</v>
      </c>
      <c r="I18" s="24">
        <v>48000.0</v>
      </c>
      <c r="J18" s="24">
        <v>45000.0</v>
      </c>
    </row>
    <row r="19" ht="21.0" customHeight="1">
      <c r="A19" s="35"/>
      <c r="B19" s="41" t="s">
        <v>39</v>
      </c>
      <c r="C19" s="22">
        <f t="shared" ref="C19:D19" si="1">-I20</f>
        <v>-213000</v>
      </c>
      <c r="D19" s="42">
        <f t="shared" si="1"/>
        <v>-196020</v>
      </c>
      <c r="E19" s="39"/>
      <c r="F19" s="3"/>
      <c r="G19" s="104"/>
      <c r="H19" s="105"/>
      <c r="I19" s="106"/>
      <c r="J19" s="107"/>
    </row>
    <row r="20" ht="21.0" customHeight="1">
      <c r="A20" s="35"/>
      <c r="B20" s="47" t="s">
        <v>22</v>
      </c>
      <c r="C20" s="48">
        <f t="shared" ref="C20:D20" si="2">SUM(C18:C19)</f>
        <v>23600</v>
      </c>
      <c r="D20" s="48">
        <f t="shared" si="2"/>
        <v>47840</v>
      </c>
      <c r="E20" s="39"/>
      <c r="F20" s="3"/>
      <c r="G20" s="29" t="s">
        <v>22</v>
      </c>
      <c r="H20" s="49"/>
      <c r="I20" s="50">
        <f t="shared" ref="I20:J20" si="3">SUM(I4:I18)</f>
        <v>213000</v>
      </c>
      <c r="J20" s="51">
        <f t="shared" si="3"/>
        <v>196020</v>
      </c>
    </row>
    <row r="21" ht="12.75" customHeight="1">
      <c r="A21" s="52"/>
      <c r="B21" s="52"/>
      <c r="C21" s="52"/>
      <c r="D21" s="53"/>
      <c r="E21" s="52"/>
    </row>
    <row r="22" ht="12.75" customHeight="1">
      <c r="A22" s="54"/>
      <c r="B22" s="54"/>
      <c r="C22" s="54"/>
      <c r="D22" s="54"/>
      <c r="E22" s="54"/>
      <c r="F22" s="3"/>
      <c r="G22" s="3"/>
      <c r="H22" s="3" t="s">
        <v>42</v>
      </c>
      <c r="I22" s="55">
        <f>I20/J20-1</f>
        <v>0.0866238139</v>
      </c>
      <c r="J22" s="3"/>
    </row>
    <row r="23" ht="12.75" customHeight="1">
      <c r="A23" s="54"/>
      <c r="B23" s="54"/>
      <c r="C23" s="54"/>
      <c r="D23" s="54"/>
      <c r="E23" s="54"/>
    </row>
    <row r="24" ht="12.75" customHeight="1">
      <c r="A24" s="54"/>
      <c r="B24" s="54"/>
      <c r="C24" s="54"/>
      <c r="D24" s="54"/>
      <c r="E24" s="54"/>
    </row>
    <row r="25" ht="19.5" customHeight="1">
      <c r="A25" s="56" t="s">
        <v>43</v>
      </c>
      <c r="B25" s="108" t="s">
        <v>79</v>
      </c>
      <c r="C25" s="61" t="s">
        <v>49</v>
      </c>
      <c r="D25" s="61" t="s">
        <v>80</v>
      </c>
      <c r="E25" s="59" t="s">
        <v>47</v>
      </c>
      <c r="F25" s="59" t="s">
        <v>48</v>
      </c>
      <c r="G25" s="60"/>
      <c r="H25" s="60"/>
      <c r="I25" s="108" t="s">
        <v>79</v>
      </c>
      <c r="J25" s="61" t="s">
        <v>49</v>
      </c>
      <c r="K25" s="61" t="s">
        <v>81</v>
      </c>
      <c r="L25" s="61" t="s">
        <v>82</v>
      </c>
    </row>
    <row r="26" ht="19.5" customHeight="1">
      <c r="A26" s="109" t="s">
        <v>83</v>
      </c>
      <c r="B26" s="63" t="s">
        <v>52</v>
      </c>
      <c r="C26" s="67">
        <v>160.0</v>
      </c>
      <c r="D26" s="110">
        <v>250.0</v>
      </c>
      <c r="E26" s="66">
        <f t="shared" ref="E26:E32" si="4">D26*C26</f>
        <v>40000</v>
      </c>
      <c r="F26" s="66">
        <f>E26</f>
        <v>40000</v>
      </c>
      <c r="G26" s="3" t="s">
        <v>53</v>
      </c>
      <c r="H26" s="3"/>
      <c r="I26" s="63" t="s">
        <v>52</v>
      </c>
      <c r="J26" s="67">
        <f t="shared" ref="J26:J32" si="5">C26</f>
        <v>160</v>
      </c>
      <c r="K26" s="67">
        <v>150.0</v>
      </c>
      <c r="L26" s="68">
        <f t="shared" ref="L26:L35" si="6">J26/K26-1</f>
        <v>0.06666666667</v>
      </c>
    </row>
    <row r="27" ht="19.5" customHeight="1">
      <c r="A27" s="55"/>
      <c r="B27" s="69" t="s">
        <v>54</v>
      </c>
      <c r="C27" s="73">
        <v>160.0</v>
      </c>
      <c r="D27" s="111">
        <v>140.0</v>
      </c>
      <c r="E27" s="72">
        <f t="shared" si="4"/>
        <v>22400</v>
      </c>
      <c r="F27" s="72"/>
      <c r="G27" s="3"/>
      <c r="H27" s="3"/>
      <c r="I27" s="69" t="s">
        <v>54</v>
      </c>
      <c r="J27" s="73">
        <f t="shared" si="5"/>
        <v>160</v>
      </c>
      <c r="K27" s="73">
        <v>150.0</v>
      </c>
      <c r="L27" s="74">
        <f t="shared" si="6"/>
        <v>0.06666666667</v>
      </c>
    </row>
    <row r="28" ht="19.5" customHeight="1">
      <c r="A28" s="55"/>
      <c r="B28" s="19" t="s">
        <v>55</v>
      </c>
      <c r="C28" s="78">
        <v>120.0</v>
      </c>
      <c r="D28" s="112">
        <v>140.0</v>
      </c>
      <c r="E28" s="77">
        <f t="shared" si="4"/>
        <v>16800</v>
      </c>
      <c r="F28" s="77"/>
      <c r="G28" s="3"/>
      <c r="H28" s="3"/>
      <c r="I28" s="19" t="s">
        <v>55</v>
      </c>
      <c r="J28" s="78">
        <f t="shared" si="5"/>
        <v>120</v>
      </c>
      <c r="K28" s="78">
        <v>100.0</v>
      </c>
      <c r="L28" s="79">
        <f t="shared" si="6"/>
        <v>0.2</v>
      </c>
    </row>
    <row r="29" ht="19.5" customHeight="1">
      <c r="A29" s="109" t="s">
        <v>83</v>
      </c>
      <c r="B29" s="80" t="s">
        <v>56</v>
      </c>
      <c r="C29" s="84">
        <v>140.0</v>
      </c>
      <c r="D29" s="113">
        <v>140.0</v>
      </c>
      <c r="E29" s="83">
        <f t="shared" si="4"/>
        <v>19600</v>
      </c>
      <c r="F29" s="83">
        <f>SUM(E27:E29)</f>
        <v>58800</v>
      </c>
      <c r="G29" s="3" t="s">
        <v>57</v>
      </c>
      <c r="H29" s="3"/>
      <c r="I29" s="80" t="s">
        <v>56</v>
      </c>
      <c r="J29" s="84">
        <f t="shared" si="5"/>
        <v>140</v>
      </c>
      <c r="K29" s="84">
        <v>120.0</v>
      </c>
      <c r="L29" s="85">
        <f t="shared" si="6"/>
        <v>0.1666666667</v>
      </c>
    </row>
    <row r="30" ht="19.5" customHeight="1">
      <c r="A30" s="86"/>
      <c r="B30" s="69" t="s">
        <v>58</v>
      </c>
      <c r="C30" s="73">
        <v>220.0</v>
      </c>
      <c r="D30" s="111">
        <v>200.0</v>
      </c>
      <c r="E30" s="72">
        <f t="shared" si="4"/>
        <v>44000</v>
      </c>
      <c r="F30" s="72"/>
      <c r="G30" s="3"/>
      <c r="H30" s="3"/>
      <c r="I30" s="69" t="s">
        <v>58</v>
      </c>
      <c r="J30" s="73">
        <f t="shared" si="5"/>
        <v>220</v>
      </c>
      <c r="K30" s="73">
        <v>200.0</v>
      </c>
      <c r="L30" s="74">
        <f t="shared" si="6"/>
        <v>0.1</v>
      </c>
    </row>
    <row r="31" ht="19.5" customHeight="1">
      <c r="A31" s="86"/>
      <c r="B31" s="19" t="s">
        <v>59</v>
      </c>
      <c r="C31" s="78">
        <v>160.0</v>
      </c>
      <c r="D31" s="112">
        <v>110.0</v>
      </c>
      <c r="E31" s="77">
        <f t="shared" si="4"/>
        <v>17600</v>
      </c>
      <c r="F31" s="77"/>
      <c r="G31" s="3"/>
      <c r="H31" s="3"/>
      <c r="I31" s="19" t="s">
        <v>59</v>
      </c>
      <c r="J31" s="78">
        <f t="shared" si="5"/>
        <v>160</v>
      </c>
      <c r="K31" s="78">
        <v>150.0</v>
      </c>
      <c r="L31" s="79">
        <f t="shared" si="6"/>
        <v>0.06666666667</v>
      </c>
    </row>
    <row r="32" ht="19.5" customHeight="1">
      <c r="A32" s="109" t="s">
        <v>83</v>
      </c>
      <c r="B32" s="80" t="s">
        <v>60</v>
      </c>
      <c r="C32" s="84">
        <v>160.0</v>
      </c>
      <c r="D32" s="113">
        <v>70.0</v>
      </c>
      <c r="E32" s="83">
        <f t="shared" si="4"/>
        <v>11200</v>
      </c>
      <c r="F32" s="83">
        <f>SUM(E30:E32)</f>
        <v>72800</v>
      </c>
      <c r="G32" s="3" t="s">
        <v>61</v>
      </c>
      <c r="H32" s="3"/>
      <c r="I32" s="80" t="s">
        <v>60</v>
      </c>
      <c r="J32" s="84">
        <f t="shared" si="5"/>
        <v>160</v>
      </c>
      <c r="K32" s="84">
        <v>150.0</v>
      </c>
      <c r="L32" s="85">
        <f t="shared" si="6"/>
        <v>0.06666666667</v>
      </c>
    </row>
    <row r="33" ht="18.75" customHeight="1">
      <c r="I33" s="69" t="s">
        <v>63</v>
      </c>
      <c r="J33" s="73">
        <f t="shared" ref="J33:K33" si="7">J27+J30</f>
        <v>380</v>
      </c>
      <c r="K33" s="73">
        <f t="shared" si="7"/>
        <v>350</v>
      </c>
      <c r="L33" s="74">
        <f t="shared" si="6"/>
        <v>0.08571428571</v>
      </c>
    </row>
    <row r="34" ht="19.5" customHeight="1">
      <c r="A34" s="55"/>
      <c r="B34" s="3"/>
      <c r="C34" s="3"/>
      <c r="D34" s="69" t="s">
        <v>64</v>
      </c>
      <c r="E34" s="92">
        <f>SUM(E26:E32)</f>
        <v>171600</v>
      </c>
      <c r="F34" s="3"/>
      <c r="G34" s="3"/>
      <c r="H34" s="3"/>
      <c r="I34" s="19" t="s">
        <v>65</v>
      </c>
      <c r="J34" s="78">
        <f t="shared" ref="J34:K34" si="8">J28+J31</f>
        <v>280</v>
      </c>
      <c r="K34" s="78">
        <f t="shared" si="8"/>
        <v>250</v>
      </c>
      <c r="L34" s="79">
        <f t="shared" si="6"/>
        <v>0.12</v>
      </c>
    </row>
    <row r="35" ht="19.5" customHeight="1">
      <c r="A35" s="3"/>
      <c r="B35" s="3"/>
      <c r="C35" s="3"/>
      <c r="D35" s="80" t="s">
        <v>17</v>
      </c>
      <c r="E35" s="83">
        <v>65000.0</v>
      </c>
      <c r="F35" s="3" t="s">
        <v>66</v>
      </c>
      <c r="G35" s="3"/>
      <c r="H35" s="3"/>
      <c r="I35" s="80" t="s">
        <v>67</v>
      </c>
      <c r="J35" s="84">
        <f t="shared" ref="J35:K35" si="9">J29+J32</f>
        <v>300</v>
      </c>
      <c r="K35" s="84">
        <f t="shared" si="9"/>
        <v>270</v>
      </c>
      <c r="L35" s="85">
        <f t="shared" si="6"/>
        <v>0.1111111111</v>
      </c>
    </row>
    <row r="36" ht="19.5" customHeight="1">
      <c r="A36" s="3"/>
      <c r="B36" s="3"/>
      <c r="C36" s="3"/>
      <c r="D36" s="93" t="s">
        <v>36</v>
      </c>
      <c r="E36" s="94">
        <f>E34+E35</f>
        <v>236600</v>
      </c>
      <c r="F36" s="3"/>
      <c r="G36" s="3"/>
      <c r="H36" s="3"/>
    </row>
    <row r="37" ht="19.5" customHeight="1">
      <c r="A37" s="3"/>
      <c r="B37" s="3"/>
      <c r="C37" s="3"/>
      <c r="D37" s="2" t="s">
        <v>68</v>
      </c>
      <c r="E37" s="95">
        <f>I20</f>
        <v>213000</v>
      </c>
      <c r="F37" s="3"/>
      <c r="G37" s="3"/>
      <c r="H37" s="3"/>
    </row>
    <row r="38" ht="19.5" customHeight="1">
      <c r="A38" s="3"/>
      <c r="B38" s="3"/>
      <c r="C38" s="3"/>
      <c r="D38" s="114" t="s">
        <v>84</v>
      </c>
      <c r="E38" s="97">
        <f>E36-E37</f>
        <v>23600</v>
      </c>
      <c r="F38" s="3"/>
      <c r="G38" s="3"/>
      <c r="H38" s="3"/>
    </row>
    <row r="39" ht="19.5" customHeight="1">
      <c r="A39" s="3"/>
      <c r="B39" s="3"/>
      <c r="C39" s="3"/>
      <c r="D39" s="3"/>
      <c r="E39" s="3"/>
      <c r="F39" s="3"/>
      <c r="G39" s="3"/>
      <c r="H39" s="3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">
    <mergeCell ref="B3:C3"/>
    <mergeCell ref="D3:E3"/>
  </mergeCells>
  <printOptions/>
  <pageMargins bottom="0.39375" footer="0.0" header="0.0" left="0.0" right="0.0" top="0.393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5" width="24.29"/>
    <col customWidth="1" min="6" max="6" width="27.71"/>
    <col customWidth="1" min="7" max="10" width="21.43"/>
    <col customWidth="1" min="11" max="11" width="14.14"/>
    <col customWidth="1" min="12" max="12" width="15.86"/>
    <col customWidth="1" min="13" max="26" width="8.71"/>
  </cols>
  <sheetData>
    <row r="1" ht="12.75" customHeight="1"/>
    <row r="2" ht="12.75" customHeight="1">
      <c r="A2" s="2" t="s">
        <v>85</v>
      </c>
      <c r="B2" s="2"/>
      <c r="C2" s="2"/>
      <c r="D2" s="2"/>
      <c r="E2" s="2"/>
      <c r="F2" s="3"/>
      <c r="G2" s="2" t="s">
        <v>86</v>
      </c>
      <c r="H2" s="2"/>
      <c r="I2" s="2"/>
      <c r="J2" s="2"/>
    </row>
    <row r="3" ht="12.75" customHeight="1">
      <c r="A3" s="4"/>
      <c r="B3" s="98" t="s">
        <v>87</v>
      </c>
      <c r="C3" s="6"/>
      <c r="D3" s="98" t="s">
        <v>88</v>
      </c>
      <c r="E3" s="6"/>
      <c r="F3" s="7"/>
      <c r="G3" s="8" t="s">
        <v>4</v>
      </c>
      <c r="H3" s="9" t="s">
        <v>5</v>
      </c>
      <c r="I3" s="99" t="s">
        <v>87</v>
      </c>
      <c r="J3" s="100" t="s">
        <v>88</v>
      </c>
    </row>
    <row r="4" ht="21.0" customHeight="1">
      <c r="A4" s="12"/>
      <c r="B4" s="13" t="s">
        <v>6</v>
      </c>
      <c r="C4" s="13" t="s">
        <v>7</v>
      </c>
      <c r="D4" s="13" t="s">
        <v>6</v>
      </c>
      <c r="E4" s="13" t="s">
        <v>7</v>
      </c>
      <c r="F4" s="3"/>
      <c r="G4" s="14" t="s">
        <v>8</v>
      </c>
      <c r="H4" s="15" t="s">
        <v>9</v>
      </c>
      <c r="I4" s="101">
        <v>105000.0</v>
      </c>
      <c r="J4" s="102">
        <v>78500.0</v>
      </c>
      <c r="K4" s="18" t="s">
        <v>74</v>
      </c>
      <c r="L4" s="18"/>
    </row>
    <row r="5" ht="21.0" customHeight="1">
      <c r="A5" s="19" t="s">
        <v>10</v>
      </c>
      <c r="B5" s="20">
        <f>F26</f>
        <v>60000</v>
      </c>
      <c r="C5" s="20">
        <f>D26</f>
        <v>300</v>
      </c>
      <c r="D5" s="20">
        <v>36000.0</v>
      </c>
      <c r="E5" s="20">
        <v>300.0</v>
      </c>
      <c r="F5" s="3"/>
      <c r="G5" s="14" t="s">
        <v>8</v>
      </c>
      <c r="H5" s="23" t="s">
        <v>11</v>
      </c>
      <c r="I5" s="24">
        <v>30000.0</v>
      </c>
      <c r="J5" s="115">
        <v>8000.0</v>
      </c>
      <c r="K5" s="3" t="s">
        <v>75</v>
      </c>
    </row>
    <row r="6" ht="21.0" customHeight="1">
      <c r="A6" s="19" t="s">
        <v>12</v>
      </c>
      <c r="B6" s="20">
        <f>F32</f>
        <v>71850</v>
      </c>
      <c r="C6" s="20">
        <f>SUM(D27:D29)</f>
        <v>465</v>
      </c>
      <c r="D6" s="20">
        <v>44340.0</v>
      </c>
      <c r="E6" s="20">
        <v>458.0</v>
      </c>
      <c r="F6" s="3"/>
      <c r="G6" s="14" t="s">
        <v>8</v>
      </c>
      <c r="H6" s="23" t="s">
        <v>13</v>
      </c>
      <c r="I6" s="24">
        <v>6500.0</v>
      </c>
      <c r="J6" s="115">
        <v>5900.0</v>
      </c>
    </row>
    <row r="7" ht="21.0" customHeight="1">
      <c r="A7" s="19" t="s">
        <v>14</v>
      </c>
      <c r="B7" s="20">
        <f>F29</f>
        <v>80550</v>
      </c>
      <c r="C7" s="20">
        <f>SUM(D30:D32)</f>
        <v>435</v>
      </c>
      <c r="D7" s="20">
        <v>45840.0</v>
      </c>
      <c r="E7" s="20">
        <v>465.0</v>
      </c>
      <c r="F7" s="3"/>
      <c r="G7" s="14" t="s">
        <v>8</v>
      </c>
      <c r="H7" s="23" t="s">
        <v>15</v>
      </c>
      <c r="I7" s="24">
        <v>3000.0</v>
      </c>
      <c r="J7" s="115">
        <v>1281.0</v>
      </c>
      <c r="K7" s="18" t="s">
        <v>16</v>
      </c>
    </row>
    <row r="8" ht="21.0" customHeight="1">
      <c r="A8" s="19" t="s">
        <v>17</v>
      </c>
      <c r="B8" s="20">
        <f>E34</f>
        <v>90000</v>
      </c>
      <c r="C8" s="20"/>
      <c r="D8" s="20">
        <v>75000.0</v>
      </c>
      <c r="E8" s="20"/>
      <c r="F8" s="3"/>
      <c r="G8" s="14" t="s">
        <v>8</v>
      </c>
      <c r="H8" s="23" t="s">
        <v>18</v>
      </c>
      <c r="I8" s="24">
        <v>3000.0</v>
      </c>
      <c r="J8" s="115">
        <v>2858.0</v>
      </c>
    </row>
    <row r="9" ht="21.0" customHeight="1">
      <c r="A9" s="63" t="s">
        <v>76</v>
      </c>
      <c r="B9" s="22">
        <v>0.0</v>
      </c>
      <c r="C9" s="22"/>
      <c r="D9" s="22">
        <v>10000.0</v>
      </c>
      <c r="E9" s="22"/>
      <c r="F9" s="3"/>
      <c r="G9" s="14" t="s">
        <v>20</v>
      </c>
      <c r="H9" s="23" t="s">
        <v>21</v>
      </c>
      <c r="I9" s="24">
        <v>6000.0</v>
      </c>
      <c r="J9" s="115">
        <v>6100.0</v>
      </c>
    </row>
    <row r="10" ht="21.0" customHeight="1">
      <c r="A10" s="29" t="s">
        <v>22</v>
      </c>
      <c r="B10" s="30">
        <f>SUM(B5:B9)</f>
        <v>302400</v>
      </c>
      <c r="C10" s="30"/>
      <c r="D10" s="30">
        <f>SUM(D5:D9)</f>
        <v>211180</v>
      </c>
      <c r="E10" s="30"/>
      <c r="F10" s="3"/>
      <c r="G10" s="14" t="s">
        <v>23</v>
      </c>
      <c r="H10" s="23" t="s">
        <v>77</v>
      </c>
      <c r="I10" s="24">
        <v>1000.0</v>
      </c>
      <c r="J10" s="115">
        <v>1029.0</v>
      </c>
    </row>
    <row r="11" ht="21.0" customHeight="1">
      <c r="A11" s="3"/>
      <c r="B11" s="32"/>
      <c r="C11" s="32"/>
      <c r="D11" s="32"/>
      <c r="E11" s="32"/>
      <c r="F11" s="3"/>
      <c r="G11" s="14" t="s">
        <v>25</v>
      </c>
      <c r="H11" s="23" t="s">
        <v>26</v>
      </c>
      <c r="I11" s="24">
        <v>1500.0</v>
      </c>
      <c r="J11" s="115">
        <v>1500.0</v>
      </c>
    </row>
    <row r="12" ht="21.0" customHeight="1">
      <c r="A12" s="3"/>
      <c r="B12" s="33"/>
      <c r="C12" s="33"/>
      <c r="D12" s="33"/>
      <c r="E12" s="33"/>
      <c r="F12" s="3"/>
      <c r="G12" s="14" t="s">
        <v>25</v>
      </c>
      <c r="H12" s="23" t="s">
        <v>27</v>
      </c>
      <c r="I12" s="24">
        <v>500.0</v>
      </c>
      <c r="J12" s="115">
        <v>500.0</v>
      </c>
    </row>
    <row r="13" ht="21.0" customHeight="1">
      <c r="A13" s="3"/>
      <c r="B13" s="33"/>
      <c r="C13" s="33"/>
      <c r="D13" s="33"/>
      <c r="E13" s="33"/>
      <c r="F13" s="3"/>
      <c r="G13" s="14" t="s">
        <v>25</v>
      </c>
      <c r="H13" s="23" t="s">
        <v>28</v>
      </c>
      <c r="I13" s="24">
        <v>1500.0</v>
      </c>
      <c r="J13" s="115">
        <v>1500.0</v>
      </c>
    </row>
    <row r="14" ht="21.0" customHeight="1">
      <c r="A14" s="3"/>
      <c r="B14" s="33"/>
      <c r="C14" s="33"/>
      <c r="D14" s="33"/>
      <c r="E14" s="33"/>
      <c r="F14" s="3"/>
      <c r="G14" s="14" t="s">
        <v>29</v>
      </c>
      <c r="H14" s="23" t="s">
        <v>30</v>
      </c>
      <c r="I14" s="24">
        <v>12100.0</v>
      </c>
      <c r="J14" s="115">
        <v>12100.0</v>
      </c>
    </row>
    <row r="15" ht="21.0" customHeight="1">
      <c r="A15" s="3"/>
      <c r="B15" s="33"/>
      <c r="C15" s="33"/>
      <c r="D15" s="33"/>
      <c r="E15" s="33"/>
      <c r="F15" s="3"/>
      <c r="G15" s="14" t="s">
        <v>31</v>
      </c>
      <c r="H15" s="23" t="s">
        <v>32</v>
      </c>
      <c r="I15" s="24">
        <v>5000.0</v>
      </c>
      <c r="J15" s="115">
        <v>5000.0</v>
      </c>
    </row>
    <row r="16" ht="21.0" customHeight="1">
      <c r="A16" s="3"/>
      <c r="B16" s="34"/>
      <c r="C16" s="34"/>
      <c r="D16" s="34"/>
      <c r="E16" s="33"/>
      <c r="F16" s="3"/>
      <c r="G16" s="14" t="s">
        <v>31</v>
      </c>
      <c r="H16" s="23" t="s">
        <v>78</v>
      </c>
      <c r="I16" s="24">
        <v>4000.0</v>
      </c>
      <c r="J16" s="115">
        <v>3618.0</v>
      </c>
    </row>
    <row r="17" ht="21.0" customHeight="1">
      <c r="A17" s="35"/>
      <c r="B17" s="36"/>
      <c r="C17" s="116" t="s">
        <v>87</v>
      </c>
      <c r="D17" s="103" t="s">
        <v>88</v>
      </c>
      <c r="E17" s="39"/>
      <c r="F17" s="3"/>
      <c r="G17" s="14" t="s">
        <v>34</v>
      </c>
      <c r="H17" s="23" t="s">
        <v>35</v>
      </c>
      <c r="I17" s="24">
        <v>9000.0</v>
      </c>
      <c r="J17" s="115">
        <f>10798+418+1946</f>
        <v>13162</v>
      </c>
    </row>
    <row r="18" ht="21.0" customHeight="1">
      <c r="A18" s="35"/>
      <c r="B18" s="36" t="s">
        <v>36</v>
      </c>
      <c r="C18" s="20">
        <f>B10</f>
        <v>302400</v>
      </c>
      <c r="D18" s="40">
        <f>D10</f>
        <v>211180</v>
      </c>
      <c r="E18" s="39"/>
      <c r="F18" s="3"/>
      <c r="G18" s="14" t="s">
        <v>37</v>
      </c>
      <c r="H18" s="23" t="s">
        <v>38</v>
      </c>
      <c r="I18" s="117">
        <v>45000.0</v>
      </c>
      <c r="J18" s="115">
        <v>37600.0</v>
      </c>
    </row>
    <row r="19" ht="21.0" customHeight="1">
      <c r="A19" s="35"/>
      <c r="B19" s="41" t="s">
        <v>39</v>
      </c>
      <c r="C19" s="22">
        <f t="shared" ref="C19:D19" si="1">-I20</f>
        <v>-233100</v>
      </c>
      <c r="D19" s="42">
        <f t="shared" si="1"/>
        <v>-178648</v>
      </c>
      <c r="E19" s="39"/>
      <c r="F19" s="3"/>
      <c r="G19" s="104"/>
      <c r="H19" s="105"/>
      <c r="I19" s="106"/>
      <c r="J19" s="107"/>
    </row>
    <row r="20" ht="21.0" customHeight="1">
      <c r="A20" s="35"/>
      <c r="B20" s="47" t="s">
        <v>22</v>
      </c>
      <c r="C20" s="48">
        <f t="shared" ref="C20:D20" si="2">SUM(C18:C19)</f>
        <v>69300</v>
      </c>
      <c r="D20" s="48">
        <f t="shared" si="2"/>
        <v>32532</v>
      </c>
      <c r="E20" s="39"/>
      <c r="F20" s="3"/>
      <c r="G20" s="29" t="s">
        <v>22</v>
      </c>
      <c r="H20" s="49"/>
      <c r="I20" s="50">
        <f t="shared" ref="I20:J20" si="3">SUM(I4:I18)</f>
        <v>233100</v>
      </c>
      <c r="J20" s="51">
        <f t="shared" si="3"/>
        <v>178648</v>
      </c>
    </row>
    <row r="21" ht="12.75" customHeight="1">
      <c r="A21" s="52"/>
      <c r="B21" s="52"/>
      <c r="C21" s="52"/>
      <c r="D21" s="53"/>
      <c r="E21" s="52"/>
    </row>
    <row r="22" ht="12.75" customHeight="1">
      <c r="A22" s="54"/>
      <c r="B22" s="54"/>
      <c r="C22" s="54"/>
      <c r="D22" s="54"/>
      <c r="E22" s="54"/>
      <c r="F22" s="3"/>
      <c r="G22" s="3"/>
      <c r="H22" s="3"/>
      <c r="I22" s="3"/>
      <c r="J22" s="3"/>
    </row>
    <row r="23" ht="12.75" customHeight="1">
      <c r="A23" s="54"/>
      <c r="B23" s="54"/>
      <c r="C23" s="54"/>
      <c r="D23" s="54"/>
      <c r="E23" s="54"/>
    </row>
    <row r="24" ht="12.75" customHeight="1">
      <c r="A24" s="54"/>
      <c r="B24" s="54"/>
      <c r="C24" s="54"/>
      <c r="D24" s="54"/>
      <c r="E24" s="54"/>
    </row>
    <row r="25" ht="19.5" customHeight="1">
      <c r="A25" s="56" t="s">
        <v>43</v>
      </c>
      <c r="B25" s="108" t="s">
        <v>89</v>
      </c>
      <c r="C25" s="61" t="s">
        <v>90</v>
      </c>
      <c r="D25" s="61" t="s">
        <v>80</v>
      </c>
      <c r="E25" s="59" t="s">
        <v>47</v>
      </c>
      <c r="F25" s="59" t="s">
        <v>48</v>
      </c>
      <c r="G25" s="60"/>
      <c r="H25" s="60"/>
    </row>
    <row r="26" ht="19.5" customHeight="1">
      <c r="A26" s="109" t="s">
        <v>91</v>
      </c>
      <c r="B26" s="63" t="s">
        <v>52</v>
      </c>
      <c r="C26" s="67">
        <v>200.0</v>
      </c>
      <c r="D26" s="110">
        <v>300.0</v>
      </c>
      <c r="E26" s="66">
        <f t="shared" ref="E26:E32" si="4">D26*C26</f>
        <v>60000</v>
      </c>
      <c r="F26" s="66">
        <f>E26</f>
        <v>60000</v>
      </c>
      <c r="G26" s="3" t="s">
        <v>53</v>
      </c>
      <c r="H26" s="3"/>
    </row>
    <row r="27" ht="19.5" customHeight="1">
      <c r="A27" s="86"/>
      <c r="B27" s="69" t="s">
        <v>58</v>
      </c>
      <c r="C27" s="73">
        <v>200.0</v>
      </c>
      <c r="D27" s="111">
        <v>216.0</v>
      </c>
      <c r="E27" s="72">
        <f t="shared" si="4"/>
        <v>43200</v>
      </c>
      <c r="F27" s="72"/>
      <c r="G27" s="3"/>
      <c r="H27" s="3"/>
    </row>
    <row r="28" ht="19.5" customHeight="1">
      <c r="A28" s="86"/>
      <c r="B28" s="19" t="s">
        <v>59</v>
      </c>
      <c r="C28" s="78">
        <v>150.0</v>
      </c>
      <c r="D28" s="112">
        <v>117.0</v>
      </c>
      <c r="E28" s="77">
        <f t="shared" si="4"/>
        <v>17550</v>
      </c>
      <c r="F28" s="77"/>
      <c r="G28" s="3"/>
      <c r="H28" s="3"/>
    </row>
    <row r="29" ht="19.5" customHeight="1">
      <c r="A29" s="109" t="s">
        <v>91</v>
      </c>
      <c r="B29" s="80" t="s">
        <v>60</v>
      </c>
      <c r="C29" s="84">
        <v>150.0</v>
      </c>
      <c r="D29" s="113">
        <v>132.0</v>
      </c>
      <c r="E29" s="83">
        <f t="shared" si="4"/>
        <v>19800</v>
      </c>
      <c r="F29" s="83">
        <f>SUM(E27:E29)</f>
        <v>80550</v>
      </c>
      <c r="G29" s="3" t="s">
        <v>61</v>
      </c>
      <c r="H29" s="3" t="s">
        <v>92</v>
      </c>
    </row>
    <row r="30" ht="19.5" customHeight="1">
      <c r="A30" s="55"/>
      <c r="B30" s="69" t="s">
        <v>54</v>
      </c>
      <c r="C30" s="73">
        <v>200.0</v>
      </c>
      <c r="D30" s="111">
        <v>132.0</v>
      </c>
      <c r="E30" s="72">
        <f t="shared" si="4"/>
        <v>26400</v>
      </c>
      <c r="F30" s="72"/>
      <c r="G30" s="3"/>
      <c r="H30" s="3"/>
    </row>
    <row r="31" ht="19.5" customHeight="1">
      <c r="A31" s="55"/>
      <c r="B31" s="19" t="s">
        <v>55</v>
      </c>
      <c r="C31" s="78">
        <v>150.0</v>
      </c>
      <c r="D31" s="112">
        <v>90.0</v>
      </c>
      <c r="E31" s="77">
        <f t="shared" si="4"/>
        <v>13500</v>
      </c>
      <c r="F31" s="77"/>
      <c r="G31" s="3"/>
      <c r="H31" s="3"/>
    </row>
    <row r="32" ht="19.5" customHeight="1">
      <c r="A32" s="109" t="s">
        <v>91</v>
      </c>
      <c r="B32" s="80" t="s">
        <v>56</v>
      </c>
      <c r="C32" s="84">
        <v>150.0</v>
      </c>
      <c r="D32" s="113">
        <v>213.0</v>
      </c>
      <c r="E32" s="83">
        <f t="shared" si="4"/>
        <v>31950</v>
      </c>
      <c r="F32" s="83">
        <f>SUM(E30:E32)</f>
        <v>71850</v>
      </c>
      <c r="G32" s="3" t="s">
        <v>57</v>
      </c>
      <c r="H32" s="3"/>
    </row>
    <row r="33" ht="19.5" customHeight="1">
      <c r="A33" s="55"/>
      <c r="B33" s="3"/>
      <c r="C33" s="3"/>
      <c r="D33" s="69" t="s">
        <v>64</v>
      </c>
      <c r="E33" s="92">
        <f>SUM(E26:E32)</f>
        <v>212400</v>
      </c>
      <c r="F33" s="3"/>
      <c r="G33" s="3"/>
      <c r="H33" s="3"/>
    </row>
    <row r="34" ht="19.5" customHeight="1">
      <c r="A34" s="3"/>
      <c r="B34" s="3"/>
      <c r="C34" s="3"/>
      <c r="D34" s="80" t="s">
        <v>17</v>
      </c>
      <c r="E34" s="83">
        <f>65000+25000</f>
        <v>90000</v>
      </c>
      <c r="F34" s="3" t="s">
        <v>93</v>
      </c>
      <c r="G34" s="3"/>
      <c r="H34" s="3"/>
    </row>
    <row r="35" ht="19.5" customHeight="1">
      <c r="A35" s="3"/>
      <c r="B35" s="3"/>
      <c r="C35" s="3"/>
      <c r="D35" s="93" t="s">
        <v>36</v>
      </c>
      <c r="E35" s="94">
        <f>E33+E34</f>
        <v>302400</v>
      </c>
      <c r="F35" s="3"/>
      <c r="G35" s="3"/>
      <c r="H35" s="3"/>
    </row>
    <row r="36" ht="19.5" customHeight="1">
      <c r="A36" s="3"/>
      <c r="B36" s="3"/>
      <c r="C36" s="3"/>
      <c r="D36" s="2" t="s">
        <v>68</v>
      </c>
      <c r="E36" s="95">
        <f>I20</f>
        <v>233100</v>
      </c>
      <c r="F36" s="3"/>
      <c r="G36" s="3"/>
      <c r="H36" s="3"/>
    </row>
    <row r="37" ht="19.5" customHeight="1">
      <c r="A37" s="3"/>
      <c r="B37" s="3"/>
      <c r="C37" s="3"/>
      <c r="D37" s="114" t="s">
        <v>84</v>
      </c>
      <c r="E37" s="97">
        <f>E35-E36</f>
        <v>69300</v>
      </c>
      <c r="F37" s="3"/>
      <c r="G37" s="3"/>
      <c r="H37" s="3"/>
    </row>
    <row r="38" ht="19.5" customHeight="1">
      <c r="A38" s="3"/>
      <c r="B38" s="3"/>
      <c r="C38" s="3"/>
      <c r="D38" s="3"/>
      <c r="E38" s="3"/>
      <c r="F38" s="3"/>
      <c r="G38" s="3"/>
      <c r="H38" s="3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3:C3"/>
    <mergeCell ref="D3:E3"/>
  </mergeCells>
  <printOptions/>
  <pageMargins bottom="0.39375" footer="0.0" header="0.0" left="0.0" right="0.0" top="0.393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5" width="24.29"/>
    <col customWidth="1" min="6" max="6" width="1.0"/>
    <col customWidth="1" min="7" max="10" width="21.43"/>
    <col customWidth="1" min="11" max="26" width="8.71"/>
  </cols>
  <sheetData>
    <row r="1" ht="12.75" customHeight="1"/>
    <row r="2" ht="12.75" customHeight="1">
      <c r="A2" s="2" t="s">
        <v>85</v>
      </c>
      <c r="B2" s="2"/>
      <c r="C2" s="2"/>
      <c r="D2" s="2"/>
      <c r="E2" s="2"/>
      <c r="F2" s="3"/>
      <c r="G2" s="2" t="s">
        <v>86</v>
      </c>
      <c r="H2" s="2"/>
      <c r="I2" s="2"/>
      <c r="J2" s="2"/>
    </row>
    <row r="3" ht="12.75" customHeight="1">
      <c r="A3" s="4"/>
      <c r="B3" s="98" t="s">
        <v>87</v>
      </c>
      <c r="C3" s="6"/>
      <c r="D3" s="98" t="s">
        <v>88</v>
      </c>
      <c r="E3" s="6"/>
      <c r="F3" s="7"/>
      <c r="G3" s="8" t="s">
        <v>4</v>
      </c>
      <c r="H3" s="9" t="s">
        <v>5</v>
      </c>
      <c r="I3" s="99" t="s">
        <v>87</v>
      </c>
      <c r="J3" s="100" t="s">
        <v>88</v>
      </c>
    </row>
    <row r="4" ht="21.0" customHeight="1">
      <c r="A4" s="12"/>
      <c r="B4" s="13" t="s">
        <v>6</v>
      </c>
      <c r="C4" s="13" t="s">
        <v>7</v>
      </c>
      <c r="D4" s="13" t="s">
        <v>6</v>
      </c>
      <c r="E4" s="13" t="s">
        <v>7</v>
      </c>
      <c r="F4" s="3"/>
      <c r="G4" s="14" t="s">
        <v>8</v>
      </c>
      <c r="H4" s="15" t="s">
        <v>9</v>
      </c>
      <c r="I4" s="101">
        <v>120000.0</v>
      </c>
      <c r="J4" s="102">
        <v>78500.0</v>
      </c>
    </row>
    <row r="5" ht="21.0" customHeight="1">
      <c r="A5" s="19" t="s">
        <v>10</v>
      </c>
      <c r="B5" s="20">
        <f>'Ceny Hamerák 2019 vs 2020'!N3</f>
        <v>59400</v>
      </c>
      <c r="C5" s="20">
        <f>'Ceny Hamerák 2019 vs 2020'!K3</f>
        <v>330</v>
      </c>
      <c r="D5" s="20">
        <v>36000.0</v>
      </c>
      <c r="E5" s="20">
        <v>300.0</v>
      </c>
      <c r="F5" s="3"/>
      <c r="G5" s="14" t="s">
        <v>8</v>
      </c>
      <c r="H5" s="23" t="s">
        <v>11</v>
      </c>
      <c r="I5" s="24">
        <v>30000.0</v>
      </c>
      <c r="J5" s="115">
        <v>8000.0</v>
      </c>
    </row>
    <row r="6" ht="21.0" customHeight="1">
      <c r="A6" s="19" t="s">
        <v>12</v>
      </c>
      <c r="B6" s="20">
        <f>'Ceny Hamerák 2019 vs 2020'!N9</f>
        <v>66132</v>
      </c>
      <c r="C6" s="20">
        <f>'Ceny Hamerák 2019 vs 2020'!K7+'Ceny Hamerák 2019 vs 2020'!K8+'Ceny Hamerák 2019 vs 2020'!K9</f>
        <v>478.5</v>
      </c>
      <c r="D6" s="20">
        <v>44340.0</v>
      </c>
      <c r="E6" s="20">
        <v>458.0</v>
      </c>
      <c r="F6" s="3"/>
      <c r="G6" s="14" t="s">
        <v>8</v>
      </c>
      <c r="H6" s="23" t="s">
        <v>13</v>
      </c>
      <c r="I6" s="24">
        <v>6000.0</v>
      </c>
      <c r="J6" s="115">
        <v>5900.0</v>
      </c>
    </row>
    <row r="7" ht="21.0" customHeight="1">
      <c r="A7" s="19" t="s">
        <v>14</v>
      </c>
      <c r="B7" s="20">
        <f>'Ceny Hamerák 2019 vs 2020'!N6</f>
        <v>61884</v>
      </c>
      <c r="C7" s="20">
        <f>'Ceny Hamerák 2019 vs 2020'!K4+'Ceny Hamerák 2019 vs 2020'!K5+'Ceny Hamerák 2019 vs 2020'!K6</f>
        <v>418.5</v>
      </c>
      <c r="D7" s="20">
        <v>45840.0</v>
      </c>
      <c r="E7" s="20">
        <v>465.0</v>
      </c>
      <c r="F7" s="3"/>
      <c r="G7" s="14" t="s">
        <v>8</v>
      </c>
      <c r="H7" s="23" t="s">
        <v>15</v>
      </c>
      <c r="I7" s="24">
        <v>1200.0</v>
      </c>
      <c r="J7" s="115">
        <v>1281.0</v>
      </c>
    </row>
    <row r="8" ht="21.0" customHeight="1">
      <c r="A8" s="19" t="s">
        <v>17</v>
      </c>
      <c r="B8" s="20">
        <v>65000.0</v>
      </c>
      <c r="C8" s="20"/>
      <c r="D8" s="20">
        <v>75000.0</v>
      </c>
      <c r="E8" s="20"/>
      <c r="F8" s="3"/>
      <c r="G8" s="14" t="s">
        <v>8</v>
      </c>
      <c r="H8" s="23" t="s">
        <v>18</v>
      </c>
      <c r="I8" s="24">
        <v>3000.0</v>
      </c>
      <c r="J8" s="115">
        <v>2858.0</v>
      </c>
    </row>
    <row r="9" ht="21.0" customHeight="1">
      <c r="A9" s="63" t="s">
        <v>76</v>
      </c>
      <c r="B9" s="22">
        <v>0.0</v>
      </c>
      <c r="C9" s="22"/>
      <c r="D9" s="22">
        <v>10000.0</v>
      </c>
      <c r="E9" s="22"/>
      <c r="F9" s="3"/>
      <c r="G9" s="14" t="s">
        <v>20</v>
      </c>
      <c r="H9" s="23" t="s">
        <v>21</v>
      </c>
      <c r="I9" s="24">
        <v>6000.0</v>
      </c>
      <c r="J9" s="115">
        <v>6100.0</v>
      </c>
    </row>
    <row r="10" ht="21.0" customHeight="1">
      <c r="A10" s="29" t="s">
        <v>22</v>
      </c>
      <c r="B10" s="30">
        <f>SUM(B5:B9)</f>
        <v>252416</v>
      </c>
      <c r="C10" s="30"/>
      <c r="D10" s="30">
        <f>SUM(D5:D9)</f>
        <v>211180</v>
      </c>
      <c r="E10" s="30"/>
      <c r="F10" s="3"/>
      <c r="G10" s="14" t="s">
        <v>23</v>
      </c>
      <c r="H10" s="23" t="s">
        <v>77</v>
      </c>
      <c r="I10" s="24">
        <v>1000.0</v>
      </c>
      <c r="J10" s="115">
        <v>1029.0</v>
      </c>
    </row>
    <row r="11" ht="21.0" customHeight="1">
      <c r="A11" s="3"/>
      <c r="B11" s="32"/>
      <c r="C11" s="32"/>
      <c r="D11" s="32"/>
      <c r="E11" s="32"/>
      <c r="F11" s="3"/>
      <c r="G11" s="14" t="s">
        <v>25</v>
      </c>
      <c r="H11" s="23" t="s">
        <v>26</v>
      </c>
      <c r="I11" s="24">
        <v>1500.0</v>
      </c>
      <c r="J11" s="115">
        <v>1500.0</v>
      </c>
    </row>
    <row r="12" ht="21.0" customHeight="1">
      <c r="A12" s="3"/>
      <c r="B12" s="33"/>
      <c r="C12" s="33"/>
      <c r="D12" s="33"/>
      <c r="E12" s="33"/>
      <c r="F12" s="3"/>
      <c r="G12" s="14" t="s">
        <v>25</v>
      </c>
      <c r="H12" s="23" t="s">
        <v>27</v>
      </c>
      <c r="I12" s="24">
        <v>500.0</v>
      </c>
      <c r="J12" s="115">
        <v>500.0</v>
      </c>
    </row>
    <row r="13" ht="21.0" customHeight="1">
      <c r="A13" s="3"/>
      <c r="B13" s="33"/>
      <c r="C13" s="33"/>
      <c r="D13" s="33"/>
      <c r="E13" s="33"/>
      <c r="F13" s="3"/>
      <c r="G13" s="14" t="s">
        <v>25</v>
      </c>
      <c r="H13" s="23" t="s">
        <v>28</v>
      </c>
      <c r="I13" s="24">
        <v>1500.0</v>
      </c>
      <c r="J13" s="115">
        <v>1500.0</v>
      </c>
    </row>
    <row r="14" ht="21.0" customHeight="1">
      <c r="A14" s="3"/>
      <c r="B14" s="33"/>
      <c r="C14" s="33"/>
      <c r="D14" s="33"/>
      <c r="E14" s="33"/>
      <c r="F14" s="3"/>
      <c r="G14" s="14" t="s">
        <v>29</v>
      </c>
      <c r="H14" s="23" t="s">
        <v>30</v>
      </c>
      <c r="I14" s="24">
        <v>12100.0</v>
      </c>
      <c r="J14" s="115">
        <v>12100.0</v>
      </c>
    </row>
    <row r="15" ht="21.0" customHeight="1">
      <c r="A15" s="3"/>
      <c r="B15" s="33"/>
      <c r="C15" s="33"/>
      <c r="D15" s="33"/>
      <c r="E15" s="33"/>
      <c r="F15" s="3"/>
      <c r="G15" s="14" t="s">
        <v>31</v>
      </c>
      <c r="H15" s="23" t="s">
        <v>32</v>
      </c>
      <c r="I15" s="24">
        <v>5000.0</v>
      </c>
      <c r="J15" s="115">
        <v>5000.0</v>
      </c>
    </row>
    <row r="16" ht="21.0" customHeight="1">
      <c r="A16" s="3"/>
      <c r="B16" s="34"/>
      <c r="C16" s="34"/>
      <c r="D16" s="34"/>
      <c r="E16" s="33"/>
      <c r="F16" s="3"/>
      <c r="G16" s="14" t="s">
        <v>31</v>
      </c>
      <c r="H16" s="23" t="s">
        <v>78</v>
      </c>
      <c r="I16" s="24">
        <v>4000.0</v>
      </c>
      <c r="J16" s="115">
        <v>3618.0</v>
      </c>
    </row>
    <row r="17" ht="21.0" customHeight="1">
      <c r="A17" s="35"/>
      <c r="B17" s="36"/>
      <c r="C17" s="116" t="s">
        <v>87</v>
      </c>
      <c r="D17" s="103" t="s">
        <v>88</v>
      </c>
      <c r="E17" s="39"/>
      <c r="F17" s="3"/>
      <c r="G17" s="14" t="s">
        <v>34</v>
      </c>
      <c r="H17" s="23" t="s">
        <v>35</v>
      </c>
      <c r="I17" s="24">
        <v>9000.0</v>
      </c>
      <c r="J17" s="115">
        <f>10798+418+1946</f>
        <v>13162</v>
      </c>
    </row>
    <row r="18" ht="21.0" customHeight="1">
      <c r="A18" s="35"/>
      <c r="B18" s="36" t="s">
        <v>36</v>
      </c>
      <c r="C18" s="20">
        <f>B10</f>
        <v>252416</v>
      </c>
      <c r="D18" s="40">
        <f>D10</f>
        <v>211180</v>
      </c>
      <c r="E18" s="39"/>
      <c r="F18" s="3"/>
      <c r="G18" s="14" t="s">
        <v>37</v>
      </c>
      <c r="H18" s="23" t="s">
        <v>38</v>
      </c>
      <c r="I18" s="117">
        <v>45000.0</v>
      </c>
      <c r="J18" s="115">
        <v>37600.0</v>
      </c>
    </row>
    <row r="19" ht="21.0" customHeight="1">
      <c r="A19" s="35"/>
      <c r="B19" s="41" t="s">
        <v>39</v>
      </c>
      <c r="C19" s="22">
        <f t="shared" ref="C19:D19" si="1">-I20</f>
        <v>-245800</v>
      </c>
      <c r="D19" s="42">
        <f t="shared" si="1"/>
        <v>-178648</v>
      </c>
      <c r="E19" s="39"/>
      <c r="F19" s="3"/>
      <c r="G19" s="104"/>
      <c r="H19" s="105"/>
      <c r="I19" s="106"/>
      <c r="J19" s="107"/>
    </row>
    <row r="20" ht="21.0" customHeight="1">
      <c r="A20" s="35"/>
      <c r="B20" s="47" t="s">
        <v>22</v>
      </c>
      <c r="C20" s="48">
        <f t="shared" ref="C20:D20" si="2">SUM(C18:C19)</f>
        <v>6616</v>
      </c>
      <c r="D20" s="48">
        <f t="shared" si="2"/>
        <v>32532</v>
      </c>
      <c r="E20" s="39"/>
      <c r="F20" s="3"/>
      <c r="G20" s="29" t="s">
        <v>22</v>
      </c>
      <c r="H20" s="49"/>
      <c r="I20" s="50">
        <f t="shared" ref="I20:J20" si="3">SUM(I4:I18)</f>
        <v>245800</v>
      </c>
      <c r="J20" s="51">
        <f t="shared" si="3"/>
        <v>178648</v>
      </c>
    </row>
    <row r="21" ht="12.75" customHeight="1">
      <c r="A21" s="52"/>
      <c r="B21" s="52"/>
      <c r="C21" s="52"/>
      <c r="D21" s="53"/>
      <c r="E21" s="52"/>
    </row>
    <row r="22" ht="12.75" customHeight="1">
      <c r="A22" s="54"/>
      <c r="B22" s="54"/>
      <c r="C22" s="54"/>
      <c r="D22" s="54"/>
      <c r="E22" s="54"/>
      <c r="F22" s="3"/>
      <c r="G22" s="3"/>
      <c r="H22" s="3"/>
      <c r="I22" s="3"/>
      <c r="J22" s="3"/>
    </row>
    <row r="23" ht="12.75" customHeight="1">
      <c r="A23" s="54"/>
      <c r="B23" s="54"/>
      <c r="C23" s="54"/>
      <c r="D23" s="54"/>
      <c r="E23" s="54"/>
    </row>
    <row r="24" ht="12.75" customHeight="1">
      <c r="A24" s="54"/>
      <c r="B24" s="54"/>
      <c r="C24" s="54"/>
      <c r="D24" s="54"/>
      <c r="E24" s="54"/>
    </row>
    <row r="25" ht="12.75" customHeight="1">
      <c r="A25" s="52"/>
      <c r="B25" s="52"/>
      <c r="C25" s="52"/>
      <c r="D25" s="52"/>
      <c r="E25" s="52"/>
    </row>
    <row r="26" ht="17.25" customHeight="1">
      <c r="A26" s="54"/>
      <c r="B26" s="54"/>
      <c r="C26" s="54"/>
      <c r="D26" s="54"/>
      <c r="E26" s="54"/>
    </row>
    <row r="27" ht="12.75" customHeight="1">
      <c r="A27" s="52"/>
      <c r="B27" s="52"/>
      <c r="C27" s="52"/>
      <c r="D27" s="52"/>
      <c r="E27" s="52"/>
    </row>
    <row r="28" ht="12.75" customHeight="1">
      <c r="A28" s="54"/>
      <c r="B28" s="54"/>
      <c r="C28" s="54"/>
      <c r="D28" s="54"/>
      <c r="E28" s="54"/>
    </row>
    <row r="29" ht="12.75" customHeight="1">
      <c r="A29" s="54"/>
      <c r="B29" s="54"/>
      <c r="C29" s="54"/>
      <c r="D29" s="54"/>
      <c r="E29" s="54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3:C3"/>
    <mergeCell ref="D3:E3"/>
  </mergeCells>
  <printOptions/>
  <pageMargins bottom="0.39375" footer="0.0" header="0.0" left="0.0" right="0.0" top="0.393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5" width="24.29"/>
    <col customWidth="1" min="6" max="6" width="1.0"/>
    <col customWidth="1" min="7" max="10" width="21.43"/>
    <col customWidth="1" min="11" max="26" width="8.71"/>
  </cols>
  <sheetData>
    <row r="1" ht="12.75" customHeight="1"/>
    <row r="2" ht="12.75" customHeight="1">
      <c r="A2" s="2" t="s">
        <v>85</v>
      </c>
      <c r="B2" s="2"/>
      <c r="C2" s="2"/>
      <c r="D2" s="2"/>
      <c r="E2" s="2"/>
      <c r="F2" s="3"/>
      <c r="G2" s="2" t="s">
        <v>86</v>
      </c>
      <c r="H2" s="2"/>
      <c r="I2" s="2"/>
      <c r="J2" s="2"/>
    </row>
    <row r="3" ht="12.75" customHeight="1">
      <c r="A3" s="4"/>
      <c r="B3" s="98" t="s">
        <v>94</v>
      </c>
      <c r="C3" s="6"/>
      <c r="D3" s="98" t="s">
        <v>88</v>
      </c>
      <c r="E3" s="6"/>
      <c r="F3" s="7"/>
      <c r="G3" s="8" t="s">
        <v>4</v>
      </c>
      <c r="H3" s="9" t="s">
        <v>5</v>
      </c>
      <c r="I3" s="99" t="s">
        <v>94</v>
      </c>
      <c r="J3" s="100" t="s">
        <v>88</v>
      </c>
    </row>
    <row r="4" ht="21.0" customHeight="1">
      <c r="A4" s="12"/>
      <c r="B4" s="13" t="s">
        <v>6</v>
      </c>
      <c r="C4" s="13" t="s">
        <v>7</v>
      </c>
      <c r="D4" s="13" t="s">
        <v>6</v>
      </c>
      <c r="E4" s="13" t="s">
        <v>7</v>
      </c>
      <c r="F4" s="3"/>
      <c r="G4" s="14" t="s">
        <v>8</v>
      </c>
      <c r="H4" s="15" t="s">
        <v>9</v>
      </c>
      <c r="I4" s="118">
        <v>80000.0</v>
      </c>
      <c r="J4" s="102">
        <v>78500.0</v>
      </c>
    </row>
    <row r="5" ht="21.0" customHeight="1">
      <c r="A5" s="19" t="s">
        <v>10</v>
      </c>
      <c r="B5" s="20">
        <f>'Ceny Hamerák 2019 vs 2020'!N3</f>
        <v>59400</v>
      </c>
      <c r="C5" s="20">
        <f>'Ceny Hamerák 2019 vs 2020'!K3</f>
        <v>330</v>
      </c>
      <c r="D5" s="20">
        <v>36000.0</v>
      </c>
      <c r="E5" s="20">
        <v>300.0</v>
      </c>
      <c r="F5" s="3"/>
      <c r="G5" s="14" t="s">
        <v>8</v>
      </c>
      <c r="H5" s="23" t="s">
        <v>11</v>
      </c>
      <c r="I5" s="24">
        <v>30000.0</v>
      </c>
      <c r="J5" s="115">
        <v>8000.0</v>
      </c>
    </row>
    <row r="6" ht="21.0" customHeight="1">
      <c r="A6" s="19" t="s">
        <v>12</v>
      </c>
      <c r="B6" s="20">
        <f>'Ceny Hamerák 2019 vs 2020'!N9</f>
        <v>66132</v>
      </c>
      <c r="C6" s="20">
        <f>'Ceny Hamerák 2019 vs 2020'!K7+'Ceny Hamerák 2019 vs 2020'!K8+'Ceny Hamerák 2019 vs 2020'!K9</f>
        <v>478.5</v>
      </c>
      <c r="D6" s="20">
        <v>44340.0</v>
      </c>
      <c r="E6" s="20">
        <v>458.0</v>
      </c>
      <c r="F6" s="3"/>
      <c r="G6" s="14" t="s">
        <v>8</v>
      </c>
      <c r="H6" s="23" t="s">
        <v>13</v>
      </c>
      <c r="I6" s="24">
        <v>6000.0</v>
      </c>
      <c r="J6" s="115">
        <v>5900.0</v>
      </c>
    </row>
    <row r="7" ht="21.0" customHeight="1">
      <c r="A7" s="19" t="s">
        <v>14</v>
      </c>
      <c r="B7" s="20">
        <f>'Ceny Hamerák 2019 vs 2020'!N6</f>
        <v>61884</v>
      </c>
      <c r="C7" s="20">
        <f>'Ceny Hamerák 2019 vs 2020'!K4+'Ceny Hamerák 2019 vs 2020'!K5+'Ceny Hamerák 2019 vs 2020'!K6</f>
        <v>418.5</v>
      </c>
      <c r="D7" s="20">
        <v>45840.0</v>
      </c>
      <c r="E7" s="20">
        <v>465.0</v>
      </c>
      <c r="F7" s="3"/>
      <c r="G7" s="14" t="s">
        <v>8</v>
      </c>
      <c r="H7" s="23" t="s">
        <v>15</v>
      </c>
      <c r="I7" s="24">
        <v>1200.0</v>
      </c>
      <c r="J7" s="115">
        <v>1281.0</v>
      </c>
    </row>
    <row r="8" ht="21.0" customHeight="1">
      <c r="A8" s="19" t="s">
        <v>17</v>
      </c>
      <c r="B8" s="20">
        <v>65000.0</v>
      </c>
      <c r="C8" s="20"/>
      <c r="D8" s="20">
        <v>75000.0</v>
      </c>
      <c r="E8" s="20"/>
      <c r="F8" s="3"/>
      <c r="G8" s="14" t="s">
        <v>8</v>
      </c>
      <c r="H8" s="23" t="s">
        <v>18</v>
      </c>
      <c r="I8" s="24">
        <v>3000.0</v>
      </c>
      <c r="J8" s="115">
        <v>2858.0</v>
      </c>
    </row>
    <row r="9" ht="21.0" customHeight="1">
      <c r="A9" s="63" t="s">
        <v>76</v>
      </c>
      <c r="B9" s="22">
        <v>0.0</v>
      </c>
      <c r="C9" s="22"/>
      <c r="D9" s="22">
        <v>10000.0</v>
      </c>
      <c r="E9" s="22"/>
      <c r="F9" s="3"/>
      <c r="G9" s="14" t="s">
        <v>20</v>
      </c>
      <c r="H9" s="23" t="s">
        <v>21</v>
      </c>
      <c r="I9" s="24">
        <v>6000.0</v>
      </c>
      <c r="J9" s="115">
        <v>6100.0</v>
      </c>
    </row>
    <row r="10" ht="21.0" customHeight="1">
      <c r="A10" s="29" t="s">
        <v>22</v>
      </c>
      <c r="B10" s="30">
        <f>SUM(B5:B9)</f>
        <v>252416</v>
      </c>
      <c r="C10" s="30"/>
      <c r="D10" s="30">
        <f>SUM(D5:D9)</f>
        <v>211180</v>
      </c>
      <c r="E10" s="30"/>
      <c r="F10" s="3"/>
      <c r="G10" s="14" t="s">
        <v>23</v>
      </c>
      <c r="H10" s="23" t="s">
        <v>77</v>
      </c>
      <c r="I10" s="24">
        <v>1000.0</v>
      </c>
      <c r="J10" s="115">
        <v>1029.0</v>
      </c>
    </row>
    <row r="11" ht="21.0" customHeight="1">
      <c r="A11" s="3"/>
      <c r="B11" s="32"/>
      <c r="C11" s="32"/>
      <c r="D11" s="32"/>
      <c r="E11" s="32"/>
      <c r="F11" s="3"/>
      <c r="G11" s="14" t="s">
        <v>25</v>
      </c>
      <c r="H11" s="23" t="s">
        <v>26</v>
      </c>
      <c r="I11" s="24">
        <v>1500.0</v>
      </c>
      <c r="J11" s="115">
        <v>1500.0</v>
      </c>
    </row>
    <row r="12" ht="21.0" customHeight="1">
      <c r="A12" s="3"/>
      <c r="B12" s="33"/>
      <c r="C12" s="33"/>
      <c r="D12" s="33"/>
      <c r="E12" s="33"/>
      <c r="F12" s="3"/>
      <c r="G12" s="14" t="s">
        <v>25</v>
      </c>
      <c r="H12" s="23" t="s">
        <v>27</v>
      </c>
      <c r="I12" s="24">
        <v>500.0</v>
      </c>
      <c r="J12" s="115">
        <v>500.0</v>
      </c>
    </row>
    <row r="13" ht="21.0" customHeight="1">
      <c r="A13" s="3"/>
      <c r="B13" s="33"/>
      <c r="C13" s="33"/>
      <c r="D13" s="33"/>
      <c r="E13" s="33"/>
      <c r="F13" s="3"/>
      <c r="G13" s="14" t="s">
        <v>25</v>
      </c>
      <c r="H13" s="23" t="s">
        <v>28</v>
      </c>
      <c r="I13" s="24">
        <v>1500.0</v>
      </c>
      <c r="J13" s="115">
        <v>1500.0</v>
      </c>
    </row>
    <row r="14" ht="21.0" customHeight="1">
      <c r="A14" s="3"/>
      <c r="B14" s="33"/>
      <c r="C14" s="33"/>
      <c r="D14" s="33"/>
      <c r="E14" s="33"/>
      <c r="F14" s="3"/>
      <c r="G14" s="14" t="s">
        <v>29</v>
      </c>
      <c r="H14" s="23" t="s">
        <v>30</v>
      </c>
      <c r="I14" s="24">
        <v>12100.0</v>
      </c>
      <c r="J14" s="115">
        <v>12100.0</v>
      </c>
    </row>
    <row r="15" ht="21.0" customHeight="1">
      <c r="A15" s="3"/>
      <c r="B15" s="33"/>
      <c r="C15" s="33"/>
      <c r="D15" s="33"/>
      <c r="E15" s="33"/>
      <c r="F15" s="3"/>
      <c r="G15" s="14" t="s">
        <v>31</v>
      </c>
      <c r="H15" s="23" t="s">
        <v>32</v>
      </c>
      <c r="I15" s="24">
        <v>5000.0</v>
      </c>
      <c r="J15" s="115">
        <v>5000.0</v>
      </c>
    </row>
    <row r="16" ht="21.0" customHeight="1">
      <c r="A16" s="3"/>
      <c r="B16" s="34"/>
      <c r="C16" s="34"/>
      <c r="D16" s="34"/>
      <c r="E16" s="33"/>
      <c r="F16" s="3"/>
      <c r="G16" s="14" t="s">
        <v>31</v>
      </c>
      <c r="H16" s="23" t="s">
        <v>78</v>
      </c>
      <c r="I16" s="24">
        <v>4000.0</v>
      </c>
      <c r="J16" s="115">
        <v>3618.0</v>
      </c>
    </row>
    <row r="17" ht="21.0" customHeight="1">
      <c r="A17" s="35"/>
      <c r="B17" s="36"/>
      <c r="C17" s="116" t="s">
        <v>94</v>
      </c>
      <c r="D17" s="103" t="s">
        <v>88</v>
      </c>
      <c r="E17" s="39"/>
      <c r="F17" s="3"/>
      <c r="G17" s="14" t="s">
        <v>34</v>
      </c>
      <c r="H17" s="23" t="s">
        <v>35</v>
      </c>
      <c r="I17" s="24">
        <v>9000.0</v>
      </c>
      <c r="J17" s="115">
        <f>10798+418+1946</f>
        <v>13162</v>
      </c>
    </row>
    <row r="18" ht="21.0" customHeight="1">
      <c r="A18" s="35"/>
      <c r="B18" s="36" t="s">
        <v>36</v>
      </c>
      <c r="C18" s="20">
        <f>B10</f>
        <v>252416</v>
      </c>
      <c r="D18" s="40">
        <f>D10</f>
        <v>211180</v>
      </c>
      <c r="E18" s="39"/>
      <c r="F18" s="3"/>
      <c r="G18" s="14" t="s">
        <v>37</v>
      </c>
      <c r="H18" s="23" t="s">
        <v>38</v>
      </c>
      <c r="I18" s="24">
        <v>40000.0</v>
      </c>
      <c r="J18" s="115">
        <v>37600.0</v>
      </c>
    </row>
    <row r="19" ht="21.0" customHeight="1">
      <c r="A19" s="35"/>
      <c r="B19" s="41" t="s">
        <v>39</v>
      </c>
      <c r="C19" s="22">
        <f t="shared" ref="C19:D19" si="1">-I20</f>
        <v>-200800</v>
      </c>
      <c r="D19" s="42">
        <f t="shared" si="1"/>
        <v>-178648</v>
      </c>
      <c r="E19" s="39"/>
      <c r="F19" s="3"/>
      <c r="G19" s="104"/>
      <c r="H19" s="105"/>
      <c r="I19" s="106"/>
      <c r="J19" s="107"/>
    </row>
    <row r="20" ht="21.0" customHeight="1">
      <c r="A20" s="35"/>
      <c r="B20" s="47" t="s">
        <v>22</v>
      </c>
      <c r="C20" s="48">
        <f t="shared" ref="C20:D20" si="2">SUM(C18:C19)</f>
        <v>51616</v>
      </c>
      <c r="D20" s="48">
        <f t="shared" si="2"/>
        <v>32532</v>
      </c>
      <c r="E20" s="39"/>
      <c r="F20" s="3"/>
      <c r="G20" s="29" t="s">
        <v>22</v>
      </c>
      <c r="H20" s="49"/>
      <c r="I20" s="50">
        <f t="shared" ref="I20:J20" si="3">SUM(I4:I18)</f>
        <v>200800</v>
      </c>
      <c r="J20" s="51">
        <f t="shared" si="3"/>
        <v>178648</v>
      </c>
    </row>
    <row r="21" ht="12.75" customHeight="1">
      <c r="A21" s="52"/>
      <c r="B21" s="52"/>
      <c r="C21" s="52"/>
      <c r="D21" s="53"/>
      <c r="E21" s="52"/>
    </row>
    <row r="22" ht="12.75" customHeight="1">
      <c r="A22" s="54"/>
      <c r="B22" s="54"/>
      <c r="C22" s="54"/>
      <c r="D22" s="54"/>
      <c r="E22" s="54"/>
      <c r="F22" s="3"/>
      <c r="G22" s="3"/>
      <c r="H22" s="3"/>
      <c r="I22" s="3"/>
      <c r="J22" s="3"/>
    </row>
    <row r="23" ht="12.75" customHeight="1">
      <c r="A23" s="54"/>
      <c r="B23" s="54"/>
      <c r="C23" s="54"/>
      <c r="D23" s="54"/>
      <c r="E23" s="54"/>
    </row>
    <row r="24" ht="12.75" customHeight="1">
      <c r="A24" s="54"/>
      <c r="B24" s="54"/>
      <c r="C24" s="54"/>
      <c r="D24" s="54"/>
      <c r="E24" s="54"/>
    </row>
    <row r="25" ht="12.75" customHeight="1">
      <c r="A25" s="52"/>
      <c r="B25" s="52"/>
      <c r="C25" s="52"/>
      <c r="D25" s="52"/>
      <c r="E25" s="52"/>
    </row>
    <row r="26" ht="17.25" customHeight="1">
      <c r="A26" s="54"/>
      <c r="B26" s="54"/>
      <c r="C26" s="54"/>
      <c r="D26" s="54"/>
      <c r="E26" s="54"/>
    </row>
    <row r="27" ht="12.75" customHeight="1">
      <c r="A27" s="52"/>
      <c r="B27" s="52"/>
      <c r="C27" s="52"/>
      <c r="D27" s="52"/>
      <c r="E27" s="52"/>
    </row>
    <row r="28" ht="12.75" customHeight="1">
      <c r="A28" s="54"/>
      <c r="B28" s="54"/>
      <c r="C28" s="54"/>
      <c r="D28" s="54"/>
      <c r="E28" s="54"/>
    </row>
    <row r="29" ht="12.75" customHeight="1">
      <c r="A29" s="54"/>
      <c r="B29" s="54"/>
      <c r="C29" s="54"/>
      <c r="D29" s="54"/>
      <c r="E29" s="54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3:C3"/>
    <mergeCell ref="D3:E3"/>
  </mergeCells>
  <printOptions/>
  <pageMargins bottom="0.39375" footer="0.0" header="0.0" left="0.0" right="0.0" top="0.393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0.0"/>
    <col customWidth="1" min="3" max="3" width="9.14"/>
    <col customWidth="1" min="4" max="4" width="11.71"/>
    <col customWidth="1" min="5" max="5" width="15.57"/>
    <col customWidth="1" min="6" max="6" width="9.14"/>
    <col customWidth="1" min="7" max="7" width="8.57"/>
    <col customWidth="1" min="8" max="8" width="2.43"/>
    <col customWidth="1" min="9" max="9" width="14.29"/>
    <col customWidth="1" min="10" max="10" width="20.71"/>
    <col customWidth="1" min="11" max="11" width="9.29"/>
    <col customWidth="1" min="12" max="12" width="12.43"/>
    <col customWidth="1" min="13" max="13" width="14.0"/>
    <col customWidth="1" min="14" max="14" width="11.0"/>
    <col customWidth="1" min="15" max="15" width="9.43"/>
    <col customWidth="1" min="16" max="26" width="8.86"/>
  </cols>
  <sheetData>
    <row r="1" ht="18.0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0"/>
      <c r="B2" s="108" t="s">
        <v>95</v>
      </c>
      <c r="C2" s="61" t="s">
        <v>80</v>
      </c>
      <c r="D2" s="61" t="s">
        <v>90</v>
      </c>
      <c r="E2" s="59" t="s">
        <v>96</v>
      </c>
      <c r="F2" s="60"/>
      <c r="G2" s="60"/>
      <c r="H2" s="60"/>
      <c r="I2" s="60" t="s">
        <v>43</v>
      </c>
      <c r="J2" s="108" t="s">
        <v>89</v>
      </c>
      <c r="K2" s="61" t="s">
        <v>80</v>
      </c>
      <c r="L2" s="61" t="s">
        <v>90</v>
      </c>
      <c r="M2" s="59" t="s">
        <v>96</v>
      </c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0"/>
      <c r="B3" s="119" t="s">
        <v>52</v>
      </c>
      <c r="C3" s="120">
        <v>300.0</v>
      </c>
      <c r="D3" s="121">
        <v>120.0</v>
      </c>
      <c r="E3" s="122">
        <f t="shared" ref="E3:E9" si="1">C3*D3</f>
        <v>36000</v>
      </c>
      <c r="F3" s="123">
        <f>E3</f>
        <v>36000</v>
      </c>
      <c r="G3" s="60" t="s">
        <v>53</v>
      </c>
      <c r="H3" s="60"/>
      <c r="I3" s="124" t="s">
        <v>97</v>
      </c>
      <c r="J3" s="119" t="s">
        <v>52</v>
      </c>
      <c r="K3" s="120">
        <f>C3*1.1</f>
        <v>330</v>
      </c>
      <c r="L3" s="121">
        <v>180.0</v>
      </c>
      <c r="M3" s="122">
        <f t="shared" ref="M3:M9" si="2">K3*L3</f>
        <v>59400</v>
      </c>
      <c r="N3" s="123">
        <f>M3</f>
        <v>59400</v>
      </c>
      <c r="O3" s="60" t="s">
        <v>53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0"/>
      <c r="B4" s="125" t="s">
        <v>58</v>
      </c>
      <c r="C4" s="126">
        <v>216.0</v>
      </c>
      <c r="D4" s="127">
        <v>120.0</v>
      </c>
      <c r="E4" s="128">
        <f t="shared" si="1"/>
        <v>25920</v>
      </c>
      <c r="F4" s="60"/>
      <c r="G4" s="60"/>
      <c r="H4" s="60"/>
      <c r="I4" s="129"/>
      <c r="J4" s="125" t="s">
        <v>58</v>
      </c>
      <c r="K4" s="126">
        <f t="shared" ref="K4:K6" si="3">C4*0.9</f>
        <v>194.4</v>
      </c>
      <c r="L4" s="127">
        <v>180.0</v>
      </c>
      <c r="M4" s="128">
        <f t="shared" si="2"/>
        <v>34992</v>
      </c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60"/>
      <c r="B5" s="130" t="s">
        <v>59</v>
      </c>
      <c r="C5" s="131">
        <v>117.0</v>
      </c>
      <c r="D5" s="132">
        <v>80.0</v>
      </c>
      <c r="E5" s="133">
        <f t="shared" si="1"/>
        <v>9360</v>
      </c>
      <c r="F5" s="60"/>
      <c r="G5" s="60"/>
      <c r="H5" s="60"/>
      <c r="I5" s="129"/>
      <c r="J5" s="130" t="s">
        <v>59</v>
      </c>
      <c r="K5" s="131">
        <f t="shared" si="3"/>
        <v>105.3</v>
      </c>
      <c r="L5" s="132">
        <v>120.0</v>
      </c>
      <c r="M5" s="133">
        <f t="shared" si="2"/>
        <v>12636</v>
      </c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0"/>
      <c r="B6" s="134" t="s">
        <v>60</v>
      </c>
      <c r="C6" s="135">
        <v>132.0</v>
      </c>
      <c r="D6" s="136">
        <v>80.0</v>
      </c>
      <c r="E6" s="137">
        <f t="shared" si="1"/>
        <v>10560</v>
      </c>
      <c r="F6" s="123">
        <f>E4+E5+E6</f>
        <v>45840</v>
      </c>
      <c r="G6" s="60" t="s">
        <v>61</v>
      </c>
      <c r="H6" s="60"/>
      <c r="I6" s="129">
        <v>-0.1</v>
      </c>
      <c r="J6" s="134" t="s">
        <v>60</v>
      </c>
      <c r="K6" s="135">
        <f t="shared" si="3"/>
        <v>118.8</v>
      </c>
      <c r="L6" s="136">
        <v>120.0</v>
      </c>
      <c r="M6" s="137">
        <f t="shared" si="2"/>
        <v>14256</v>
      </c>
      <c r="N6" s="123">
        <f>M4+M5+M6</f>
        <v>61884</v>
      </c>
      <c r="O6" s="60" t="s">
        <v>61</v>
      </c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0"/>
      <c r="B7" s="125" t="s">
        <v>54</v>
      </c>
      <c r="C7" s="126">
        <v>132.0</v>
      </c>
      <c r="D7" s="127">
        <v>120.0</v>
      </c>
      <c r="E7" s="128">
        <f t="shared" si="1"/>
        <v>15840</v>
      </c>
      <c r="F7" s="60"/>
      <c r="G7" s="60"/>
      <c r="H7" s="60"/>
      <c r="I7" s="138"/>
      <c r="J7" s="125" t="s">
        <v>54</v>
      </c>
      <c r="K7" s="126">
        <f t="shared" ref="K7:K9" si="4">C7*1.1</f>
        <v>145.2</v>
      </c>
      <c r="L7" s="127">
        <v>180.0</v>
      </c>
      <c r="M7" s="128">
        <f t="shared" si="2"/>
        <v>26136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60"/>
      <c r="B8" s="130" t="s">
        <v>55</v>
      </c>
      <c r="C8" s="131">
        <v>90.0</v>
      </c>
      <c r="D8" s="132">
        <v>80.0</v>
      </c>
      <c r="E8" s="133">
        <f t="shared" si="1"/>
        <v>7200</v>
      </c>
      <c r="F8" s="60"/>
      <c r="G8" s="60"/>
      <c r="H8" s="60"/>
      <c r="I8" s="138"/>
      <c r="J8" s="130" t="s">
        <v>55</v>
      </c>
      <c r="K8" s="131">
        <f t="shared" si="4"/>
        <v>99</v>
      </c>
      <c r="L8" s="132">
        <v>120.0</v>
      </c>
      <c r="M8" s="133">
        <f t="shared" si="2"/>
        <v>11880</v>
      </c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134" t="s">
        <v>56</v>
      </c>
      <c r="C9" s="135">
        <v>213.0</v>
      </c>
      <c r="D9" s="136">
        <v>100.0</v>
      </c>
      <c r="E9" s="137">
        <f t="shared" si="1"/>
        <v>21300</v>
      </c>
      <c r="F9" s="123">
        <f>E7+E8+E9</f>
        <v>44340</v>
      </c>
      <c r="G9" s="60" t="s">
        <v>57</v>
      </c>
      <c r="H9" s="60"/>
      <c r="I9" s="124" t="s">
        <v>97</v>
      </c>
      <c r="J9" s="134" t="s">
        <v>56</v>
      </c>
      <c r="K9" s="135">
        <f t="shared" si="4"/>
        <v>234.3</v>
      </c>
      <c r="L9" s="136">
        <v>120.0</v>
      </c>
      <c r="M9" s="137">
        <f t="shared" si="2"/>
        <v>28116</v>
      </c>
      <c r="N9" s="123">
        <f>M7+M8+M9</f>
        <v>66132</v>
      </c>
      <c r="O9" s="60" t="s">
        <v>57</v>
      </c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0"/>
      <c r="B10" s="60"/>
      <c r="C10" s="60"/>
      <c r="D10" s="125" t="s">
        <v>98</v>
      </c>
      <c r="E10" s="139">
        <f>SUM(E3:E9)</f>
        <v>126180</v>
      </c>
      <c r="F10" s="60"/>
      <c r="G10" s="60"/>
      <c r="H10" s="60"/>
      <c r="I10" s="138"/>
      <c r="J10" s="60"/>
      <c r="K10" s="60"/>
      <c r="L10" s="125" t="s">
        <v>98</v>
      </c>
      <c r="M10" s="139">
        <f>SUM(M3:M9)</f>
        <v>187416</v>
      </c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0"/>
      <c r="B11" s="60"/>
      <c r="C11" s="60"/>
      <c r="D11" s="134" t="s">
        <v>99</v>
      </c>
      <c r="E11" s="137">
        <v>85000.0</v>
      </c>
      <c r="F11" s="60"/>
      <c r="G11" s="60"/>
      <c r="H11" s="60"/>
      <c r="I11" s="60"/>
      <c r="J11" s="60"/>
      <c r="K11" s="60"/>
      <c r="L11" s="134" t="s">
        <v>99</v>
      </c>
      <c r="M11" s="137">
        <v>65000.0</v>
      </c>
      <c r="N11" s="60" t="s">
        <v>100</v>
      </c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0"/>
      <c r="B12" s="60"/>
      <c r="C12" s="60"/>
      <c r="D12" s="140" t="s">
        <v>101</v>
      </c>
      <c r="E12" s="141">
        <f>E10+E11</f>
        <v>211180</v>
      </c>
      <c r="F12" s="60"/>
      <c r="G12" s="60"/>
      <c r="H12" s="60"/>
      <c r="I12" s="60"/>
      <c r="J12" s="60"/>
      <c r="K12" s="60"/>
      <c r="L12" s="140" t="s">
        <v>101</v>
      </c>
      <c r="M12" s="141">
        <f>M10+M11</f>
        <v>252416</v>
      </c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60"/>
      <c r="C13" s="60"/>
      <c r="D13" s="60" t="s">
        <v>78</v>
      </c>
      <c r="E13" s="123">
        <v>178648.0</v>
      </c>
      <c r="F13" s="60"/>
      <c r="G13" s="60"/>
      <c r="H13" s="60"/>
      <c r="I13" s="60"/>
      <c r="J13" s="60"/>
      <c r="K13" s="60"/>
      <c r="L13" s="60" t="s">
        <v>78</v>
      </c>
      <c r="M13" s="123">
        <f>'Návrh rozpočtu, verze 23.6.2020'!I20</f>
        <v>200800</v>
      </c>
      <c r="N13" s="60" t="s">
        <v>75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0"/>
      <c r="B14" s="60"/>
      <c r="C14" s="60"/>
      <c r="D14" s="142" t="s">
        <v>102</v>
      </c>
      <c r="E14" s="143">
        <f>E12-E13</f>
        <v>32532</v>
      </c>
      <c r="F14" s="60"/>
      <c r="G14" s="60"/>
      <c r="H14" s="60"/>
      <c r="I14" s="60"/>
      <c r="J14" s="60"/>
      <c r="K14" s="60"/>
      <c r="L14" s="142" t="s">
        <v>103</v>
      </c>
      <c r="M14" s="143">
        <f>M12-M13</f>
        <v>51616</v>
      </c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18" t="s">
        <v>68</v>
      </c>
      <c r="E19" s="60"/>
      <c r="F19" s="60"/>
      <c r="G19" s="60"/>
      <c r="H19" s="60"/>
      <c r="I19" s="60" t="s">
        <v>43</v>
      </c>
      <c r="J19" s="108" t="s">
        <v>104</v>
      </c>
      <c r="K19" s="61" t="s">
        <v>80</v>
      </c>
      <c r="L19" s="61" t="s">
        <v>90</v>
      </c>
      <c r="M19" s="59" t="s">
        <v>96</v>
      </c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144" t="s">
        <v>105</v>
      </c>
      <c r="C20" s="144" t="s">
        <v>106</v>
      </c>
      <c r="D20" s="144" t="s">
        <v>107</v>
      </c>
      <c r="E20" s="60"/>
      <c r="F20" s="60"/>
      <c r="G20" s="60"/>
      <c r="H20" s="60"/>
      <c r="I20" s="124" t="s">
        <v>97</v>
      </c>
      <c r="J20" s="119" t="s">
        <v>52</v>
      </c>
      <c r="K20" s="120">
        <v>0.0</v>
      </c>
      <c r="L20" s="121">
        <v>150.0</v>
      </c>
      <c r="M20" s="122">
        <f t="shared" ref="M20:M26" si="5">K20*L20</f>
        <v>0</v>
      </c>
      <c r="N20" s="123">
        <v>49500.0</v>
      </c>
      <c r="O20" s="60" t="s">
        <v>53</v>
      </c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60"/>
      <c r="B21" s="145">
        <v>4000.0</v>
      </c>
      <c r="C21" s="146" t="s">
        <v>108</v>
      </c>
      <c r="D21" s="146" t="s">
        <v>109</v>
      </c>
      <c r="E21" s="60"/>
      <c r="F21" s="60"/>
      <c r="G21" s="60"/>
      <c r="H21" s="60"/>
      <c r="I21" s="129"/>
      <c r="J21" s="125" t="s">
        <v>58</v>
      </c>
      <c r="K21" s="126">
        <v>200.0</v>
      </c>
      <c r="L21" s="127">
        <v>150.0</v>
      </c>
      <c r="M21" s="128">
        <f t="shared" si="5"/>
        <v>30000</v>
      </c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60"/>
      <c r="B22" s="145">
        <v>3000.0</v>
      </c>
      <c r="C22" s="146" t="s">
        <v>110</v>
      </c>
      <c r="D22" s="146" t="s">
        <v>111</v>
      </c>
      <c r="E22" s="60"/>
      <c r="F22" s="60"/>
      <c r="G22" s="60"/>
      <c r="H22" s="60"/>
      <c r="I22" s="129"/>
      <c r="J22" s="130" t="s">
        <v>59</v>
      </c>
      <c r="K22" s="131">
        <v>100.0</v>
      </c>
      <c r="L22" s="132">
        <v>100.0</v>
      </c>
      <c r="M22" s="133">
        <f t="shared" si="5"/>
        <v>10000</v>
      </c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60"/>
      <c r="B23" s="145">
        <v>1500.0</v>
      </c>
      <c r="C23" s="146" t="s">
        <v>112</v>
      </c>
      <c r="D23" s="146" t="s">
        <v>113</v>
      </c>
      <c r="E23" s="60"/>
      <c r="F23" s="60"/>
      <c r="G23" s="60"/>
      <c r="H23" s="60"/>
      <c r="I23" s="129">
        <v>-0.15</v>
      </c>
      <c r="J23" s="134" t="s">
        <v>60</v>
      </c>
      <c r="K23" s="135">
        <v>100.0</v>
      </c>
      <c r="L23" s="136">
        <v>100.0</v>
      </c>
      <c r="M23" s="137">
        <f t="shared" si="5"/>
        <v>10000</v>
      </c>
      <c r="N23" s="123">
        <v>48705.0</v>
      </c>
      <c r="O23" s="60" t="s">
        <v>61</v>
      </c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60"/>
      <c r="B24" s="145">
        <v>500.0</v>
      </c>
      <c r="C24" s="146" t="s">
        <v>27</v>
      </c>
      <c r="D24" s="146" t="s">
        <v>113</v>
      </c>
      <c r="E24" s="60"/>
      <c r="F24" s="60"/>
      <c r="G24" s="60"/>
      <c r="H24" s="60"/>
      <c r="I24" s="138"/>
      <c r="J24" s="125" t="s">
        <v>54</v>
      </c>
      <c r="K24" s="126">
        <v>200.0</v>
      </c>
      <c r="L24" s="127">
        <v>150.0</v>
      </c>
      <c r="M24" s="128">
        <f t="shared" si="5"/>
        <v>30000</v>
      </c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60"/>
      <c r="B25" s="145">
        <v>1500.0</v>
      </c>
      <c r="C25" s="146" t="s">
        <v>114</v>
      </c>
      <c r="D25" s="146" t="s">
        <v>113</v>
      </c>
      <c r="E25" s="60"/>
      <c r="F25" s="60"/>
      <c r="G25" s="60"/>
      <c r="H25" s="60"/>
      <c r="I25" s="138"/>
      <c r="J25" s="130" t="s">
        <v>55</v>
      </c>
      <c r="K25" s="131">
        <v>100.0</v>
      </c>
      <c r="L25" s="132">
        <v>100.0</v>
      </c>
      <c r="M25" s="133">
        <f t="shared" si="5"/>
        <v>10000</v>
      </c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60"/>
      <c r="B26" s="145">
        <v>60000.0</v>
      </c>
      <c r="C26" s="146" t="s">
        <v>115</v>
      </c>
      <c r="D26" s="146" t="s">
        <v>111</v>
      </c>
      <c r="E26" s="60"/>
      <c r="F26" s="60"/>
      <c r="G26" s="60"/>
      <c r="H26" s="60"/>
      <c r="I26" s="124" t="s">
        <v>97</v>
      </c>
      <c r="J26" s="134" t="s">
        <v>56</v>
      </c>
      <c r="K26" s="135">
        <v>100.0</v>
      </c>
      <c r="L26" s="147">
        <v>100.0</v>
      </c>
      <c r="M26" s="137">
        <f t="shared" si="5"/>
        <v>10000</v>
      </c>
      <c r="N26" s="123">
        <v>59796.00000000001</v>
      </c>
      <c r="O26" s="60" t="s">
        <v>57</v>
      </c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145">
        <v>12100.0</v>
      </c>
      <c r="C27" s="18" t="s">
        <v>30</v>
      </c>
      <c r="D27" s="18" t="s">
        <v>113</v>
      </c>
      <c r="E27" s="60"/>
      <c r="F27" s="60"/>
      <c r="G27" s="60"/>
      <c r="H27" s="60"/>
      <c r="I27" s="138"/>
      <c r="J27" s="60"/>
      <c r="K27" s="60"/>
      <c r="L27" s="125" t="s">
        <v>98</v>
      </c>
      <c r="M27" s="139">
        <f>SUM(M20:M26)</f>
        <v>100000</v>
      </c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60"/>
      <c r="B28" s="145">
        <v>5000.0</v>
      </c>
      <c r="C28" s="18" t="s">
        <v>116</v>
      </c>
      <c r="D28" s="18" t="s">
        <v>111</v>
      </c>
      <c r="E28" s="60"/>
      <c r="F28" s="60"/>
      <c r="G28" s="60"/>
      <c r="H28" s="60"/>
      <c r="I28" s="60"/>
      <c r="J28" s="60"/>
      <c r="K28" s="60"/>
      <c r="L28" s="134" t="s">
        <v>99</v>
      </c>
      <c r="M28" s="137">
        <v>65000.0</v>
      </c>
      <c r="N28" s="60" t="s">
        <v>100</v>
      </c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145">
        <v>2000.0</v>
      </c>
      <c r="C29" s="18" t="s">
        <v>117</v>
      </c>
      <c r="D29" s="18" t="s">
        <v>118</v>
      </c>
      <c r="E29" s="60"/>
      <c r="F29" s="60"/>
      <c r="G29" s="60"/>
      <c r="H29" s="60"/>
      <c r="I29" s="60"/>
      <c r="J29" s="60"/>
      <c r="K29" s="60"/>
      <c r="L29" s="140" t="s">
        <v>101</v>
      </c>
      <c r="M29" s="141">
        <v>223001.0</v>
      </c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148">
        <f>SUM(B21:B29)</f>
        <v>89600</v>
      </c>
      <c r="C30" s="56" t="s">
        <v>119</v>
      </c>
      <c r="E30" s="60"/>
      <c r="F30" s="60"/>
      <c r="G30" s="60"/>
      <c r="H30" s="60"/>
      <c r="I30" s="60"/>
      <c r="J30" s="60"/>
      <c r="K30" s="60"/>
      <c r="L30" s="60" t="s">
        <v>78</v>
      </c>
      <c r="M30" s="123">
        <v>200800.0</v>
      </c>
      <c r="N30" s="60" t="s">
        <v>75</v>
      </c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C31" s="18" t="s">
        <v>120</v>
      </c>
      <c r="E31" s="60"/>
      <c r="F31" s="60"/>
      <c r="G31" s="60"/>
      <c r="H31" s="60"/>
      <c r="I31" s="60"/>
      <c r="J31" s="60"/>
      <c r="K31" s="60"/>
      <c r="L31" s="142" t="s">
        <v>103</v>
      </c>
      <c r="M31" s="143">
        <v>22201.0</v>
      </c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86"/>
    <col customWidth="1" min="3" max="3" width="18.43"/>
    <col customWidth="1" min="4" max="5" width="8.86"/>
    <col customWidth="1" min="6" max="6" width="2.14"/>
    <col customWidth="1" min="7" max="7" width="15.14"/>
    <col customWidth="1" min="8" max="8" width="8.86"/>
    <col customWidth="1" min="9" max="9" width="18.43"/>
    <col customWidth="1" min="10" max="26" width="8.86"/>
  </cols>
  <sheetData>
    <row r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149" t="s">
        <v>121</v>
      </c>
      <c r="B2" s="150"/>
      <c r="C2" s="150"/>
      <c r="D2" s="151"/>
      <c r="E2" s="151"/>
      <c r="F2" s="152"/>
      <c r="G2" s="149" t="s">
        <v>122</v>
      </c>
      <c r="H2" s="150"/>
      <c r="I2" s="150"/>
      <c r="J2" s="151"/>
      <c r="K2" s="151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153"/>
      <c r="B3" s="154" t="s">
        <v>123</v>
      </c>
      <c r="C3" s="154"/>
      <c r="D3" s="154"/>
      <c r="E3" s="154"/>
      <c r="F3" s="155"/>
      <c r="G3" s="153"/>
      <c r="H3" s="156" t="s">
        <v>123</v>
      </c>
      <c r="I3" s="156"/>
      <c r="J3" s="156"/>
      <c r="K3" s="156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130"/>
      <c r="B4" s="132" t="s">
        <v>124</v>
      </c>
      <c r="C4" s="132"/>
      <c r="D4" s="132" t="s">
        <v>125</v>
      </c>
      <c r="E4" s="132"/>
      <c r="F4" s="157"/>
      <c r="G4" s="130"/>
      <c r="H4" s="132" t="s">
        <v>124</v>
      </c>
      <c r="I4" s="132"/>
      <c r="J4" s="132" t="s">
        <v>125</v>
      </c>
      <c r="K4" s="132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130" t="s">
        <v>126</v>
      </c>
      <c r="B5" s="158"/>
      <c r="C5" s="158"/>
      <c r="D5" s="158">
        <v>300.0</v>
      </c>
      <c r="E5" s="158"/>
      <c r="F5" s="159"/>
      <c r="G5" s="130" t="s">
        <v>127</v>
      </c>
      <c r="H5" s="158">
        <v>200.0</v>
      </c>
      <c r="I5" s="158"/>
      <c r="J5" s="158">
        <v>118.0</v>
      </c>
      <c r="K5" s="158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130"/>
      <c r="B6" s="158"/>
      <c r="C6" s="158"/>
      <c r="D6" s="158"/>
      <c r="E6" s="158"/>
      <c r="F6" s="159"/>
      <c r="G6" s="130" t="s">
        <v>128</v>
      </c>
      <c r="H6" s="158">
        <v>200.0</v>
      </c>
      <c r="I6" s="158"/>
      <c r="J6" s="158">
        <v>65.0</v>
      </c>
      <c r="K6" s="158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130" t="s">
        <v>129</v>
      </c>
      <c r="B7" s="158"/>
      <c r="C7" s="158"/>
      <c r="D7" s="158">
        <v>10.0</v>
      </c>
      <c r="E7" s="158"/>
      <c r="F7" s="159"/>
      <c r="G7" s="130" t="s">
        <v>129</v>
      </c>
      <c r="H7" s="158">
        <v>0.0</v>
      </c>
      <c r="I7" s="158"/>
      <c r="J7" s="158">
        <v>0.0</v>
      </c>
      <c r="K7" s="158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130" t="s">
        <v>130</v>
      </c>
      <c r="B8" s="158"/>
      <c r="C8" s="158"/>
      <c r="D8" s="158">
        <v>21.0</v>
      </c>
      <c r="E8" s="158"/>
      <c r="F8" s="159"/>
      <c r="G8" s="130" t="s">
        <v>130</v>
      </c>
      <c r="H8" s="158">
        <v>0.0</v>
      </c>
      <c r="I8" s="158"/>
      <c r="J8" s="158">
        <v>0.0</v>
      </c>
      <c r="K8" s="158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149" t="s">
        <v>131</v>
      </c>
      <c r="B10" s="150"/>
      <c r="C10" s="150"/>
      <c r="D10" s="151"/>
      <c r="E10" s="127"/>
      <c r="F10" s="127"/>
      <c r="G10" s="127"/>
      <c r="H10" s="127"/>
      <c r="I10" s="127"/>
      <c r="J10" s="127"/>
      <c r="K10" s="127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153"/>
      <c r="B11" s="160" t="s">
        <v>123</v>
      </c>
      <c r="C11" s="160"/>
      <c r="D11" s="160"/>
      <c r="E11" s="160"/>
      <c r="F11" s="161"/>
      <c r="G11" s="162" t="s">
        <v>132</v>
      </c>
      <c r="H11" s="162"/>
      <c r="I11" s="162"/>
      <c r="J11" s="162"/>
      <c r="K11" s="162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130"/>
      <c r="B12" s="132" t="s">
        <v>124</v>
      </c>
      <c r="C12" s="132" t="s">
        <v>133</v>
      </c>
      <c r="D12" s="132" t="s">
        <v>125</v>
      </c>
      <c r="E12" s="132" t="s">
        <v>134</v>
      </c>
      <c r="F12" s="132"/>
      <c r="G12" s="132"/>
      <c r="H12" s="132" t="s">
        <v>124</v>
      </c>
      <c r="I12" s="132" t="s">
        <v>133</v>
      </c>
      <c r="J12" s="132" t="s">
        <v>125</v>
      </c>
      <c r="K12" s="132" t="s">
        <v>134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130" t="s">
        <v>127</v>
      </c>
      <c r="B13" s="158">
        <v>100.0</v>
      </c>
      <c r="C13" s="158">
        <v>80.0</v>
      </c>
      <c r="D13" s="158">
        <v>98.0</v>
      </c>
      <c r="E13" s="158"/>
      <c r="F13" s="159"/>
      <c r="G13" s="130" t="s">
        <v>127</v>
      </c>
      <c r="H13" s="131">
        <v>82.0</v>
      </c>
      <c r="I13" s="158">
        <v>100.0</v>
      </c>
      <c r="J13" s="158">
        <v>132.0</v>
      </c>
      <c r="K13" s="158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130" t="s">
        <v>128</v>
      </c>
      <c r="B14" s="158">
        <v>100.0</v>
      </c>
      <c r="C14" s="158">
        <v>0.0</v>
      </c>
      <c r="D14" s="158">
        <v>52.0</v>
      </c>
      <c r="E14" s="158"/>
      <c r="F14" s="159"/>
      <c r="G14" s="130" t="s">
        <v>128</v>
      </c>
      <c r="H14" s="131">
        <v>48.0</v>
      </c>
      <c r="I14" s="158"/>
      <c r="J14" s="158"/>
      <c r="K14" s="158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130" t="s">
        <v>129</v>
      </c>
      <c r="B15" s="158">
        <v>257.0</v>
      </c>
      <c r="C15" s="158">
        <v>120.0</v>
      </c>
      <c r="D15" s="158">
        <v>132.0</v>
      </c>
      <c r="E15" s="158">
        <v>10.0</v>
      </c>
      <c r="F15" s="159"/>
      <c r="G15" s="130" t="s">
        <v>129</v>
      </c>
      <c r="H15" s="131">
        <v>245.0</v>
      </c>
      <c r="I15" s="158">
        <v>108.0</v>
      </c>
      <c r="J15" s="158">
        <v>226.0</v>
      </c>
      <c r="K15" s="158">
        <v>13.0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130" t="s">
        <v>130</v>
      </c>
      <c r="B16" s="158">
        <v>180.0</v>
      </c>
      <c r="C16" s="158">
        <v>120.0</v>
      </c>
      <c r="D16" s="158">
        <v>69.0</v>
      </c>
      <c r="E16" s="158"/>
      <c r="F16" s="159"/>
      <c r="G16" s="130" t="s">
        <v>130</v>
      </c>
      <c r="H16" s="131">
        <v>231.0</v>
      </c>
      <c r="I16" s="158"/>
      <c r="J16" s="158"/>
      <c r="K16" s="158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/>
  <pageMargins bottom="0.787401575" footer="0.0" header="0.0" left="0.7" right="0.7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2010-06-08T11:48:43Z</dcterms:created>
  <dc:creator>SCE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