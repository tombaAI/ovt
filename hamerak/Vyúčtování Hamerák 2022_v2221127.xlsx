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stegroup-my.sharepoint.com/personal/tbauer_ext_csas_cz/Documents/Dokumenty/_TB_osobni_2022/ovt/hamerak_2022/"/>
    </mc:Choice>
  </mc:AlternateContent>
  <xr:revisionPtr revIDLastSave="31" documentId="13_ncr:1_{A440EEEE-8DFA-4D60-BBD2-23B40AF42451}" xr6:coauthVersionLast="47" xr6:coauthVersionMax="47" xr10:uidLastSave="{ACB45997-6940-438E-BB03-0504400314FF}"/>
  <bookViews>
    <workbookView xWindow="28680" yWindow="-120" windowWidth="29040" windowHeight="15840" tabRatio="701" activeTab="5" xr2:uid="{00000000-000D-0000-FFFF-FFFF00000000}"/>
  </bookViews>
  <sheets>
    <sheet name="Příjmy old" sheetId="1" r:id="rId1"/>
    <sheet name="Výdaje old" sheetId="2" r:id="rId2"/>
    <sheet name="Přehled tabulky" sheetId="5" r:id="rId3"/>
    <sheet name="Přehled ZZ" sheetId="3" r:id="rId4"/>
    <sheet name="Přehled" sheetId="8" r:id="rId5"/>
    <sheet name="Výdaje účet" sheetId="10" r:id="rId6"/>
    <sheet name="Výdaje hotově" sheetId="9" r:id="rId7"/>
    <sheet name="Výdaje dotace" sheetId="11" r:id="rId8"/>
    <sheet name="Dotace_formát_smlouva" sheetId="12" r:id="rId9"/>
    <sheet name="Pokladny" sheetId="6" r:id="rId10"/>
  </sheets>
  <definedNames>
    <definedName name="_xlnm._FilterDatabase" localSheetId="8" hidden="1">Dotace_formát_smlouva!$A$1:$R$19</definedName>
    <definedName name="_xlnm._FilterDatabase" localSheetId="7" hidden="1">'Výdaje dotace'!$A$1:$Q$8</definedName>
    <definedName name="_xlnm._FilterDatabase" localSheetId="6" hidden="1">'Výdaje hotově'!$A$1:$Q$9</definedName>
    <definedName name="_xlnm._FilterDatabase" localSheetId="1" hidden="1">'Výdaje old'!$A$1:$P$51</definedName>
    <definedName name="_xlnm._FilterDatabase" localSheetId="5" hidden="1">'Výdaje účet'!$A$1:$Q$107</definedName>
  </definedNames>
  <calcPr calcId="191029"/>
  <pivotCaches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8" l="1"/>
  <c r="C31" i="8"/>
  <c r="C30" i="8"/>
  <c r="C29" i="8"/>
  <c r="I17" i="9"/>
  <c r="I24" i="10" l="1"/>
  <c r="C28" i="8" l="1"/>
  <c r="I11" i="9"/>
  <c r="J26" i="12"/>
  <c r="J27" i="12" s="1"/>
  <c r="I26" i="11"/>
  <c r="I27" i="11" s="1"/>
  <c r="I38" i="10" l="1"/>
  <c r="I54" i="10" l="1"/>
  <c r="M5" i="8"/>
  <c r="C23" i="8" s="1"/>
  <c r="I6" i="8"/>
  <c r="N102" i="10"/>
  <c r="I73" i="10"/>
  <c r="N62" i="10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5" i="10" s="1"/>
  <c r="E105" i="10" l="1"/>
  <c r="N11" i="8"/>
  <c r="C33" i="8"/>
  <c r="N12" i="8" s="1"/>
  <c r="I23" i="8"/>
  <c r="D12" i="8"/>
  <c r="D11" i="8"/>
  <c r="P116" i="6"/>
  <c r="C124" i="6"/>
  <c r="C123" i="6"/>
  <c r="C122" i="6"/>
  <c r="C121" i="6"/>
  <c r="C120" i="6"/>
  <c r="C119" i="6"/>
  <c r="C118" i="6"/>
  <c r="C117" i="6"/>
  <c r="C116" i="6"/>
  <c r="C106" i="6"/>
  <c r="C105" i="6"/>
  <c r="C104" i="6"/>
  <c r="C103" i="6"/>
  <c r="C102" i="6"/>
  <c r="C101" i="6"/>
  <c r="C100" i="6"/>
  <c r="C99" i="6"/>
  <c r="C98" i="6"/>
  <c r="C89" i="6"/>
  <c r="C88" i="6"/>
  <c r="C87" i="6"/>
  <c r="C86" i="6"/>
  <c r="C85" i="6"/>
  <c r="C84" i="6"/>
  <c r="C83" i="6"/>
  <c r="C82" i="6"/>
  <c r="C81" i="6"/>
  <c r="C80" i="6"/>
  <c r="C70" i="6"/>
  <c r="C69" i="6"/>
  <c r="C68" i="6"/>
  <c r="C67" i="6"/>
  <c r="C66" i="6"/>
  <c r="C65" i="6"/>
  <c r="C64" i="6"/>
  <c r="C63" i="6"/>
  <c r="C62" i="6"/>
  <c r="C52" i="6"/>
  <c r="C51" i="6"/>
  <c r="C50" i="6"/>
  <c r="C49" i="6"/>
  <c r="C48" i="6"/>
  <c r="C47" i="6"/>
  <c r="C46" i="6"/>
  <c r="C45" i="6"/>
  <c r="C44" i="6"/>
  <c r="C34" i="6"/>
  <c r="C33" i="6"/>
  <c r="C32" i="6"/>
  <c r="C31" i="6"/>
  <c r="C30" i="6"/>
  <c r="C29" i="6"/>
  <c r="C28" i="6"/>
  <c r="C27" i="6"/>
  <c r="C26" i="6"/>
  <c r="C9" i="6"/>
  <c r="C10" i="6"/>
  <c r="C11" i="6"/>
  <c r="C12" i="6"/>
  <c r="C13" i="6"/>
  <c r="C14" i="6"/>
  <c r="C15" i="6"/>
  <c r="C16" i="6"/>
  <c r="C8" i="6"/>
  <c r="I2" i="8"/>
  <c r="H126" i="6"/>
  <c r="I126" i="6" s="1"/>
  <c r="H125" i="6"/>
  <c r="I125" i="6" s="1"/>
  <c r="H124" i="6"/>
  <c r="X124" i="6" s="1"/>
  <c r="H123" i="6"/>
  <c r="W123" i="6" s="1"/>
  <c r="H122" i="6"/>
  <c r="V122" i="6" s="1"/>
  <c r="H121" i="6"/>
  <c r="U121" i="6" s="1"/>
  <c r="H120" i="6"/>
  <c r="T120" i="6" s="1"/>
  <c r="H119" i="6"/>
  <c r="S119" i="6" s="1"/>
  <c r="H118" i="6"/>
  <c r="R118" i="6" s="1"/>
  <c r="H116" i="6"/>
  <c r="H117" i="6" s="1"/>
  <c r="Q117" i="6" s="1"/>
  <c r="H115" i="6"/>
  <c r="I115" i="6" s="1"/>
  <c r="N115" i="6" s="1"/>
  <c r="H108" i="6"/>
  <c r="I108" i="6" s="1"/>
  <c r="H107" i="6"/>
  <c r="I107" i="6" s="1"/>
  <c r="H106" i="6"/>
  <c r="X106" i="6" s="1"/>
  <c r="H105" i="6"/>
  <c r="W105" i="6" s="1"/>
  <c r="H104" i="6"/>
  <c r="V104" i="6" s="1"/>
  <c r="H103" i="6"/>
  <c r="U103" i="6" s="1"/>
  <c r="H102" i="6"/>
  <c r="T102" i="6" s="1"/>
  <c r="H101" i="6"/>
  <c r="S101" i="6" s="1"/>
  <c r="H100" i="6"/>
  <c r="R100" i="6" s="1"/>
  <c r="H98" i="6"/>
  <c r="H99" i="6" s="1"/>
  <c r="H97" i="6"/>
  <c r="I97" i="6" s="1"/>
  <c r="N97" i="6" s="1"/>
  <c r="G61" i="6"/>
  <c r="H61" i="6" s="1"/>
  <c r="I61" i="6" s="1"/>
  <c r="N61" i="6" s="1"/>
  <c r="G25" i="6"/>
  <c r="H25" i="6" s="1"/>
  <c r="I25" i="6" s="1"/>
  <c r="N25" i="6" s="1"/>
  <c r="H90" i="6"/>
  <c r="I90" i="6" s="1"/>
  <c r="H89" i="6"/>
  <c r="X89" i="6" s="1"/>
  <c r="H88" i="6"/>
  <c r="W88" i="6" s="1"/>
  <c r="H87" i="6"/>
  <c r="W87" i="6" s="1"/>
  <c r="H86" i="6"/>
  <c r="V86" i="6" s="1"/>
  <c r="H85" i="6"/>
  <c r="I85" i="6" s="1"/>
  <c r="L85" i="6" s="1"/>
  <c r="H84" i="6"/>
  <c r="T84" i="6" s="1"/>
  <c r="H83" i="6"/>
  <c r="S83" i="6" s="1"/>
  <c r="H82" i="6"/>
  <c r="R82" i="6" s="1"/>
  <c r="H80" i="6"/>
  <c r="H81" i="6" s="1"/>
  <c r="Q81" i="6" s="1"/>
  <c r="H79" i="6"/>
  <c r="I79" i="6" s="1"/>
  <c r="N79" i="6" s="1"/>
  <c r="H72" i="6"/>
  <c r="I72" i="6" s="1"/>
  <c r="H71" i="6"/>
  <c r="I71" i="6" s="1"/>
  <c r="H70" i="6"/>
  <c r="X70" i="6" s="1"/>
  <c r="H69" i="6"/>
  <c r="I69" i="6" s="1"/>
  <c r="M69" i="6" s="1"/>
  <c r="H68" i="6"/>
  <c r="V68" i="6" s="1"/>
  <c r="H67" i="6"/>
  <c r="U67" i="6" s="1"/>
  <c r="H66" i="6"/>
  <c r="T66" i="6" s="1"/>
  <c r="H65" i="6"/>
  <c r="S65" i="6" s="1"/>
  <c r="H64" i="6"/>
  <c r="R64" i="6" s="1"/>
  <c r="H62" i="6"/>
  <c r="H63" i="6" s="1"/>
  <c r="Q63" i="6" s="1"/>
  <c r="H54" i="6"/>
  <c r="I54" i="6" s="1"/>
  <c r="H53" i="6"/>
  <c r="I53" i="6" s="1"/>
  <c r="H52" i="6"/>
  <c r="X52" i="6" s="1"/>
  <c r="H51" i="6"/>
  <c r="W51" i="6" s="1"/>
  <c r="H50" i="6"/>
  <c r="V50" i="6" s="1"/>
  <c r="H49" i="6"/>
  <c r="U49" i="6" s="1"/>
  <c r="H48" i="6"/>
  <c r="T48" i="6" s="1"/>
  <c r="H47" i="6"/>
  <c r="S47" i="6" s="1"/>
  <c r="H46" i="6"/>
  <c r="R46" i="6" s="1"/>
  <c r="H44" i="6"/>
  <c r="H45" i="6" s="1"/>
  <c r="Q45" i="6" s="1"/>
  <c r="H43" i="6"/>
  <c r="I43" i="6" s="1"/>
  <c r="N43" i="6" s="1"/>
  <c r="H36" i="6"/>
  <c r="I36" i="6" s="1"/>
  <c r="H35" i="6"/>
  <c r="I35" i="6" s="1"/>
  <c r="H34" i="6"/>
  <c r="X34" i="6" s="1"/>
  <c r="H33" i="6"/>
  <c r="W33" i="6" s="1"/>
  <c r="H32" i="6"/>
  <c r="V32" i="6" s="1"/>
  <c r="H31" i="6"/>
  <c r="U31" i="6" s="1"/>
  <c r="H30" i="6"/>
  <c r="T30" i="6" s="1"/>
  <c r="H29" i="6"/>
  <c r="S29" i="6" s="1"/>
  <c r="H28" i="6"/>
  <c r="R28" i="6" s="1"/>
  <c r="H26" i="6"/>
  <c r="H27" i="6" s="1"/>
  <c r="I27" i="6" s="1"/>
  <c r="K27" i="6" s="1"/>
  <c r="H11" i="6"/>
  <c r="S11" i="6" s="1"/>
  <c r="H12" i="6"/>
  <c r="T12" i="6" s="1"/>
  <c r="H13" i="6"/>
  <c r="U13" i="6" s="1"/>
  <c r="H14" i="6"/>
  <c r="V14" i="6" s="1"/>
  <c r="H15" i="6"/>
  <c r="W15" i="6" s="1"/>
  <c r="H16" i="6"/>
  <c r="X16" i="6" s="1"/>
  <c r="H17" i="6"/>
  <c r="I17" i="6" s="1"/>
  <c r="H18" i="6"/>
  <c r="I18" i="6" s="1"/>
  <c r="H8" i="6"/>
  <c r="H9" i="6" s="1"/>
  <c r="Q9" i="6" s="1"/>
  <c r="H10" i="6"/>
  <c r="R10" i="6" s="1"/>
  <c r="H7" i="6"/>
  <c r="I7" i="6" s="1"/>
  <c r="N7" i="6" s="1"/>
  <c r="I67" i="6" l="1"/>
  <c r="L67" i="6" s="1"/>
  <c r="I99" i="6"/>
  <c r="K99" i="6" s="1"/>
  <c r="Q27" i="6"/>
  <c r="V2" i="6"/>
  <c r="C9" i="8" s="1"/>
  <c r="D9" i="8" s="1"/>
  <c r="I123" i="6"/>
  <c r="M123" i="6" s="1"/>
  <c r="N2" i="6"/>
  <c r="I3" i="8" s="1"/>
  <c r="X2" i="6"/>
  <c r="C13" i="8" s="1"/>
  <c r="D13" i="8" s="1"/>
  <c r="P44" i="6"/>
  <c r="W69" i="6"/>
  <c r="W2" i="6" s="1"/>
  <c r="C10" i="8" s="1"/>
  <c r="D10" i="8" s="1"/>
  <c r="U85" i="6"/>
  <c r="P62" i="6"/>
  <c r="P8" i="6"/>
  <c r="P80" i="6"/>
  <c r="I65" i="6"/>
  <c r="K65" i="6" s="1"/>
  <c r="P98" i="6"/>
  <c r="I83" i="6"/>
  <c r="K83" i="6" s="1"/>
  <c r="P26" i="6"/>
  <c r="Q99" i="6"/>
  <c r="Q2" i="6" s="1"/>
  <c r="C4" i="8" s="1"/>
  <c r="D4" i="8" s="1"/>
  <c r="I81" i="6"/>
  <c r="K81" i="6" s="1"/>
  <c r="U2" i="6"/>
  <c r="C8" i="8" s="1"/>
  <c r="D8" i="8" s="1"/>
  <c r="T2" i="6"/>
  <c r="C7" i="8" s="1"/>
  <c r="D7" i="8" s="1"/>
  <c r="C21" i="8" s="1"/>
  <c r="I21" i="8" s="1"/>
  <c r="I7" i="8"/>
  <c r="R2" i="6"/>
  <c r="C5" i="8" s="1"/>
  <c r="D5" i="8" s="1"/>
  <c r="S2" i="6"/>
  <c r="C6" i="8" s="1"/>
  <c r="D6" i="8" s="1"/>
  <c r="I63" i="6"/>
  <c r="K63" i="6" s="1"/>
  <c r="I45" i="6"/>
  <c r="K45" i="6" s="1"/>
  <c r="I117" i="6"/>
  <c r="K117" i="6" s="1"/>
  <c r="I121" i="6"/>
  <c r="L121" i="6" s="1"/>
  <c r="I102" i="6"/>
  <c r="L102" i="6" s="1"/>
  <c r="I106" i="6"/>
  <c r="M106" i="6" s="1"/>
  <c r="I118" i="6"/>
  <c r="K118" i="6" s="1"/>
  <c r="I122" i="6"/>
  <c r="L122" i="6" s="1"/>
  <c r="I103" i="6"/>
  <c r="L103" i="6" s="1"/>
  <c r="I119" i="6"/>
  <c r="K119" i="6" s="1"/>
  <c r="I100" i="6"/>
  <c r="K100" i="6" s="1"/>
  <c r="I104" i="6"/>
  <c r="L104" i="6" s="1"/>
  <c r="I120" i="6"/>
  <c r="L120" i="6" s="1"/>
  <c r="I124" i="6"/>
  <c r="M124" i="6" s="1"/>
  <c r="I101" i="6"/>
  <c r="K101" i="6" s="1"/>
  <c r="I105" i="6"/>
  <c r="M105" i="6" s="1"/>
  <c r="I89" i="6"/>
  <c r="M89" i="6" s="1"/>
  <c r="I116" i="6"/>
  <c r="J116" i="6" s="1"/>
  <c r="I98" i="6"/>
  <c r="J98" i="6" s="1"/>
  <c r="I87" i="6"/>
  <c r="M87" i="6" s="1"/>
  <c r="I8" i="6"/>
  <c r="J8" i="6" s="1"/>
  <c r="I13" i="6"/>
  <c r="L13" i="6" s="1"/>
  <c r="I15" i="6"/>
  <c r="M15" i="6" s="1"/>
  <c r="I11" i="6"/>
  <c r="K11" i="6" s="1"/>
  <c r="I30" i="6"/>
  <c r="L30" i="6" s="1"/>
  <c r="I34" i="6"/>
  <c r="M34" i="6" s="1"/>
  <c r="I46" i="6"/>
  <c r="K46" i="6" s="1"/>
  <c r="I50" i="6"/>
  <c r="L50" i="6" s="1"/>
  <c r="I66" i="6"/>
  <c r="L66" i="6" s="1"/>
  <c r="I70" i="6"/>
  <c r="M70" i="6" s="1"/>
  <c r="I82" i="6"/>
  <c r="K82" i="6" s="1"/>
  <c r="I86" i="6"/>
  <c r="L86" i="6" s="1"/>
  <c r="I14" i="6"/>
  <c r="L14" i="6" s="1"/>
  <c r="I31" i="6"/>
  <c r="L31" i="6" s="1"/>
  <c r="I47" i="6"/>
  <c r="K47" i="6" s="1"/>
  <c r="I51" i="6"/>
  <c r="M51" i="6" s="1"/>
  <c r="I12" i="6"/>
  <c r="L12" i="6" s="1"/>
  <c r="I28" i="6"/>
  <c r="K28" i="6" s="1"/>
  <c r="I32" i="6"/>
  <c r="L32" i="6" s="1"/>
  <c r="I48" i="6"/>
  <c r="L48" i="6" s="1"/>
  <c r="I52" i="6"/>
  <c r="M52" i="6" s="1"/>
  <c r="I64" i="6"/>
  <c r="K64" i="6" s="1"/>
  <c r="I68" i="6"/>
  <c r="L68" i="6" s="1"/>
  <c r="I84" i="6"/>
  <c r="L84" i="6" s="1"/>
  <c r="I88" i="6"/>
  <c r="M88" i="6" s="1"/>
  <c r="I10" i="6"/>
  <c r="K10" i="6" s="1"/>
  <c r="I29" i="6"/>
  <c r="K29" i="6" s="1"/>
  <c r="I33" i="6"/>
  <c r="M33" i="6" s="1"/>
  <c r="I49" i="6"/>
  <c r="L49" i="6" s="1"/>
  <c r="I80" i="6"/>
  <c r="J80" i="6" s="1"/>
  <c r="I62" i="6"/>
  <c r="J62" i="6" s="1"/>
  <c r="I44" i="6"/>
  <c r="J44" i="6" s="1"/>
  <c r="I26" i="6"/>
  <c r="J26" i="6" s="1"/>
  <c r="I16" i="6"/>
  <c r="M16" i="6" s="1"/>
  <c r="I9" i="6"/>
  <c r="M26" i="1"/>
  <c r="M24" i="1"/>
  <c r="C20" i="8" l="1"/>
  <c r="I20" i="8" s="1"/>
  <c r="C22" i="8"/>
  <c r="I22" i="8" s="1"/>
  <c r="P2" i="6"/>
  <c r="C3" i="8" s="1"/>
  <c r="D3" i="8" s="1"/>
  <c r="I127" i="6"/>
  <c r="O127" i="6" s="1"/>
  <c r="I109" i="6"/>
  <c r="O109" i="6" s="1"/>
  <c r="J2" i="6"/>
  <c r="L2" i="6"/>
  <c r="M2" i="6"/>
  <c r="I91" i="6"/>
  <c r="O91" i="6" s="1"/>
  <c r="I73" i="6"/>
  <c r="O73" i="6" s="1"/>
  <c r="I55" i="6"/>
  <c r="O55" i="6" s="1"/>
  <c r="I37" i="6"/>
  <c r="O37" i="6" s="1"/>
  <c r="I19" i="6"/>
  <c r="O19" i="6" s="1"/>
  <c r="K9" i="6"/>
  <c r="K2" i="6" s="1"/>
  <c r="G23" i="1"/>
  <c r="T14" i="1"/>
  <c r="R14" i="1"/>
  <c r="R13" i="1"/>
  <c r="T13" i="1" s="1"/>
  <c r="R16" i="1"/>
  <c r="T16" i="1" s="1"/>
  <c r="R15" i="1"/>
  <c r="T15" i="1" s="1"/>
  <c r="N12" i="1"/>
  <c r="D15" i="1"/>
  <c r="H2" i="1"/>
  <c r="H17" i="2"/>
  <c r="D49" i="2" s="1"/>
  <c r="H3" i="1" l="1"/>
  <c r="C19" i="8"/>
  <c r="D16" i="8"/>
  <c r="O2" i="6"/>
  <c r="I5" i="8" s="1"/>
  <c r="I2" i="6"/>
  <c r="I4" i="8" s="1"/>
  <c r="T17" i="1"/>
  <c r="U17" i="1" s="1"/>
  <c r="U18" i="1" s="1"/>
  <c r="L25" i="1"/>
  <c r="L24" i="1"/>
  <c r="H46" i="1" s="1"/>
  <c r="N46" i="1" s="1"/>
  <c r="L27" i="1"/>
  <c r="F26" i="1"/>
  <c r="F25" i="1"/>
  <c r="F24" i="1"/>
  <c r="F16" i="1"/>
  <c r="F15" i="1"/>
  <c r="F13" i="1"/>
  <c r="H45" i="1" s="1"/>
  <c r="N45" i="1" s="1"/>
  <c r="E17" i="1"/>
  <c r="M46" i="2"/>
  <c r="B42" i="1"/>
  <c r="H48" i="1"/>
  <c r="N48" i="1" s="1"/>
  <c r="D47" i="1"/>
  <c r="D46" i="1"/>
  <c r="B48" i="1"/>
  <c r="B45" i="1"/>
  <c r="K15" i="1"/>
  <c r="M15" i="1" s="1"/>
  <c r="K16" i="1"/>
  <c r="M16" i="1" s="1"/>
  <c r="M13" i="1"/>
  <c r="M14" i="1"/>
  <c r="G26" i="1"/>
  <c r="L26" i="1" s="1"/>
  <c r="G27" i="1"/>
  <c r="M27" i="1" s="1"/>
  <c r="G24" i="1"/>
  <c r="G25" i="1"/>
  <c r="M25" i="1" s="1"/>
  <c r="F27" i="1"/>
  <c r="N13" i="8" l="1"/>
  <c r="I8" i="8"/>
  <c r="H47" i="1"/>
  <c r="N47" i="1" s="1"/>
  <c r="I19" i="8"/>
  <c r="C24" i="8"/>
  <c r="I24" i="8" s="1"/>
  <c r="K28" i="1"/>
  <c r="H4" i="1"/>
  <c r="H5" i="1" s="1"/>
  <c r="M2" i="2" s="1"/>
  <c r="B46" i="1"/>
  <c r="F28" i="1"/>
  <c r="D48" i="1"/>
  <c r="B47" i="1"/>
  <c r="M17" i="1"/>
  <c r="F17" i="1"/>
  <c r="G28" i="1" l="1"/>
  <c r="G29" i="1" s="1"/>
  <c r="N17" i="1"/>
  <c r="N18" i="1" s="1"/>
  <c r="G17" i="1"/>
  <c r="G18" i="1" s="1"/>
  <c r="L28" i="1"/>
  <c r="M28" i="1" s="1"/>
  <c r="H49" i="1"/>
  <c r="E106" i="10" l="1"/>
  <c r="E111" i="10" s="1"/>
  <c r="E112" i="10" s="1"/>
  <c r="E107" i="10"/>
  <c r="N49" i="1"/>
  <c r="M29" i="1"/>
  <c r="D51" i="2"/>
  <c r="D50" i="2"/>
  <c r="D55" i="2" s="1"/>
  <c r="D56" i="2" s="1"/>
  <c r="B3" i="3"/>
  <c r="B2" i="3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Bauer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Kolik peněz vezu na Hamerák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víkendové:
7 Bohemka
3 výměna</t>
        </r>
      </text>
    </comment>
    <comment ref="K26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Bohemka 8
Výměna 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Bauer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Kolik peněz vezu na Hamerák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Bauer</author>
  </authors>
  <commentList>
    <comment ref="H6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Typicky plus peníze, mínus ceniny</t>
        </r>
      </text>
    </comment>
    <comment ref="H9" authorId="0" shapeId="0" xr:uid="{00000000-0006-0000-0900-000002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na víkend se vydává i k číslům, je tedy potřeba čísla odečíst</t>
        </r>
      </text>
    </comment>
    <comment ref="H24" authorId="0" shapeId="0" xr:uid="{00000000-0006-0000-0900-000003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Typicky plus peníze, mínus ceniny</t>
        </r>
      </text>
    </comment>
    <comment ref="H27" authorId="0" shapeId="0" xr:uid="{00000000-0006-0000-0900-000004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na víkend se vydává i k číslům, je tedy potřeba čísla odečíst</t>
        </r>
      </text>
    </comment>
    <comment ref="H42" authorId="0" shapeId="0" xr:uid="{00000000-0006-0000-0900-000005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Typicky plus peníze, mínus ceniny</t>
        </r>
      </text>
    </comment>
    <comment ref="H45" authorId="0" shapeId="0" xr:uid="{00000000-0006-0000-0900-000006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na víkend se vydává i k číslům, je tedy potřeba čísla odečíst</t>
        </r>
      </text>
    </comment>
    <comment ref="H60" authorId="0" shapeId="0" xr:uid="{00000000-0006-0000-0900-000007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Typicky plus peníze, mínus ceniny</t>
        </r>
      </text>
    </comment>
    <comment ref="H63" authorId="0" shapeId="0" xr:uid="{00000000-0006-0000-0900-000008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na víkend se vydává i k číslům, je tedy potřeba čísla odečíst</t>
        </r>
      </text>
    </comment>
    <comment ref="H78" authorId="0" shapeId="0" xr:uid="{00000000-0006-0000-0900-000009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Typicky plus peníze, mínus ceniny</t>
        </r>
      </text>
    </comment>
    <comment ref="H81" authorId="0" shapeId="0" xr:uid="{00000000-0006-0000-0900-00000A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na víkend se vydává i k číslům, je tedy potřeba čísla odečíst</t>
        </r>
      </text>
    </comment>
    <comment ref="H96" authorId="0" shapeId="0" xr:uid="{00000000-0006-0000-0900-00000B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Typicky plus peníze, mínus ceniny</t>
        </r>
      </text>
    </comment>
    <comment ref="H99" authorId="0" shapeId="0" xr:uid="{00000000-0006-0000-0900-00000C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na víkend se vydává i k číslům, je tedy potřeba čísla odečíst</t>
        </r>
      </text>
    </comment>
    <comment ref="H114" authorId="0" shapeId="0" xr:uid="{00000000-0006-0000-0900-00000D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Typicky plus peníze, mínus ceniny</t>
        </r>
      </text>
    </comment>
    <comment ref="H117" authorId="0" shapeId="0" xr:uid="{00000000-0006-0000-0900-00000E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na víkend se vydává i k číslům, je tedy potřeba čísla odečíst</t>
        </r>
      </text>
    </comment>
  </commentList>
</comments>
</file>

<file path=xl/sharedStrings.xml><?xml version="1.0" encoding="utf-8"?>
<sst xmlns="http://schemas.openxmlformats.org/spreadsheetml/2006/main" count="1830" uniqueCount="360">
  <si>
    <t>Modrá</t>
  </si>
  <si>
    <t>Peníze:</t>
  </si>
  <si>
    <t>Permice sobota:</t>
  </si>
  <si>
    <t>Permice víkend:</t>
  </si>
  <si>
    <t>Splutí sobota:</t>
  </si>
  <si>
    <t>Splutí víkend:</t>
  </si>
  <si>
    <t>Ceny</t>
  </si>
  <si>
    <t>Ceny - nastavení</t>
  </si>
  <si>
    <t>Sobota</t>
  </si>
  <si>
    <t>Neděle</t>
  </si>
  <si>
    <t>Během dne</t>
  </si>
  <si>
    <t>Uzavření</t>
  </si>
  <si>
    <t>Otevření</t>
  </si>
  <si>
    <t>Prodáno</t>
  </si>
  <si>
    <t>Výdělek</t>
  </si>
  <si>
    <t>Součet:</t>
  </si>
  <si>
    <t>Oprávky</t>
  </si>
  <si>
    <t>Rozdíl:</t>
  </si>
  <si>
    <t>Pokladna 2 - permice</t>
  </si>
  <si>
    <t>Závod</t>
  </si>
  <si>
    <t>Pokladna 1 - Závod a splutí</t>
  </si>
  <si>
    <t>Pokladna 3 - Hráz</t>
  </si>
  <si>
    <t>Hotovost</t>
  </si>
  <si>
    <t>Vstupní hotovost</t>
  </si>
  <si>
    <t>Příjem z prodeje</t>
  </si>
  <si>
    <t>Výstupní hotovost z pokladen</t>
  </si>
  <si>
    <t>Celkem hotovost</t>
  </si>
  <si>
    <t>Dotace</t>
  </si>
  <si>
    <t>ČPV Hamerák</t>
  </si>
  <si>
    <t>ČPV Hameráček</t>
  </si>
  <si>
    <t>část do Hradce</t>
  </si>
  <si>
    <t>Dotace &amp; sponzoring</t>
  </si>
  <si>
    <t>Permice víkend</t>
  </si>
  <si>
    <t>Permice sobota</t>
  </si>
  <si>
    <t>Permice neděle</t>
  </si>
  <si>
    <t>Splutí víkend</t>
  </si>
  <si>
    <t>Splutí sobota</t>
  </si>
  <si>
    <t>Splutí neděle</t>
  </si>
  <si>
    <t>Kukabus</t>
  </si>
  <si>
    <t>Prodeje - součty</t>
  </si>
  <si>
    <t>Startovné</t>
  </si>
  <si>
    <t>Permice</t>
  </si>
  <si>
    <t>Splutí</t>
  </si>
  <si>
    <t>Dotace a sponzoring</t>
  </si>
  <si>
    <t>Celkem</t>
  </si>
  <si>
    <t>Bundáš</t>
  </si>
  <si>
    <t>Tomík</t>
  </si>
  <si>
    <t>Osoba</t>
  </si>
  <si>
    <t>Datum</t>
  </si>
  <si>
    <t>Čas</t>
  </si>
  <si>
    <t>Kategorie</t>
  </si>
  <si>
    <t>Účel</t>
  </si>
  <si>
    <t>Doklad</t>
  </si>
  <si>
    <t>Částka</t>
  </si>
  <si>
    <t>Vyplaceno</t>
  </si>
  <si>
    <t>Forma</t>
  </si>
  <si>
    <t>Záloha</t>
  </si>
  <si>
    <t>Místní</t>
  </si>
  <si>
    <t>Ešus</t>
  </si>
  <si>
    <t>Záloha na místní poplatky</t>
  </si>
  <si>
    <t>ne</t>
  </si>
  <si>
    <t>Hotově</t>
  </si>
  <si>
    <t>Ano</t>
  </si>
  <si>
    <t>Ubytování</t>
  </si>
  <si>
    <t>Milan</t>
  </si>
  <si>
    <t>Ubytování v kempu - chatky</t>
  </si>
  <si>
    <t>ano</t>
  </si>
  <si>
    <t>Doprava</t>
  </si>
  <si>
    <t>Amos</t>
  </si>
  <si>
    <t>Igelity do autobusu</t>
  </si>
  <si>
    <t>Vyúčtování zálohy na místní poplatky</t>
  </si>
  <si>
    <t>Boček/Kokta pronájem kolem vstupu</t>
  </si>
  <si>
    <t>Hrázný Fučík</t>
  </si>
  <si>
    <t>Feit - Louka na výstupu Dvoreček</t>
  </si>
  <si>
    <t>Nafta do auta (2x)</t>
  </si>
  <si>
    <t>Zdroj</t>
  </si>
  <si>
    <t>Hamerák</t>
  </si>
  <si>
    <t>Zůstatek</t>
  </si>
  <si>
    <t>Část dotace pro Hradečáky</t>
  </si>
  <si>
    <t>Občerstvení</t>
  </si>
  <si>
    <t>Chleba</t>
  </si>
  <si>
    <t>Pivovar Kamenice</t>
  </si>
  <si>
    <t>Záloha Hrnky</t>
  </si>
  <si>
    <t>Záloha Permice</t>
  </si>
  <si>
    <t>Štěpán</t>
  </si>
  <si>
    <t>Mára</t>
  </si>
  <si>
    <t>Vlak jízdenky</t>
  </si>
  <si>
    <t>J.Kukla</t>
  </si>
  <si>
    <t>Autobusy</t>
  </si>
  <si>
    <t>Poštovné</t>
  </si>
  <si>
    <t>Tričko pro rybáře</t>
  </si>
  <si>
    <t>Převod</t>
  </si>
  <si>
    <t>Air OVT</t>
  </si>
  <si>
    <t>Papírnictví</t>
  </si>
  <si>
    <t>Příprava</t>
  </si>
  <si>
    <t>N/A</t>
  </si>
  <si>
    <t>Nůžkový stan</t>
  </si>
  <si>
    <t>JHMD faktura</t>
  </si>
  <si>
    <t>TJ</t>
  </si>
  <si>
    <t>Rybáři</t>
  </si>
  <si>
    <t>Ne</t>
  </si>
  <si>
    <t>Výdaje - shrnutí</t>
  </si>
  <si>
    <t>Celkové náklady:</t>
  </si>
  <si>
    <t>Zisk:</t>
  </si>
  <si>
    <t>Celkové příjmy:</t>
  </si>
  <si>
    <t>Celkové přehledy</t>
  </si>
  <si>
    <t>Zisk / ztráta:</t>
  </si>
  <si>
    <t>Přímy:</t>
  </si>
  <si>
    <t>Výdaje:</t>
  </si>
  <si>
    <t>Ostatní příjmy</t>
  </si>
  <si>
    <t>Revizor 1 - Jana</t>
  </si>
  <si>
    <t>Revizor 2 - Evka</t>
  </si>
  <si>
    <t>Celkem ostatní</t>
  </si>
  <si>
    <t>Příjmy - kategorie</t>
  </si>
  <si>
    <t>Občerstvení náklady</t>
  </si>
  <si>
    <t>Závod (lidi)</t>
  </si>
  <si>
    <t>tolik jsem měl v pokladně po Hameráku..</t>
  </si>
  <si>
    <t>Sponzoři</t>
  </si>
  <si>
    <t>poslání bannerů do Brna a do Č. Budějovic</t>
  </si>
  <si>
    <t>?</t>
  </si>
  <si>
    <t>Roman</t>
  </si>
  <si>
    <t>Kondor - vázací drát</t>
  </si>
  <si>
    <t>Branky</t>
  </si>
  <si>
    <t>Globus - kroužky, provaz</t>
  </si>
  <si>
    <t>Cesťák Hamerák</t>
  </si>
  <si>
    <t>Simona Kl.</t>
  </si>
  <si>
    <t>Jáchym</t>
  </si>
  <si>
    <t>Doprava náklady</t>
  </si>
  <si>
    <t>Tisk permice</t>
  </si>
  <si>
    <t>Stravování</t>
  </si>
  <si>
    <t>Nákup materiálu pro ČPV Hamercký potok</t>
  </si>
  <si>
    <t>Náklady JHMD, pronájem vlaku</t>
  </si>
  <si>
    <t>Cestovné</t>
  </si>
  <si>
    <t>Manipulace na vodních dílech ryb. Ratmírovský</t>
  </si>
  <si>
    <t>ID</t>
  </si>
  <si>
    <t>ano-vyřaď</t>
  </si>
  <si>
    <t>Občerstvení náklady (Makro)</t>
  </si>
  <si>
    <t>Občerstvení náklady (Albert)</t>
  </si>
  <si>
    <t>Sken/dokument</t>
  </si>
  <si>
    <t>x</t>
  </si>
  <si>
    <t>Poznámka pro Pavelkovou</t>
  </si>
  <si>
    <t>Celkové vyúčtování</t>
  </si>
  <si>
    <t>Y - hotově</t>
  </si>
  <si>
    <t>Y - sleva na hotovosti J. Kukla</t>
  </si>
  <si>
    <t>Y - 29.7.</t>
  </si>
  <si>
    <t>Y - 27.9.</t>
  </si>
  <si>
    <t>Y - 4.10.</t>
  </si>
  <si>
    <t>Y - 24.10.</t>
  </si>
  <si>
    <t>Y - 14.10.</t>
  </si>
  <si>
    <t>Y - 11.11.</t>
  </si>
  <si>
    <t>Y - 30.10.</t>
  </si>
  <si>
    <t>TODO opravit - zde jsou všechny výdaje v tabulce, ne jen ty proplacené..</t>
  </si>
  <si>
    <t>Roman Liška</t>
  </si>
  <si>
    <t>Hrnky náklady /tisk</t>
  </si>
  <si>
    <t>Náklady ruční</t>
  </si>
  <si>
    <t>Příjmy počítané</t>
  </si>
  <si>
    <t>Různé náklady (dostal 5000 od KV za zapůjčení vleku 4.8.2019, vracel na účet 611 Kč 9.10.)</t>
  </si>
  <si>
    <t>KV za vlek</t>
  </si>
  <si>
    <t>Tisk permice (vyúčtování zálohy)</t>
  </si>
  <si>
    <t>Hrnky náklady /tisk (vyúčtování zálohy)</t>
  </si>
  <si>
    <t>Součet z Částka</t>
  </si>
  <si>
    <t>Popisky řádků</t>
  </si>
  <si>
    <t>Celkový součet</t>
  </si>
  <si>
    <t>Milan a Klem</t>
  </si>
  <si>
    <t>Jana Bau</t>
  </si>
  <si>
    <t>Pokladna 3 - kelímky</t>
  </si>
  <si>
    <t>Kelímky</t>
  </si>
  <si>
    <t>Žetony</t>
  </si>
  <si>
    <t>Červená nová</t>
  </si>
  <si>
    <t>Červená stará</t>
  </si>
  <si>
    <t>Bára a Terka</t>
  </si>
  <si>
    <t>Příjmy 2019</t>
  </si>
  <si>
    <t>Počet</t>
  </si>
  <si>
    <t>Cena</t>
  </si>
  <si>
    <t>Součet Kč</t>
  </si>
  <si>
    <t>prodeje</t>
  </si>
  <si>
    <t>dotace+spo</t>
  </si>
  <si>
    <t>příjmy</t>
  </si>
  <si>
    <t>náklady</t>
  </si>
  <si>
    <t>Z/Z 2019</t>
  </si>
  <si>
    <t>Hamerák 19</t>
  </si>
  <si>
    <t>Rozdíl</t>
  </si>
  <si>
    <t>#1</t>
  </si>
  <si>
    <t>Peníze</t>
  </si>
  <si>
    <t>Kelímek</t>
  </si>
  <si>
    <t>Žeton na kelímek</t>
  </si>
  <si>
    <t>Položka</t>
  </si>
  <si>
    <t>Zodpovědný:</t>
  </si>
  <si>
    <t>Výsledek</t>
  </si>
  <si>
    <t>Cenina</t>
  </si>
  <si>
    <t>F výsledek</t>
  </si>
  <si>
    <t>Pokladna:</t>
  </si>
  <si>
    <t>Modrá velká</t>
  </si>
  <si>
    <t>Příjmy závod</t>
  </si>
  <si>
    <t>Příjmy splutí</t>
  </si>
  <si>
    <t>Příjmy doprava</t>
  </si>
  <si>
    <t>Příjmy kelímky</t>
  </si>
  <si>
    <t>#2</t>
  </si>
  <si>
    <t>Permice chatka</t>
  </si>
  <si>
    <t>Závod chatka</t>
  </si>
  <si>
    <t>Jana B.</t>
  </si>
  <si>
    <t>Uzavřeno papír:</t>
  </si>
  <si>
    <t>Uzavřeno PC:</t>
  </si>
  <si>
    <t>#3</t>
  </si>
  <si>
    <t>Hráz sobota</t>
  </si>
  <si>
    <t>#4</t>
  </si>
  <si>
    <t>Kelímky chatka</t>
  </si>
  <si>
    <t>Asi černá</t>
  </si>
  <si>
    <t>Červená nová (kulatější)</t>
  </si>
  <si>
    <t>Terka a Bára</t>
  </si>
  <si>
    <t>#5</t>
  </si>
  <si>
    <t>Občerstvení Jindřiš</t>
  </si>
  <si>
    <t>Katka Klepačová</t>
  </si>
  <si>
    <t>Bílá</t>
  </si>
  <si>
    <t>Příjmy celkem</t>
  </si>
  <si>
    <t>#6</t>
  </si>
  <si>
    <t>Hráz neděle</t>
  </si>
  <si>
    <t>#7</t>
  </si>
  <si>
    <t>Kelímky tombola</t>
  </si>
  <si>
    <t>Kelímek výkup</t>
  </si>
  <si>
    <t>Kelímek prodej</t>
  </si>
  <si>
    <t>Příjem hotovost</t>
  </si>
  <si>
    <t>Rozdíl součty</t>
  </si>
  <si>
    <t>Náklady hotově</t>
  </si>
  <si>
    <t>Rozdíl v součtech</t>
  </si>
  <si>
    <t>5k část do Hradce</t>
  </si>
  <si>
    <t>Ceny Hamerák 2021</t>
  </si>
  <si>
    <t>Počet závod</t>
  </si>
  <si>
    <t>Příjem</t>
  </si>
  <si>
    <t>Splutí SO</t>
  </si>
  <si>
    <t>Splutí NE</t>
  </si>
  <si>
    <t>Permice SO</t>
  </si>
  <si>
    <t>Permice NE</t>
  </si>
  <si>
    <t>Permice VIK</t>
  </si>
  <si>
    <t>Splutí VIK</t>
  </si>
  <si>
    <t>Skupina</t>
  </si>
  <si>
    <t>MHD</t>
  </si>
  <si>
    <t>Hornbach</t>
  </si>
  <si>
    <t>Doklad (použitelný pro vyúčtování)</t>
  </si>
  <si>
    <t>Sprej proti vosám</t>
  </si>
  <si>
    <t>Pytle na odpadky</t>
  </si>
  <si>
    <t>Jana O.</t>
  </si>
  <si>
    <t>Pivo sudy</t>
  </si>
  <si>
    <t>Auto - cesty</t>
  </si>
  <si>
    <t>Komu</t>
  </si>
  <si>
    <t>NickNack</t>
  </si>
  <si>
    <t>Výroba kelímků</t>
  </si>
  <si>
    <t>Účet</t>
  </si>
  <si>
    <t>Puštění vody na splutí</t>
  </si>
  <si>
    <t>Nevím</t>
  </si>
  <si>
    <t>Nevím, jestli jsme platili a kdy</t>
  </si>
  <si>
    <t>Lukáš Kopřiva</t>
  </si>
  <si>
    <t>Vázací drát</t>
  </si>
  <si>
    <t>Air</t>
  </si>
  <si>
    <t>Nina Šálková</t>
  </si>
  <si>
    <t>Převod za hotovost 50 mince</t>
  </si>
  <si>
    <t>Příjem do hotovosti 15 tisíc v 50 mincích na Hameráku</t>
  </si>
  <si>
    <t>Poštovné a jiná příprava</t>
  </si>
  <si>
    <t>Finance</t>
  </si>
  <si>
    <t>Tomáš Bauer</t>
  </si>
  <si>
    <t>Papírnictví - potřeby</t>
  </si>
  <si>
    <t>Zatím ne</t>
  </si>
  <si>
    <t>Nové pokladny</t>
  </si>
  <si>
    <t>Milan Hrabák</t>
  </si>
  <si>
    <t>Permice výroba</t>
  </si>
  <si>
    <t>Hrnky (část bez dokladu)</t>
  </si>
  <si>
    <t>Hrnky (část s dokladem)</t>
  </si>
  <si>
    <t>Kemp</t>
  </si>
  <si>
    <t>Ubytování - chatky, lidi, autobusy, auta</t>
  </si>
  <si>
    <t>Výdaje - forma</t>
  </si>
  <si>
    <t>Účet TJ</t>
  </si>
  <si>
    <t>Účet Air</t>
  </si>
  <si>
    <t>Účet Fio</t>
  </si>
  <si>
    <t>Výdaje - kategorie</t>
  </si>
  <si>
    <t>Bez účtu</t>
  </si>
  <si>
    <t>Hospodářský výsledek</t>
  </si>
  <si>
    <t>Příjmy na Hameráku</t>
  </si>
  <si>
    <t>Náklady</t>
  </si>
  <si>
    <t>J. Kukla</t>
  </si>
  <si>
    <t>TJ Bohemians</t>
  </si>
  <si>
    <t>Trička, mikiny a další propagace</t>
  </si>
  <si>
    <t>Zatím neznám ani cenu</t>
  </si>
  <si>
    <t>Zatím jen předpoklad výdajů</t>
  </si>
  <si>
    <t>Výstupní hotovost (převod účet)</t>
  </si>
  <si>
    <t>Oprava dveře od auta</t>
  </si>
  <si>
    <t>Ešus / Tonda Ž</t>
  </si>
  <si>
    <t>Michal Menčík</t>
  </si>
  <si>
    <t>Jáchym Kopřiva</t>
  </si>
  <si>
    <t>Stany pro TOM</t>
  </si>
  <si>
    <t>Jirka Klíma</t>
  </si>
  <si>
    <t>TOM dotace</t>
  </si>
  <si>
    <t>Zaplaceno 27.10.</t>
  </si>
  <si>
    <t>Vybavení</t>
  </si>
  <si>
    <t>uctenka_vybaveni.jpg</t>
  </si>
  <si>
    <t>stany_TOM.pdf</t>
  </si>
  <si>
    <t>cest_JK.pdf</t>
  </si>
  <si>
    <t>cest_MM.pdf</t>
  </si>
  <si>
    <t>FA_rybari.pdf</t>
  </si>
  <si>
    <t>uct_Falon.jpg</t>
  </si>
  <si>
    <t>H_uctenky_1.pdf</t>
  </si>
  <si>
    <t>H_uctenky_2.pdf</t>
  </si>
  <si>
    <t>H_uctenky_3.pdf</t>
  </si>
  <si>
    <t>H_uctenky_4.pdf</t>
  </si>
  <si>
    <t>fa_NICKNACK.pdf</t>
  </si>
  <si>
    <t>H21_vazaci_drat.jpg</t>
  </si>
  <si>
    <t>Servisní náklady</t>
  </si>
  <si>
    <t>Interní nájmy</t>
  </si>
  <si>
    <t>OVT_najmy.pdf</t>
  </si>
  <si>
    <r>
      <t>111.312,-Kč  (</t>
    </r>
    <r>
      <rPr>
        <b/>
        <sz val="12"/>
        <color theme="1"/>
        <rFont val="Times New Roman"/>
        <family val="1"/>
        <charset val="238"/>
      </rPr>
      <t>slovy: stojednatisíctřistadvanáctkorun</t>
    </r>
    <r>
      <rPr>
        <b/>
        <sz val="14"/>
        <color theme="1"/>
        <rFont val="Times New Roman"/>
        <family val="1"/>
        <charset val="238"/>
      </rPr>
      <t>)</t>
    </r>
  </si>
  <si>
    <t>Dotace celkem:</t>
  </si>
  <si>
    <t>Zbývá / přes:</t>
  </si>
  <si>
    <t>fa_ubytování_MR.pdf</t>
  </si>
  <si>
    <t>Účel celkové dotace</t>
  </si>
  <si>
    <t>Osobní náklady trenérů, trenérské služby</t>
  </si>
  <si>
    <t>Spotřeba materiálu (sportovní vybavení do 60 tis. Kč):</t>
  </si>
  <si>
    <t>Pohonné hmoty</t>
  </si>
  <si>
    <t>Opravy sportovního vybavení</t>
  </si>
  <si>
    <t>Spotřeba materiálu</t>
  </si>
  <si>
    <t>OVT nájem</t>
  </si>
  <si>
    <t>Ostatní služby (stravování, ubytování, nájemné sportovišť, doprava, jiné služby)</t>
  </si>
  <si>
    <t>Výdaje účet celkem:</t>
  </si>
  <si>
    <t>dotace AVTS</t>
  </si>
  <si>
    <t>Zaplaceno 6.3.2022</t>
  </si>
  <si>
    <t>Zaplaceno 25.11.2021</t>
  </si>
  <si>
    <t>Zaplaceno 22.12.2021</t>
  </si>
  <si>
    <t>Dittrichová</t>
  </si>
  <si>
    <t>Zaplaceno 31.12.2021</t>
  </si>
  <si>
    <t>Výdaje hotovost celkem:</t>
  </si>
  <si>
    <t>Bude zaplaceno z TJ Bohemians</t>
  </si>
  <si>
    <t>Předáno 15.9. k zaplacení TJ</t>
  </si>
  <si>
    <t>Materiál</t>
  </si>
  <si>
    <t>Ondřej Racek</t>
  </si>
  <si>
    <t>Pytle autobus</t>
  </si>
  <si>
    <t>asi ano</t>
  </si>
  <si>
    <t>účtenka asi v papírové podobě v pokladně</t>
  </si>
  <si>
    <t>Materiál branky</t>
  </si>
  <si>
    <t>Nafta do auta</t>
  </si>
  <si>
    <t>lahev úplatku dolů do Jindřiše tomu chlapovi, co nám odstřihl posledně xylofon</t>
  </si>
  <si>
    <t>Doprava PPL - bannery asi</t>
  </si>
  <si>
    <t>ano, ale ne dotace</t>
  </si>
  <si>
    <t>Doprava GLS - bannery</t>
  </si>
  <si>
    <t>Doprava GLS - bannery TNP</t>
  </si>
  <si>
    <t>Benzín do centrály</t>
  </si>
  <si>
    <t>Oprava centrály</t>
  </si>
  <si>
    <t>SUMA</t>
  </si>
  <si>
    <t>SUMA náklady na místě</t>
  </si>
  <si>
    <t>V pokladně fyzicky je:</t>
  </si>
  <si>
    <t>osobní</t>
  </si>
  <si>
    <t>autobusy</t>
  </si>
  <si>
    <t>toto je zřejmě v pokladně</t>
  </si>
  <si>
    <t>platba 27.11. z Air</t>
  </si>
  <si>
    <t>Martin Topol</t>
  </si>
  <si>
    <t>cesťák</t>
  </si>
  <si>
    <t>platba 28.11. z Air</t>
  </si>
  <si>
    <t>Libor</t>
  </si>
  <si>
    <t>společně 3577 platba 28.11. z Air</t>
  </si>
  <si>
    <t>Propagace</t>
  </si>
  <si>
    <t>Ondráčková</t>
  </si>
  <si>
    <t>permice</t>
  </si>
  <si>
    <t>hrnky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</si>
</sst>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0_ ;[Red]\-#,##0.00\ "/>
  </numFmts>
  <fonts count="1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sz val="11"/>
      <color rgb="FF00B0F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9" fillId="0" borderId="0"/>
    <xf numFmtId="0" fontId="7" fillId="0" borderId="0"/>
  </cellStyleXfs>
  <cellXfs count="191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164" fontId="0" fillId="3" borderId="5" xfId="0" applyNumberFormat="1" applyFill="1" applyBorder="1"/>
    <xf numFmtId="164" fontId="1" fillId="3" borderId="6" xfId="0" applyNumberFormat="1" applyFont="1" applyFill="1" applyBorder="1"/>
    <xf numFmtId="0" fontId="0" fillId="0" borderId="2" xfId="0" applyBorder="1"/>
    <xf numFmtId="0" fontId="0" fillId="0" borderId="3" xfId="0" applyBorder="1"/>
    <xf numFmtId="164" fontId="1" fillId="3" borderId="5" xfId="0" applyNumberFormat="1" applyFont="1" applyFill="1" applyBorder="1"/>
    <xf numFmtId="164" fontId="1" fillId="0" borderId="0" xfId="0" applyNumberFormat="1" applyFont="1"/>
    <xf numFmtId="164" fontId="1" fillId="0" borderId="9" xfId="0" applyNumberFormat="1" applyFont="1" applyBorder="1"/>
    <xf numFmtId="20" fontId="0" fillId="0" borderId="0" xfId="0" applyNumberFormat="1"/>
    <xf numFmtId="0" fontId="1" fillId="7" borderId="0" xfId="0" applyFont="1" applyFill="1"/>
    <xf numFmtId="14" fontId="0" fillId="0" borderId="0" xfId="0" applyNumberFormat="1"/>
    <xf numFmtId="0" fontId="1" fillId="0" borderId="9" xfId="0" applyFont="1" applyBorder="1"/>
    <xf numFmtId="164" fontId="0" fillId="8" borderId="0" xfId="0" applyNumberFormat="1" applyFill="1"/>
    <xf numFmtId="164" fontId="0" fillId="9" borderId="0" xfId="0" applyNumberFormat="1" applyFill="1"/>
    <xf numFmtId="0" fontId="0" fillId="8" borderId="0" xfId="0" applyFill="1"/>
    <xf numFmtId="14" fontId="0" fillId="5" borderId="0" xfId="0" applyNumberFormat="1" applyFill="1"/>
    <xf numFmtId="0" fontId="0" fillId="5" borderId="0" xfId="0" applyFill="1"/>
    <xf numFmtId="164" fontId="0" fillId="5" borderId="0" xfId="0" applyNumberFormat="1" applyFill="1"/>
    <xf numFmtId="20" fontId="0" fillId="5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8" fillId="0" borderId="6" xfId="0" applyNumberFormat="1" applyFont="1" applyBorder="1"/>
    <xf numFmtId="164" fontId="8" fillId="0" borderId="9" xfId="0" applyNumberFormat="1" applyFont="1" applyBorder="1"/>
    <xf numFmtId="164" fontId="0" fillId="9" borderId="5" xfId="0" applyNumberFormat="1" applyFill="1" applyBorder="1"/>
    <xf numFmtId="164" fontId="0" fillId="9" borderId="6" xfId="0" applyNumberFormat="1" applyFill="1" applyBorder="1"/>
    <xf numFmtId="164" fontId="0" fillId="9" borderId="9" xfId="0" applyNumberFormat="1" applyFill="1" applyBorder="1"/>
    <xf numFmtId="0" fontId="0" fillId="9" borderId="8" xfId="0" applyFill="1" applyBorder="1"/>
    <xf numFmtId="164" fontId="0" fillId="9" borderId="8" xfId="0" applyNumberFormat="1" applyFill="1" applyBorder="1"/>
    <xf numFmtId="0" fontId="9" fillId="0" borderId="0" xfId="1"/>
    <xf numFmtId="164" fontId="1" fillId="5" borderId="0" xfId="2" applyNumberFormat="1" applyFont="1" applyFill="1"/>
    <xf numFmtId="0" fontId="1" fillId="5" borderId="0" xfId="2" applyFont="1" applyFill="1" applyBorder="1"/>
    <xf numFmtId="164" fontId="7" fillId="0" borderId="0" xfId="2" applyNumberFormat="1" applyFont="1" applyFill="1" applyBorder="1"/>
    <xf numFmtId="0" fontId="7" fillId="0" borderId="0" xfId="2" applyFill="1" applyBorder="1"/>
    <xf numFmtId="164" fontId="1" fillId="0" borderId="19" xfId="2" applyNumberFormat="1" applyFont="1" applyFill="1" applyBorder="1"/>
    <xf numFmtId="0" fontId="7" fillId="0" borderId="19" xfId="2" applyBorder="1"/>
    <xf numFmtId="164" fontId="7" fillId="0" borderId="9" xfId="2" applyNumberFormat="1" applyFill="1" applyBorder="1"/>
    <xf numFmtId="0" fontId="7" fillId="0" borderId="7" xfId="2" applyBorder="1"/>
    <xf numFmtId="164" fontId="1" fillId="0" borderId="3" xfId="2" applyNumberFormat="1" applyFont="1" applyFill="1" applyBorder="1"/>
    <xf numFmtId="0" fontId="7" fillId="0" borderId="1" xfId="2" applyBorder="1"/>
    <xf numFmtId="164" fontId="7" fillId="0" borderId="9" xfId="2" applyNumberFormat="1" applyBorder="1"/>
    <xf numFmtId="0" fontId="7" fillId="0" borderId="8" xfId="2" applyFill="1" applyBorder="1"/>
    <xf numFmtId="164" fontId="7" fillId="0" borderId="8" xfId="2" applyNumberFormat="1" applyBorder="1"/>
    <xf numFmtId="164" fontId="7" fillId="0" borderId="6" xfId="2" applyNumberFormat="1" applyBorder="1"/>
    <xf numFmtId="0" fontId="7" fillId="0" borderId="5" xfId="2" applyFill="1" applyBorder="1"/>
    <xf numFmtId="164" fontId="7" fillId="0" borderId="5" xfId="2" applyNumberFormat="1" applyBorder="1"/>
    <xf numFmtId="0" fontId="7" fillId="0" borderId="4" xfId="2" applyBorder="1"/>
    <xf numFmtId="164" fontId="7" fillId="0" borderId="3" xfId="2" applyNumberFormat="1" applyBorder="1"/>
    <xf numFmtId="0" fontId="7" fillId="0" borderId="2" xfId="2" applyFill="1" applyBorder="1"/>
    <xf numFmtId="164" fontId="7" fillId="0" borderId="2" xfId="2" applyNumberFormat="1" applyBorder="1"/>
    <xf numFmtId="0" fontId="7" fillId="0" borderId="8" xfId="2" applyBorder="1"/>
    <xf numFmtId="0" fontId="7" fillId="0" borderId="5" xfId="2" applyBorder="1"/>
    <xf numFmtId="0" fontId="7" fillId="0" borderId="2" xfId="2" applyBorder="1"/>
    <xf numFmtId="164" fontId="7" fillId="0" borderId="17" xfId="2" applyNumberFormat="1" applyBorder="1"/>
    <xf numFmtId="0" fontId="7" fillId="0" borderId="20" xfId="2" applyBorder="1"/>
    <xf numFmtId="164" fontId="7" fillId="0" borderId="20" xfId="2" applyNumberFormat="1" applyBorder="1"/>
    <xf numFmtId="0" fontId="7" fillId="0" borderId="18" xfId="2" applyBorder="1"/>
    <xf numFmtId="0" fontId="2" fillId="2" borderId="12" xfId="2" applyFont="1" applyFill="1" applyBorder="1" applyAlignment="1"/>
    <xf numFmtId="0" fontId="2" fillId="2" borderId="11" xfId="2" applyFont="1" applyFill="1" applyBorder="1" applyAlignment="1"/>
    <xf numFmtId="0" fontId="2" fillId="2" borderId="10" xfId="2" applyFont="1" applyFill="1" applyBorder="1" applyAlignment="1"/>
    <xf numFmtId="164" fontId="0" fillId="10" borderId="5" xfId="0" applyNumberFormat="1" applyFill="1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0" fillId="0" borderId="0" xfId="0" applyBorder="1"/>
    <xf numFmtId="0" fontId="0" fillId="0" borderId="25" xfId="0" applyBorder="1"/>
    <xf numFmtId="0" fontId="0" fillId="0" borderId="26" xfId="0" applyBorder="1"/>
    <xf numFmtId="164" fontId="10" fillId="0" borderId="0" xfId="0" applyNumberFormat="1" applyFont="1" applyBorder="1"/>
    <xf numFmtId="164" fontId="0" fillId="0" borderId="0" xfId="0" applyNumberFormat="1" applyBorder="1"/>
    <xf numFmtId="164" fontId="0" fillId="0" borderId="26" xfId="0" applyNumberFormat="1" applyBorder="1"/>
    <xf numFmtId="0" fontId="0" fillId="0" borderId="27" xfId="0" applyBorder="1"/>
    <xf numFmtId="0" fontId="0" fillId="0" borderId="28" xfId="0" applyBorder="1"/>
    <xf numFmtId="164" fontId="0" fillId="0" borderId="29" xfId="0" applyNumberFormat="1" applyBorder="1"/>
    <xf numFmtId="164" fontId="0" fillId="0" borderId="25" xfId="0" applyNumberFormat="1" applyBorder="1"/>
    <xf numFmtId="0" fontId="0" fillId="0" borderId="29" xfId="0" applyBorder="1"/>
    <xf numFmtId="0" fontId="1" fillId="10" borderId="1" xfId="0" applyFont="1" applyFill="1" applyBorder="1"/>
    <xf numFmtId="16" fontId="0" fillId="0" borderId="28" xfId="0" applyNumberFormat="1" applyBorder="1"/>
    <xf numFmtId="0" fontId="0" fillId="0" borderId="33" xfId="0" applyBorder="1"/>
    <xf numFmtId="0" fontId="0" fillId="0" borderId="13" xfId="0" applyBorder="1"/>
    <xf numFmtId="0" fontId="0" fillId="0" borderId="15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2" borderId="32" xfId="0" applyFill="1" applyBorder="1"/>
    <xf numFmtId="0" fontId="0" fillId="2" borderId="22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8" fillId="0" borderId="17" xfId="0" applyNumberFormat="1" applyFont="1" applyBorder="1"/>
    <xf numFmtId="164" fontId="0" fillId="0" borderId="31" xfId="0" applyNumberFormat="1" applyBorder="1"/>
    <xf numFmtId="0" fontId="1" fillId="2" borderId="30" xfId="0" applyFont="1" applyFill="1" applyBorder="1"/>
    <xf numFmtId="164" fontId="1" fillId="0" borderId="42" xfId="0" applyNumberFormat="1" applyFon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22" xfId="0" applyNumberFormat="1" applyBorder="1"/>
    <xf numFmtId="14" fontId="0" fillId="6" borderId="0" xfId="0" applyNumberFormat="1" applyFill="1"/>
    <xf numFmtId="0" fontId="0" fillId="6" borderId="0" xfId="0" applyFill="1"/>
    <xf numFmtId="164" fontId="0" fillId="6" borderId="0" xfId="0" applyNumberFormat="1" applyFill="1"/>
    <xf numFmtId="14" fontId="0" fillId="8" borderId="0" xfId="0" applyNumberFormat="1" applyFill="1"/>
    <xf numFmtId="14" fontId="0" fillId="9" borderId="0" xfId="0" applyNumberFormat="1" applyFill="1"/>
    <xf numFmtId="0" fontId="0" fillId="9" borderId="0" xfId="0" applyFill="1"/>
    <xf numFmtId="20" fontId="0" fillId="8" borderId="0" xfId="0" applyNumberFormat="1" applyFill="1"/>
    <xf numFmtId="20" fontId="0" fillId="9" borderId="0" xfId="0" applyNumberFormat="1" applyFill="1"/>
    <xf numFmtId="164" fontId="0" fillId="0" borderId="17" xfId="0" applyNumberFormat="1" applyBorder="1" applyAlignment="1">
      <alignment horizontal="right"/>
    </xf>
    <xf numFmtId="164" fontId="1" fillId="0" borderId="31" xfId="0" applyNumberFormat="1" applyFont="1" applyBorder="1"/>
    <xf numFmtId="0" fontId="0" fillId="0" borderId="43" xfId="0" applyBorder="1"/>
    <xf numFmtId="0" fontId="0" fillId="0" borderId="44" xfId="0" applyBorder="1"/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15" fillId="0" borderId="0" xfId="0" applyFont="1" applyAlignment="1">
      <alignment vertical="center"/>
    </xf>
    <xf numFmtId="0" fontId="15" fillId="0" borderId="0" xfId="0" applyFont="1"/>
    <xf numFmtId="164" fontId="0" fillId="7" borderId="0" xfId="0" applyNumberForma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164" fontId="0" fillId="0" borderId="0" xfId="0" applyNumberFormat="1" applyFill="1"/>
    <xf numFmtId="0" fontId="0" fillId="4" borderId="0" xfId="0" applyFill="1"/>
    <xf numFmtId="14" fontId="0" fillId="4" borderId="0" xfId="0" applyNumberFormat="1" applyFill="1"/>
    <xf numFmtId="20" fontId="0" fillId="4" borderId="0" xfId="0" applyNumberFormat="1" applyFill="1"/>
    <xf numFmtId="164" fontId="0" fillId="4" borderId="0" xfId="0" applyNumberFormat="1" applyFill="1"/>
    <xf numFmtId="0" fontId="1" fillId="0" borderId="0" xfId="0" applyFont="1" applyFill="1"/>
    <xf numFmtId="14" fontId="12" fillId="0" borderId="0" xfId="0" applyNumberFormat="1" applyFont="1" applyFill="1"/>
    <xf numFmtId="20" fontId="12" fillId="0" borderId="0" xfId="0" applyNumberFormat="1" applyFont="1" applyFill="1"/>
    <xf numFmtId="0" fontId="12" fillId="0" borderId="0" xfId="0" applyFont="1" applyFill="1"/>
    <xf numFmtId="164" fontId="12" fillId="0" borderId="0" xfId="0" applyNumberFormat="1" applyFont="1" applyFill="1"/>
    <xf numFmtId="0" fontId="11" fillId="0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4" borderId="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1" fillId="0" borderId="32" xfId="0" applyFont="1" applyFill="1" applyBorder="1" applyAlignment="1">
      <alignment horizontal="left"/>
    </xf>
    <xf numFmtId="0" fontId="1" fillId="0" borderId="41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30" xfId="0" applyFill="1" applyBorder="1" applyAlignment="1">
      <alignment horizontal="left"/>
    </xf>
    <xf numFmtId="0" fontId="0" fillId="10" borderId="12" xfId="0" applyFill="1" applyBorder="1" applyAlignment="1">
      <alignment horizontal="left"/>
    </xf>
  </cellXfs>
  <cellStyles count="3">
    <cellStyle name="Normální" xfId="0" builtinId="0"/>
    <cellStyle name="Normální 2" xfId="2" xr:uid="{00000000-0005-0000-0000-000001000000}"/>
    <cellStyle name="Normální 3" xfId="1" xr:uid="{00000000-0005-0000-0000-000002000000}"/>
  </cellStyles>
  <dxfs count="4">
    <dxf>
      <numFmt numFmtId="165" formatCode="#,##0.00_ ;[Red]\-#,##0.00\ "/>
    </dxf>
    <dxf>
      <numFmt numFmtId="165" formatCode="#,##0.00_ ;[Red]\-#,##0.00\ "/>
    </dxf>
    <dxf>
      <numFmt numFmtId="165" formatCode="#,##0.00_ ;[Red]\-#,##0.0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uer Tomáš (EXT)" refreshedDate="43969.973571643517" createdVersion="5" refreshedVersion="5" minRefreshableVersion="3" recordCount="43" xr:uid="{00000000-000A-0000-FFFF-FFFF00000000}">
  <cacheSource type="worksheet">
    <worksheetSource ref="A1:K44" sheet="Výdaje old"/>
  </cacheSource>
  <cacheFields count="11">
    <cacheField name="ID" numFmtId="0">
      <sharedItems containsSemiMixedTypes="0" containsString="0" containsNumber="1" containsInteger="1" minValue="1" maxValue="43"/>
    </cacheField>
    <cacheField name="Datum" numFmtId="14">
      <sharedItems containsSemiMixedTypes="0" containsNonDate="0" containsDate="1" containsString="0" minDate="2019-07-29T00:00:00" maxDate="2020-01-11T00:00:00"/>
    </cacheField>
    <cacheField name="Čas" numFmtId="0">
      <sharedItems containsNonDate="0" containsDate="1" containsString="0" containsBlank="1" minDate="1899-12-30T11:00:00" maxDate="1899-12-30T17:00:00"/>
    </cacheField>
    <cacheField name="Kategorie" numFmtId="0">
      <sharedItems count="9">
        <s v="Místní"/>
        <s v="Ubytování"/>
        <s v="Doprava"/>
        <s v="Příprava"/>
        <s v="Dotace"/>
        <s v="Občerstvení"/>
        <s v="Ceny"/>
        <s v="Sponzoři"/>
        <s v="Branky"/>
      </sharedItems>
    </cacheField>
    <cacheField name="Osoba" numFmtId="0">
      <sharedItems/>
    </cacheField>
    <cacheField name="Účel" numFmtId="0">
      <sharedItems/>
    </cacheField>
    <cacheField name="Doklad" numFmtId="0">
      <sharedItems/>
    </cacheField>
    <cacheField name="Částka" numFmtId="164">
      <sharedItems containsString="0" containsBlank="1" containsNumber="1" minValue="114" maxValue="68500"/>
    </cacheField>
    <cacheField name="Forma" numFmtId="0">
      <sharedItems/>
    </cacheField>
    <cacheField name="Zdroj" numFmtId="0">
      <sharedItems containsBlank="1"/>
    </cacheField>
    <cacheField name="Vyplaceno" numFmtId="0">
      <sharedItems count="2">
        <s v="Ano"/>
        <s v="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uer Tomáš (EXT)" refreshedDate="44088.900560185182" createdVersion="5" refreshedVersion="5" minRefreshableVersion="3" recordCount="43" xr:uid="{00000000-000A-0000-FFFF-FFFF01000000}">
  <cacheSource type="worksheet">
    <worksheetSource ref="A1:P44" sheet="Výdaje old"/>
  </cacheSource>
  <cacheFields count="16">
    <cacheField name="ID" numFmtId="0">
      <sharedItems containsSemiMixedTypes="0" containsString="0" containsNumber="1" containsInteger="1" minValue="1" maxValue="43"/>
    </cacheField>
    <cacheField name="Datum" numFmtId="14">
      <sharedItems containsSemiMixedTypes="0" containsNonDate="0" containsDate="1" containsString="0" minDate="2019-07-29T00:00:00" maxDate="2020-01-11T00:00:00"/>
    </cacheField>
    <cacheField name="Čas" numFmtId="0">
      <sharedItems containsNonDate="0" containsDate="1" containsString="0" containsBlank="1" minDate="1899-12-30T11:00:00" maxDate="1899-12-30T17:00:00"/>
    </cacheField>
    <cacheField name="Kategorie" numFmtId="0">
      <sharedItems count="9">
        <s v="Místní"/>
        <s v="Ubytování"/>
        <s v="Doprava"/>
        <s v="Příprava"/>
        <s v="Dotace"/>
        <s v="Občerstvení"/>
        <s v="Ceny"/>
        <s v="Sponzoři"/>
        <s v="Branky"/>
      </sharedItems>
    </cacheField>
    <cacheField name="Osoba" numFmtId="0">
      <sharedItems/>
    </cacheField>
    <cacheField name="Účel" numFmtId="0">
      <sharedItems/>
    </cacheField>
    <cacheField name="Doklad" numFmtId="0">
      <sharedItems/>
    </cacheField>
    <cacheField name="Částka" numFmtId="164">
      <sharedItems containsString="0" containsBlank="1" containsNumber="1" minValue="114" maxValue="68500"/>
    </cacheField>
    <cacheField name="Forma" numFmtId="0">
      <sharedItems/>
    </cacheField>
    <cacheField name="Zdroj" numFmtId="0">
      <sharedItems containsBlank="1"/>
    </cacheField>
    <cacheField name="Vyplaceno" numFmtId="0">
      <sharedItems count="2">
        <s v="Ano"/>
        <s v="Ne"/>
      </sharedItems>
    </cacheField>
    <cacheField name="Záloha" numFmtId="0">
      <sharedItems containsString="0" containsBlank="1" containsNumber="1" containsInteger="1" minValue="-6100" maxValue="7000"/>
    </cacheField>
    <cacheField name="Zůstatek" numFmtId="0">
      <sharedItems containsString="0" containsBlank="1" containsNumber="1" minValue="14204.330000000002" maxValue="150775"/>
    </cacheField>
    <cacheField name="Poznámka pro Pavelkovou" numFmtId="0">
      <sharedItems containsBlank="1"/>
    </cacheField>
    <cacheField name="Sken/dokument" numFmtId="0">
      <sharedItems containsNonDate="0" containsString="0" containsBlank="1"/>
    </cacheField>
    <cacheField name="Celkové vyúčtování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n v="1"/>
    <d v="2019-10-05T00:00:00"/>
    <d v="1899-12-30T16:30:00"/>
    <x v="0"/>
    <s v="Ešus"/>
    <s v="Záloha na místní poplatky"/>
    <s v="ne"/>
    <m/>
    <s v="Hotově"/>
    <s v="Hamerák"/>
    <x v="0"/>
  </r>
  <r>
    <n v="2"/>
    <d v="2019-10-05T00:00:00"/>
    <d v="1899-12-30T17:00:00"/>
    <x v="1"/>
    <s v="Bundáš"/>
    <s v="Ubytování v kempu - chatky"/>
    <s v="ano"/>
    <n v="37600"/>
    <s v="Hotově"/>
    <s v="Hamerák"/>
    <x v="0"/>
  </r>
  <r>
    <n v="3"/>
    <d v="2019-10-06T00:00:00"/>
    <d v="1899-12-30T15:00:00"/>
    <x v="2"/>
    <s v="Amos"/>
    <s v="Igelity do autobusu"/>
    <s v="ano"/>
    <n v="1281"/>
    <s v="Hotově"/>
    <s v="Hamerák"/>
    <x v="0"/>
  </r>
  <r>
    <n v="4"/>
    <d v="2019-10-06T00:00:00"/>
    <d v="1899-12-30T15:00:00"/>
    <x v="0"/>
    <s v="Ešus"/>
    <s v="Vyúčtování zálohy na místní poplatky"/>
    <s v="ne"/>
    <m/>
    <s v="Hotově"/>
    <s v="Hamerák"/>
    <x v="0"/>
  </r>
  <r>
    <n v="5"/>
    <d v="2019-10-06T00:00:00"/>
    <d v="1899-12-30T15:00:00"/>
    <x v="0"/>
    <s v="Ešus"/>
    <s v="Boček/Kokta pronájem kolem vstupu"/>
    <s v="ne"/>
    <n v="1500"/>
    <s v="Hotově"/>
    <s v="Hamerák"/>
    <x v="0"/>
  </r>
  <r>
    <n v="6"/>
    <d v="2019-10-06T00:00:00"/>
    <d v="1899-12-30T15:00:00"/>
    <x v="0"/>
    <s v="Ešus"/>
    <s v="Hrázný Fučík"/>
    <s v="ne"/>
    <n v="500"/>
    <s v="Hotově"/>
    <s v="Hamerák"/>
    <x v="0"/>
  </r>
  <r>
    <n v="7"/>
    <d v="2019-10-06T00:00:00"/>
    <d v="1899-12-30T15:00:00"/>
    <x v="0"/>
    <s v="Ešus"/>
    <s v="Feit - Louka na výstupu Dvoreček"/>
    <s v="ne"/>
    <n v="1500"/>
    <s v="Hotově"/>
    <s v="Hamerák"/>
    <x v="0"/>
  </r>
  <r>
    <n v="8"/>
    <d v="2019-10-06T00:00:00"/>
    <d v="1899-12-30T15:00:00"/>
    <x v="3"/>
    <s v="Ešus"/>
    <s v="Nafta do auta (2x)"/>
    <s v="ano-vyřaď"/>
    <n v="2572"/>
    <s v="Hotově"/>
    <s v="Hamerák"/>
    <x v="0"/>
  </r>
  <r>
    <n v="9"/>
    <d v="2019-10-06T00:00:00"/>
    <d v="1899-12-30T15:00:00"/>
    <x v="4"/>
    <s v="Ešus"/>
    <s v="Část dotace pro Hradečáky"/>
    <s v="ne"/>
    <n v="4500"/>
    <s v="Hotově"/>
    <s v="Hamerák"/>
    <x v="0"/>
  </r>
  <r>
    <n v="10"/>
    <d v="2019-10-06T00:00:00"/>
    <d v="1899-12-30T15:00:00"/>
    <x v="5"/>
    <s v="Milan"/>
    <s v="Chleba"/>
    <s v="ano"/>
    <n v="1811"/>
    <s v="Hotově"/>
    <s v="Hamerák"/>
    <x v="0"/>
  </r>
  <r>
    <n v="11"/>
    <d v="2019-10-06T00:00:00"/>
    <d v="1899-12-30T15:00:00"/>
    <x v="5"/>
    <s v="Milan"/>
    <s v="Pivovar Kamenice"/>
    <s v="ne"/>
    <n v="5000"/>
    <s v="Hotově"/>
    <s v="Hamerák"/>
    <x v="0"/>
  </r>
  <r>
    <n v="12"/>
    <d v="2019-10-06T00:00:00"/>
    <d v="1899-12-30T15:00:00"/>
    <x v="6"/>
    <s v="Milan"/>
    <s v="Záloha Hrnky"/>
    <s v="ne"/>
    <m/>
    <s v="Hotově"/>
    <s v="Hamerák"/>
    <x v="0"/>
  </r>
  <r>
    <n v="13"/>
    <d v="2019-10-06T00:00:00"/>
    <d v="1899-12-30T15:00:00"/>
    <x v="2"/>
    <s v="Milan"/>
    <s v="Záloha Permice"/>
    <s v="ne"/>
    <m/>
    <s v="Hotově"/>
    <s v="Hamerák"/>
    <x v="0"/>
  </r>
  <r>
    <n v="14"/>
    <d v="2019-10-06T00:00:00"/>
    <d v="1899-12-30T15:00:00"/>
    <x v="5"/>
    <s v="Štěpán"/>
    <s v="Občerstvení náklady (Makro)"/>
    <s v="ano-vyřaď"/>
    <n v="1507.17"/>
    <s v="Hotově"/>
    <s v="Hamerák"/>
    <x v="0"/>
  </r>
  <r>
    <n v="15"/>
    <d v="2019-10-06T00:00:00"/>
    <d v="1899-12-30T15:00:00"/>
    <x v="5"/>
    <s v="Štěpán"/>
    <s v="Občerstvení náklady (Albert)"/>
    <s v="ano"/>
    <n v="171.5"/>
    <s v="Hotově"/>
    <s v="Hamerák"/>
    <x v="0"/>
  </r>
  <r>
    <n v="16"/>
    <d v="2019-10-06T00:00:00"/>
    <d v="1899-12-30T15:00:00"/>
    <x v="5"/>
    <s v="Štěpán"/>
    <s v="Občerstvení náklady"/>
    <s v="x"/>
    <n v="128"/>
    <s v="Hotově"/>
    <s v="Hamerák"/>
    <x v="0"/>
  </r>
  <r>
    <n v="17"/>
    <d v="2019-10-06T00:00:00"/>
    <d v="1899-12-30T15:00:00"/>
    <x v="2"/>
    <s v="Mára"/>
    <s v="Vlak jízdenky"/>
    <s v="ne"/>
    <n v="2000"/>
    <s v="Hotově"/>
    <s v="Hamerák"/>
    <x v="0"/>
  </r>
  <r>
    <n v="18"/>
    <d v="2019-10-06T00:00:00"/>
    <d v="1899-12-30T15:00:00"/>
    <x v="2"/>
    <s v="Mára"/>
    <s v="Vlak jízdenky"/>
    <s v="ano"/>
    <n v="1680"/>
    <s v="Doklad"/>
    <s v="Hamerák"/>
    <x v="1"/>
  </r>
  <r>
    <n v="19"/>
    <d v="2019-10-08T00:00:00"/>
    <d v="1899-12-30T11:00:00"/>
    <x v="2"/>
    <s v="J.Kukla"/>
    <s v="Autobusy"/>
    <s v="ne"/>
    <n v="68500"/>
    <s v="Hotově"/>
    <s v="Hamerák"/>
    <x v="0"/>
  </r>
  <r>
    <n v="20"/>
    <d v="2019-10-08T00:00:00"/>
    <d v="1899-12-30T11:00:00"/>
    <x v="2"/>
    <s v="J.Kukla"/>
    <s v="Autobusy"/>
    <s v="ne"/>
    <n v="10000"/>
    <s v="Dotace"/>
    <s v="Dotace"/>
    <x v="0"/>
  </r>
  <r>
    <n v="21"/>
    <d v="2019-07-29T00:00:00"/>
    <m/>
    <x v="3"/>
    <s v="Ešus"/>
    <s v="Poštovné"/>
    <s v="ne"/>
    <n v="247"/>
    <s v="Převod"/>
    <s v="Air OVT"/>
    <x v="0"/>
  </r>
  <r>
    <n v="22"/>
    <d v="2019-07-29T00:00:00"/>
    <m/>
    <x v="3"/>
    <s v="Ešus"/>
    <s v="Tričko pro rybáře"/>
    <s v="ne"/>
    <n v="114"/>
    <s v="Převod"/>
    <s v="Air OVT"/>
    <x v="0"/>
  </r>
  <r>
    <n v="23"/>
    <d v="2019-07-29T00:00:00"/>
    <m/>
    <x v="3"/>
    <s v="Bundáš"/>
    <s v="Papírnictví"/>
    <s v="ano"/>
    <n v="443"/>
    <s v="Převod"/>
    <s v="Air OVT"/>
    <x v="0"/>
  </r>
  <r>
    <n v="24"/>
    <d v="2019-07-29T00:00:00"/>
    <m/>
    <x v="3"/>
    <s v="Tomík"/>
    <s v="Nůžkový stan"/>
    <s v="ne"/>
    <n v="3033"/>
    <s v="Převod"/>
    <s v="Air OVT"/>
    <x v="0"/>
  </r>
  <r>
    <n v="25"/>
    <d v="2019-07-29T00:00:00"/>
    <m/>
    <x v="2"/>
    <s v="N/A"/>
    <s v="JHMD faktura"/>
    <s v="ano"/>
    <n v="6000"/>
    <s v="Převod"/>
    <s v="TJ"/>
    <x v="0"/>
  </r>
  <r>
    <n v="26"/>
    <d v="2019-07-29T00:00:00"/>
    <m/>
    <x v="0"/>
    <s v="N/A"/>
    <s v="Rybáři"/>
    <s v="ano"/>
    <n v="12100"/>
    <s v="Převod"/>
    <s v="TJ"/>
    <x v="0"/>
  </r>
  <r>
    <n v="27"/>
    <d v="2019-10-14T00:00:00"/>
    <m/>
    <x v="7"/>
    <s v="Ešus"/>
    <s v="poslání bannerů do Brna a do Č. Budějovic"/>
    <s v="?"/>
    <n v="418"/>
    <s v="Převod"/>
    <s v="Air OVT"/>
    <x v="0"/>
  </r>
  <r>
    <n v="28"/>
    <d v="2019-10-14T00:00:00"/>
    <m/>
    <x v="8"/>
    <s v="Roman"/>
    <s v="Kondor - vázací drát"/>
    <s v="ano"/>
    <n v="662"/>
    <s v="Převod"/>
    <s v="Air OVT"/>
    <x v="0"/>
  </r>
  <r>
    <n v="29"/>
    <d v="2019-10-14T00:00:00"/>
    <m/>
    <x v="8"/>
    <s v="Roman"/>
    <s v="Globus - kroužky, provaz"/>
    <s v="ano"/>
    <n v="366.9"/>
    <s v="Převod"/>
    <s v="Air OVT"/>
    <x v="0"/>
  </r>
  <r>
    <n v="30"/>
    <d v="2019-10-29T00:00:00"/>
    <m/>
    <x v="2"/>
    <s v="Ešus"/>
    <s v="Cesťák Hamerák"/>
    <s v="ano"/>
    <n v="5340.72"/>
    <s v="Doklad"/>
    <m/>
    <x v="1"/>
  </r>
  <r>
    <n v="31"/>
    <d v="2019-10-29T00:00:00"/>
    <m/>
    <x v="2"/>
    <s v="Roman"/>
    <s v="Cesťák Hamerák"/>
    <s v="ano"/>
    <n v="2671.1"/>
    <s v="Doklad"/>
    <m/>
    <x v="1"/>
  </r>
  <r>
    <n v="32"/>
    <d v="2019-10-29T00:00:00"/>
    <m/>
    <x v="2"/>
    <s v="Simona Kl."/>
    <s v="Cesťák Hamerák"/>
    <s v="ano"/>
    <n v="1883"/>
    <s v="Doklad"/>
    <m/>
    <x v="1"/>
  </r>
  <r>
    <n v="33"/>
    <d v="2019-10-29T00:00:00"/>
    <m/>
    <x v="2"/>
    <s v="Jáchym"/>
    <s v="Cesťák Hamerák"/>
    <s v="ano"/>
    <n v="1665"/>
    <s v="Doklad"/>
    <m/>
    <x v="1"/>
  </r>
  <r>
    <n v="34"/>
    <d v="2019-10-29T00:00:00"/>
    <m/>
    <x v="2"/>
    <s v="Amos"/>
    <s v="Cesťák Hamerák"/>
    <s v="ano"/>
    <n v="2446.4"/>
    <s v="Doklad"/>
    <m/>
    <x v="1"/>
  </r>
  <r>
    <n v="35"/>
    <d v="2019-10-29T00:00:00"/>
    <m/>
    <x v="2"/>
    <s v="Amos"/>
    <s v="Doprava náklady"/>
    <s v="ne"/>
    <n v="750"/>
    <s v="Převod"/>
    <s v="Air OVT"/>
    <x v="0"/>
  </r>
  <r>
    <n v="36"/>
    <d v="2019-10-29T00:00:00"/>
    <m/>
    <x v="2"/>
    <s v="Milan"/>
    <s v="Doprava náklady"/>
    <s v="ne"/>
    <n v="500"/>
    <s v="Převod"/>
    <s v="Air OVT"/>
    <x v="0"/>
  </r>
  <r>
    <n v="37"/>
    <d v="2019-10-31T00:00:00"/>
    <m/>
    <x v="2"/>
    <s v="Milan"/>
    <s v="Tisk permice (vyúčtování zálohy)"/>
    <s v="ano"/>
    <m/>
    <s v="Doklad"/>
    <m/>
    <x v="0"/>
  </r>
  <r>
    <n v="38"/>
    <d v="2019-10-31T00:00:00"/>
    <m/>
    <x v="2"/>
    <s v="Milan"/>
    <s v="Tisk permice"/>
    <s v="ano"/>
    <n v="5900"/>
    <s v="Doklad"/>
    <m/>
    <x v="0"/>
  </r>
  <r>
    <n v="39"/>
    <d v="2019-11-12T00:00:00"/>
    <m/>
    <x v="2"/>
    <s v="Simona Kl."/>
    <s v="Doprava náklady"/>
    <s v="ne"/>
    <n v="651"/>
    <s v="Převod"/>
    <s v="Air OVT"/>
    <x v="0"/>
  </r>
  <r>
    <n v="40"/>
    <d v="2019-11-12T00:00:00"/>
    <m/>
    <x v="2"/>
    <s v="Roman Liška"/>
    <s v="Doprava náklady"/>
    <s v="ne"/>
    <n v="957"/>
    <s v="Převod"/>
    <s v="Air OVT"/>
    <x v="0"/>
  </r>
  <r>
    <n v="41"/>
    <d v="2020-01-10T00:00:00"/>
    <m/>
    <x v="6"/>
    <s v="Milan"/>
    <s v="Hrnky náklady /tisk (vyúčtování zálohy)"/>
    <s v="ne"/>
    <m/>
    <s v="Doklad"/>
    <m/>
    <x v="0"/>
  </r>
  <r>
    <n v="42"/>
    <d v="2020-01-10T00:00:00"/>
    <m/>
    <x v="6"/>
    <s v="Milan"/>
    <s v="Hrnky náklady /tisk"/>
    <s v="ne"/>
    <n v="6100"/>
    <s v="Doklad"/>
    <m/>
    <x v="0"/>
  </r>
  <r>
    <n v="43"/>
    <d v="2019-10-09T00:00:00"/>
    <m/>
    <x v="3"/>
    <s v="Ešus"/>
    <s v="Různé náklady (dostal 5000 od KV za zapůjčení vleku 4.8.2019, vracel na účet 611 Kč 9.10.)"/>
    <s v="ne"/>
    <n v="4389"/>
    <s v="Hotově"/>
    <s v="KV za vle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">
  <r>
    <n v="1"/>
    <d v="2019-10-05T00:00:00"/>
    <d v="1899-12-30T16:30:00"/>
    <x v="0"/>
    <s v="Ešus"/>
    <s v="Záloha na místní poplatky"/>
    <s v="ne"/>
    <m/>
    <s v="Hotově"/>
    <s v="Hamerák"/>
    <x v="0"/>
    <n v="4000"/>
    <n v="150775"/>
    <m/>
    <m/>
    <s v="Y - hotově"/>
  </r>
  <r>
    <n v="2"/>
    <d v="2019-10-05T00:00:00"/>
    <d v="1899-12-30T17:00:00"/>
    <x v="1"/>
    <s v="Bundáš"/>
    <s v="Ubytování v kempu - chatky"/>
    <s v="ano"/>
    <n v="37600"/>
    <s v="Hotově"/>
    <s v="Hamerák"/>
    <x v="0"/>
    <m/>
    <n v="113175"/>
    <s v="Ubytování"/>
    <m/>
    <s v="Y - hotově"/>
  </r>
  <r>
    <n v="3"/>
    <d v="2019-10-06T00:00:00"/>
    <d v="1899-12-30T15:00:00"/>
    <x v="2"/>
    <s v="Amos"/>
    <s v="Igelity do autobusu"/>
    <s v="ano"/>
    <n v="1281"/>
    <s v="Hotově"/>
    <s v="Hamerák"/>
    <x v="0"/>
    <m/>
    <n v="111894"/>
    <s v="Nákup materiálu pro ČPV Hamercký potok"/>
    <m/>
    <s v="Y - hotově"/>
  </r>
  <r>
    <n v="4"/>
    <d v="2019-10-06T00:00:00"/>
    <d v="1899-12-30T15:00:00"/>
    <x v="0"/>
    <s v="Ešus"/>
    <s v="Vyúčtování zálohy na místní poplatky"/>
    <s v="ne"/>
    <m/>
    <s v="Hotově"/>
    <s v="Hamerák"/>
    <x v="0"/>
    <n v="-4000"/>
    <n v="115894"/>
    <m/>
    <m/>
    <s v="Y - hotově"/>
  </r>
  <r>
    <n v="5"/>
    <d v="2019-10-06T00:00:00"/>
    <d v="1899-12-30T15:00:00"/>
    <x v="0"/>
    <s v="Ešus"/>
    <s v="Boček/Kokta pronájem kolem vstupu"/>
    <s v="ne"/>
    <n v="1500"/>
    <s v="Hotově"/>
    <s v="Hamerák"/>
    <x v="0"/>
    <m/>
    <n v="114394"/>
    <m/>
    <m/>
    <s v="Y - hotově"/>
  </r>
  <r>
    <n v="6"/>
    <d v="2019-10-06T00:00:00"/>
    <d v="1899-12-30T15:00:00"/>
    <x v="0"/>
    <s v="Ešus"/>
    <s v="Hrázný Fučík"/>
    <s v="ne"/>
    <n v="500"/>
    <s v="Hotově"/>
    <s v="Hamerák"/>
    <x v="0"/>
    <m/>
    <n v="113894"/>
    <m/>
    <m/>
    <s v="Y - hotově"/>
  </r>
  <r>
    <n v="7"/>
    <d v="2019-10-06T00:00:00"/>
    <d v="1899-12-30T15:00:00"/>
    <x v="0"/>
    <s v="Ešus"/>
    <s v="Feit - Louka na výstupu Dvoreček"/>
    <s v="ne"/>
    <n v="1500"/>
    <s v="Hotově"/>
    <s v="Hamerák"/>
    <x v="0"/>
    <m/>
    <n v="112394"/>
    <m/>
    <m/>
    <s v="Y - hotově"/>
  </r>
  <r>
    <n v="8"/>
    <d v="2019-10-06T00:00:00"/>
    <d v="1899-12-30T15:00:00"/>
    <x v="3"/>
    <s v="Ešus"/>
    <s v="Nafta do auta (2x)"/>
    <s v="ano-vyřaď"/>
    <n v="2572"/>
    <s v="Hotově"/>
    <s v="Hamerák"/>
    <x v="0"/>
    <m/>
    <n v="109822"/>
    <s v="Nákup materiálu pro ČPV Hamercký potok"/>
    <m/>
    <s v="Y - hotově"/>
  </r>
  <r>
    <n v="9"/>
    <d v="2019-10-06T00:00:00"/>
    <d v="1899-12-30T15:00:00"/>
    <x v="4"/>
    <s v="Ešus"/>
    <s v="Část dotace pro Hradečáky"/>
    <s v="ne"/>
    <n v="4500"/>
    <s v="Hotově"/>
    <s v="Hamerák"/>
    <x v="0"/>
    <m/>
    <n v="105322"/>
    <m/>
    <m/>
    <s v="Y - hotově"/>
  </r>
  <r>
    <n v="10"/>
    <d v="2019-10-06T00:00:00"/>
    <d v="1899-12-30T15:00:00"/>
    <x v="5"/>
    <s v="Milan"/>
    <s v="Chleba"/>
    <s v="ano"/>
    <n v="1811"/>
    <s v="Hotově"/>
    <s v="Hamerák"/>
    <x v="0"/>
    <m/>
    <n v="103511"/>
    <s v="Stravování"/>
    <m/>
    <s v="Y - hotově"/>
  </r>
  <r>
    <n v="11"/>
    <d v="2019-10-06T00:00:00"/>
    <d v="1899-12-30T15:00:00"/>
    <x v="5"/>
    <s v="Milan"/>
    <s v="Pivovar Kamenice"/>
    <s v="ne"/>
    <n v="5000"/>
    <s v="Hotově"/>
    <s v="Hamerák"/>
    <x v="0"/>
    <m/>
    <n v="98511"/>
    <m/>
    <m/>
    <s v="Y - hotově"/>
  </r>
  <r>
    <n v="12"/>
    <d v="2019-10-06T00:00:00"/>
    <d v="1899-12-30T15:00:00"/>
    <x v="6"/>
    <s v="Milan"/>
    <s v="Záloha Hrnky"/>
    <s v="ne"/>
    <m/>
    <s v="Hotově"/>
    <s v="Hamerák"/>
    <x v="0"/>
    <n v="7000"/>
    <n v="91511"/>
    <m/>
    <m/>
    <s v="Y - hotově"/>
  </r>
  <r>
    <n v="13"/>
    <d v="2019-10-06T00:00:00"/>
    <d v="1899-12-30T15:00:00"/>
    <x v="2"/>
    <s v="Milan"/>
    <s v="Záloha Permice"/>
    <s v="ne"/>
    <m/>
    <s v="Hotově"/>
    <s v="Hamerák"/>
    <x v="0"/>
    <n v="5000"/>
    <n v="86511"/>
    <m/>
    <m/>
    <s v="Y - hotově"/>
  </r>
  <r>
    <n v="14"/>
    <d v="2019-10-06T00:00:00"/>
    <d v="1899-12-30T15:00:00"/>
    <x v="5"/>
    <s v="Štěpán"/>
    <s v="Občerstvení náklady (Makro)"/>
    <s v="ano-vyřaď"/>
    <n v="1507.17"/>
    <s v="Hotově"/>
    <s v="Hamerák"/>
    <x v="0"/>
    <m/>
    <n v="85003.83"/>
    <s v="Nákup materiálu pro ČPV Hamercký potok"/>
    <m/>
    <s v="Y - hotově"/>
  </r>
  <r>
    <n v="15"/>
    <d v="2019-10-06T00:00:00"/>
    <d v="1899-12-30T15:00:00"/>
    <x v="5"/>
    <s v="Štěpán"/>
    <s v="Občerstvení náklady (Albert)"/>
    <s v="ano"/>
    <n v="171.5"/>
    <s v="Hotově"/>
    <s v="Hamerák"/>
    <x v="0"/>
    <m/>
    <n v="84832.33"/>
    <s v="Nákup materiálu pro ČPV Hamercký potok"/>
    <m/>
    <s v="Y - hotově"/>
  </r>
  <r>
    <n v="16"/>
    <d v="2019-10-06T00:00:00"/>
    <d v="1899-12-30T15:00:00"/>
    <x v="5"/>
    <s v="Štěpán"/>
    <s v="Občerstvení náklady"/>
    <s v="x"/>
    <n v="128"/>
    <s v="Hotově"/>
    <s v="Hamerák"/>
    <x v="0"/>
    <m/>
    <n v="84704.33"/>
    <s v="Nákup materiálu pro ČPV Hamercký potok"/>
    <m/>
    <s v="Y - hotově"/>
  </r>
  <r>
    <n v="17"/>
    <d v="2019-10-06T00:00:00"/>
    <d v="1899-12-30T15:00:00"/>
    <x v="2"/>
    <s v="Mára"/>
    <s v="Vlak jízdenky"/>
    <s v="ne"/>
    <n v="2000"/>
    <s v="Hotově"/>
    <s v="Hamerák"/>
    <x v="0"/>
    <m/>
    <n v="82704.33"/>
    <m/>
    <m/>
    <s v="Y - hotově"/>
  </r>
  <r>
    <n v="18"/>
    <d v="2019-10-06T00:00:00"/>
    <d v="1899-12-30T15:00:00"/>
    <x v="2"/>
    <s v="Mára"/>
    <s v="Vlak jízdenky"/>
    <s v="ano"/>
    <n v="1680"/>
    <s v="Doklad"/>
    <s v="Hamerák"/>
    <x v="1"/>
    <m/>
    <n v="82704.33"/>
    <s v="Náklady JHMD, pronájem vlaku"/>
    <m/>
    <m/>
  </r>
  <r>
    <n v="19"/>
    <d v="2019-10-08T00:00:00"/>
    <d v="1899-12-30T11:00:00"/>
    <x v="2"/>
    <s v="J.Kukla"/>
    <s v="Autobusy"/>
    <s v="ne"/>
    <n v="68500"/>
    <s v="Hotově"/>
    <s v="Hamerák"/>
    <x v="0"/>
    <m/>
    <n v="14204.330000000002"/>
    <m/>
    <m/>
    <s v="Y - hotově"/>
  </r>
  <r>
    <n v="20"/>
    <d v="2019-10-08T00:00:00"/>
    <d v="1899-12-30T11:00:00"/>
    <x v="4"/>
    <s v="J.Kukla"/>
    <s v="Autobusy"/>
    <s v="ne"/>
    <n v="10000"/>
    <s v="Dotace"/>
    <s v="Dotace"/>
    <x v="0"/>
    <m/>
    <n v="14204.330000000002"/>
    <m/>
    <m/>
    <s v="Y - sleva na hotovosti J. Kukla"/>
  </r>
  <r>
    <n v="21"/>
    <d v="2019-07-29T00:00:00"/>
    <m/>
    <x v="3"/>
    <s v="Ešus"/>
    <s v="Poštovné"/>
    <s v="ne"/>
    <n v="247"/>
    <s v="Převod"/>
    <s v="Air OVT"/>
    <x v="0"/>
    <m/>
    <n v="14204.330000000002"/>
    <m/>
    <m/>
    <s v="Y - 29.7."/>
  </r>
  <r>
    <n v="22"/>
    <d v="2019-07-29T00:00:00"/>
    <m/>
    <x v="3"/>
    <s v="Ešus"/>
    <s v="Tričko pro rybáře"/>
    <s v="ne"/>
    <n v="114"/>
    <s v="Převod"/>
    <s v="Air OVT"/>
    <x v="0"/>
    <m/>
    <n v="14204.330000000002"/>
    <m/>
    <m/>
    <s v="Y - 29.7."/>
  </r>
  <r>
    <n v="23"/>
    <d v="2019-07-29T00:00:00"/>
    <m/>
    <x v="3"/>
    <s v="Bundáš"/>
    <s v="Papírnictví"/>
    <s v="ano"/>
    <n v="443"/>
    <s v="Převod"/>
    <s v="Air OVT"/>
    <x v="0"/>
    <m/>
    <n v="14204.330000000002"/>
    <s v="Nákup materiálu pro ČPV Hamercký potok"/>
    <m/>
    <s v="Y - 27.9."/>
  </r>
  <r>
    <n v="24"/>
    <d v="2019-07-29T00:00:00"/>
    <m/>
    <x v="3"/>
    <s v="Tomík"/>
    <s v="Nůžkový stan"/>
    <s v="ne"/>
    <n v="3033"/>
    <s v="Převod"/>
    <s v="Air OVT"/>
    <x v="0"/>
    <m/>
    <n v="14204.330000000002"/>
    <m/>
    <m/>
    <s v="Y - 27.9."/>
  </r>
  <r>
    <n v="25"/>
    <d v="2019-07-29T00:00:00"/>
    <m/>
    <x v="2"/>
    <s v="N/A"/>
    <s v="JHMD faktura"/>
    <s v="ano"/>
    <n v="6000"/>
    <s v="Převod"/>
    <s v="TJ"/>
    <x v="0"/>
    <m/>
    <n v="14204.330000000002"/>
    <s v="Náklady JHMD, pronájem vlaku"/>
    <m/>
    <s v="Y - 4.10."/>
  </r>
  <r>
    <n v="26"/>
    <d v="2019-07-29T00:00:00"/>
    <m/>
    <x v="0"/>
    <s v="N/A"/>
    <s v="Rybáři"/>
    <s v="ano"/>
    <n v="12100"/>
    <s v="Převod"/>
    <s v="TJ"/>
    <x v="0"/>
    <m/>
    <n v="14204.330000000002"/>
    <s v="Manipulace na vodních dílech ryb. Ratmírovský"/>
    <m/>
    <s v="Y - 24.10."/>
  </r>
  <r>
    <n v="27"/>
    <d v="2019-10-14T00:00:00"/>
    <m/>
    <x v="7"/>
    <s v="Ešus"/>
    <s v="poslání bannerů do Brna a do Č. Budějovic"/>
    <s v="?"/>
    <n v="418"/>
    <s v="Převod"/>
    <s v="Air OVT"/>
    <x v="0"/>
    <m/>
    <n v="14204.330000000002"/>
    <m/>
    <m/>
    <s v="Y - 14.10."/>
  </r>
  <r>
    <n v="28"/>
    <d v="2019-10-14T00:00:00"/>
    <m/>
    <x v="8"/>
    <s v="Roman"/>
    <s v="Kondor - vázací drát"/>
    <s v="ano"/>
    <n v="662"/>
    <s v="Převod"/>
    <s v="Air OVT"/>
    <x v="0"/>
    <m/>
    <n v="14204.330000000002"/>
    <s v="Nákup materiálu pro ČPV Hamercký potok"/>
    <m/>
    <s v="Y - 11.11."/>
  </r>
  <r>
    <n v="29"/>
    <d v="2019-10-14T00:00:00"/>
    <m/>
    <x v="8"/>
    <s v="Roman"/>
    <s v="Globus - kroužky, provaz"/>
    <s v="ano"/>
    <n v="366.9"/>
    <s v="Převod"/>
    <s v="Air OVT"/>
    <x v="0"/>
    <m/>
    <n v="14204.330000000002"/>
    <s v="Nákup materiálu pro ČPV Hamercký potok"/>
    <m/>
    <s v="Y - 11.11."/>
  </r>
  <r>
    <n v="30"/>
    <d v="2019-10-29T00:00:00"/>
    <m/>
    <x v="2"/>
    <s v="Ešus"/>
    <s v="Cesťák Hamerák"/>
    <s v="ano"/>
    <n v="5340.72"/>
    <s v="Doklad"/>
    <m/>
    <x v="1"/>
    <m/>
    <n v="14204.330000000002"/>
    <s v="Cestovné"/>
    <m/>
    <m/>
  </r>
  <r>
    <n v="31"/>
    <d v="2019-10-29T00:00:00"/>
    <m/>
    <x v="2"/>
    <s v="Roman"/>
    <s v="Cesťák Hamerák"/>
    <s v="ano"/>
    <n v="2671.1"/>
    <s v="Doklad"/>
    <m/>
    <x v="1"/>
    <m/>
    <n v="14204.330000000002"/>
    <s v="Cestovné"/>
    <m/>
    <m/>
  </r>
  <r>
    <n v="32"/>
    <d v="2019-10-29T00:00:00"/>
    <m/>
    <x v="2"/>
    <s v="Simona Kl."/>
    <s v="Cesťák Hamerák"/>
    <s v="ano"/>
    <n v="1883"/>
    <s v="Doklad"/>
    <m/>
    <x v="1"/>
    <m/>
    <n v="14204.330000000002"/>
    <s v="Cestovné"/>
    <m/>
    <m/>
  </r>
  <r>
    <n v="33"/>
    <d v="2019-10-29T00:00:00"/>
    <m/>
    <x v="2"/>
    <s v="Jáchym"/>
    <s v="Cesťák Hamerák"/>
    <s v="ano"/>
    <n v="1665"/>
    <s v="Doklad"/>
    <m/>
    <x v="1"/>
    <m/>
    <n v="14204.330000000002"/>
    <s v="Cestovné"/>
    <m/>
    <m/>
  </r>
  <r>
    <n v="34"/>
    <d v="2019-10-29T00:00:00"/>
    <m/>
    <x v="2"/>
    <s v="Amos"/>
    <s v="Cesťák Hamerák"/>
    <s v="ano"/>
    <n v="2446.4"/>
    <s v="Doklad"/>
    <m/>
    <x v="1"/>
    <m/>
    <n v="14204.330000000002"/>
    <s v="Cestovné"/>
    <m/>
    <m/>
  </r>
  <r>
    <n v="35"/>
    <d v="2019-10-29T00:00:00"/>
    <m/>
    <x v="2"/>
    <s v="Amos"/>
    <s v="Doprava náklady"/>
    <s v="ne"/>
    <n v="750"/>
    <s v="Převod"/>
    <s v="Air OVT"/>
    <x v="0"/>
    <m/>
    <n v="14204.330000000002"/>
    <m/>
    <m/>
    <s v="Y - 30.10."/>
  </r>
  <r>
    <n v="36"/>
    <d v="2019-10-29T00:00:00"/>
    <m/>
    <x v="2"/>
    <s v="Milan"/>
    <s v="Doprava náklady"/>
    <s v="ne"/>
    <n v="500"/>
    <s v="Převod"/>
    <s v="Air OVT"/>
    <x v="0"/>
    <m/>
    <n v="14204.330000000002"/>
    <m/>
    <m/>
    <s v="Y - 30.10."/>
  </r>
  <r>
    <n v="37"/>
    <d v="2019-10-31T00:00:00"/>
    <m/>
    <x v="2"/>
    <s v="Milan"/>
    <s v="Tisk permice (vyúčtování zálohy)"/>
    <s v="ano"/>
    <m/>
    <s v="Doklad"/>
    <m/>
    <x v="0"/>
    <n v="-5900"/>
    <m/>
    <m/>
    <m/>
    <m/>
  </r>
  <r>
    <n v="38"/>
    <d v="2019-10-31T00:00:00"/>
    <m/>
    <x v="2"/>
    <s v="Milan"/>
    <s v="Tisk permice"/>
    <s v="ano"/>
    <n v="5900"/>
    <s v="Doklad"/>
    <m/>
    <x v="0"/>
    <m/>
    <n v="14204.330000000002"/>
    <s v="Nákup materiálu pro ČPV Hamercký potok"/>
    <m/>
    <m/>
  </r>
  <r>
    <n v="39"/>
    <d v="2019-11-12T00:00:00"/>
    <m/>
    <x v="2"/>
    <s v="Simona Kl."/>
    <s v="Doprava náklady"/>
    <s v="ne"/>
    <n v="651"/>
    <s v="Převod"/>
    <s v="Air OVT"/>
    <x v="0"/>
    <m/>
    <m/>
    <m/>
    <m/>
    <m/>
  </r>
  <r>
    <n v="40"/>
    <d v="2019-11-12T00:00:00"/>
    <m/>
    <x v="2"/>
    <s v="Roman Liška"/>
    <s v="Doprava náklady"/>
    <s v="ne"/>
    <n v="957"/>
    <s v="Převod"/>
    <s v="Air OVT"/>
    <x v="0"/>
    <m/>
    <m/>
    <m/>
    <m/>
    <m/>
  </r>
  <r>
    <n v="41"/>
    <d v="2020-01-10T00:00:00"/>
    <m/>
    <x v="6"/>
    <s v="Milan"/>
    <s v="Hrnky náklady /tisk (vyúčtování zálohy)"/>
    <s v="ne"/>
    <m/>
    <s v="Doklad"/>
    <m/>
    <x v="0"/>
    <n v="-6100"/>
    <m/>
    <m/>
    <m/>
    <m/>
  </r>
  <r>
    <n v="42"/>
    <d v="2020-01-10T00:00:00"/>
    <m/>
    <x v="6"/>
    <s v="Milan"/>
    <s v="Hrnky náklady /tisk"/>
    <s v="ne"/>
    <n v="6100"/>
    <s v="Doklad"/>
    <m/>
    <x v="0"/>
    <m/>
    <m/>
    <m/>
    <m/>
    <m/>
  </r>
  <r>
    <n v="43"/>
    <d v="2019-10-09T00:00:00"/>
    <m/>
    <x v="3"/>
    <s v="Ešus"/>
    <s v="Různé náklady (dostal 5000 od KV za zapůjčení vleku 4.8.2019, vracel na účet 611 Kč 9.10.)"/>
    <s v="ne"/>
    <n v="4389"/>
    <s v="Hotově"/>
    <s v="KV za vlek"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Kontingenční tabulka 1" cacheId="3" applyNumberFormats="0" applyBorderFormats="0" applyFontFormats="0" applyPatternFormats="0" applyAlignmentFormats="0" applyWidthHeightFormats="1" dataCaption="Hodnoty" updatedVersion="5" minRefreshableVersion="3" useAutoFormatting="1" itemPrintTitles="1" createdVersion="5" indent="0" outline="1" outlineData="1" multipleFieldFilters="0">
  <location ref="A3:B13" firstHeaderRow="1" firstDataRow="1" firstDataCol="1" rowPageCount="1" colPageCount="1"/>
  <pivotFields count="16">
    <pivotField showAll="0"/>
    <pivotField numFmtId="14" showAll="0"/>
    <pivotField showAll="0"/>
    <pivotField axis="axisRow" showAll="0">
      <items count="10">
        <item x="8"/>
        <item x="6"/>
        <item x="2"/>
        <item x="4"/>
        <item x="0"/>
        <item x="5"/>
        <item x="3"/>
        <item x="7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0" item="1" hier="-1"/>
  </pageFields>
  <dataFields count="1">
    <dataField name="Součet z Částka" fld="7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Kontingenční tabulka 1" cacheId="2" applyNumberFormats="0" applyBorderFormats="0" applyFontFormats="0" applyPatternFormats="0" applyAlignmentFormats="0" applyWidthHeightFormats="1" dataCaption="Hodnoty" updatedVersion="5" minRefreshableVersion="3" useAutoFormatting="1" itemPrintTitles="1" createdVersion="5" indent="0" outline="1" outlineData="1" multipleFieldFilters="0">
  <location ref="F3:G13" firstHeaderRow="1" firstDataRow="1" firstDataCol="1" rowPageCount="1" colPageCount="1"/>
  <pivotFields count="11">
    <pivotField showAll="0"/>
    <pivotField numFmtId="14" showAll="0"/>
    <pivotField showAll="0"/>
    <pivotField axis="axisRow" showAll="0">
      <items count="10">
        <item x="8"/>
        <item x="6"/>
        <item x="2"/>
        <item x="4"/>
        <item x="0"/>
        <item x="5"/>
        <item x="3"/>
        <item x="7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0" item="1" hier="-1"/>
  </pageFields>
  <dataFields count="1">
    <dataField name="Součet z Částka" fld="7" baseField="0" baseItem="1093656560"/>
  </dataFields>
  <formats count="3">
    <format dxfId="2">
      <pivotArea collapsedLevelsAreSubtotals="1" fieldPosition="0">
        <references count="1">
          <reference field="3" count="1">
            <x v="0"/>
          </reference>
        </references>
      </pivotArea>
    </format>
    <format dxfId="1">
      <pivotArea collapsedLevelsAreSubtotals="1" fieldPosition="0">
        <references count="1">
          <reference field="3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workbookViewId="0">
      <selection activeCell="F32" sqref="F32"/>
    </sheetView>
  </sheetViews>
  <sheetFormatPr defaultRowHeight="15" x14ac:dyDescent="0.25"/>
  <cols>
    <col min="1" max="1" width="15.42578125" bestFit="1" customWidth="1"/>
    <col min="3" max="3" width="12.7109375" bestFit="1" customWidth="1"/>
    <col min="4" max="4" width="9.42578125" bestFit="1" customWidth="1"/>
    <col min="5" max="6" width="9.42578125" customWidth="1"/>
    <col min="8" max="8" width="15.42578125" bestFit="1" customWidth="1"/>
    <col min="9" max="9" width="11.140625" bestFit="1" customWidth="1"/>
    <col min="11" max="11" width="11.85546875" bestFit="1" customWidth="1"/>
    <col min="15" max="15" width="14.28515625" customWidth="1"/>
  </cols>
  <sheetData>
    <row r="1" spans="1:21" ht="21" x14ac:dyDescent="0.35">
      <c r="A1" s="147" t="s">
        <v>7</v>
      </c>
      <c r="B1" s="148"/>
      <c r="C1" s="158"/>
      <c r="E1" s="147" t="s">
        <v>22</v>
      </c>
      <c r="F1" s="148"/>
      <c r="G1" s="148"/>
      <c r="H1" s="158"/>
      <c r="J1" s="160" t="s">
        <v>31</v>
      </c>
      <c r="K1" s="161"/>
      <c r="L1" s="161"/>
      <c r="M1" s="161"/>
      <c r="N1" s="162"/>
    </row>
    <row r="2" spans="1:21" x14ac:dyDescent="0.25">
      <c r="A2" s="3"/>
      <c r="B2" s="4" t="s">
        <v>8</v>
      </c>
      <c r="C2" s="5" t="s">
        <v>9</v>
      </c>
      <c r="E2" s="3" t="s">
        <v>23</v>
      </c>
      <c r="F2" s="4"/>
      <c r="G2" s="4"/>
      <c r="H2" s="9">
        <f>40000+15000</f>
        <v>55000</v>
      </c>
      <c r="J2" s="163" t="s">
        <v>28</v>
      </c>
      <c r="K2" s="164"/>
      <c r="L2" s="11">
        <v>65000</v>
      </c>
      <c r="M2" s="4"/>
      <c r="N2" s="5"/>
    </row>
    <row r="3" spans="1:21" x14ac:dyDescent="0.25">
      <c r="A3" s="3" t="s">
        <v>19</v>
      </c>
      <c r="B3" s="4">
        <v>150</v>
      </c>
      <c r="C3" s="5"/>
      <c r="E3" s="3" t="s">
        <v>25</v>
      </c>
      <c r="F3" s="4"/>
      <c r="G3" s="4"/>
      <c r="H3" s="40">
        <f>G12-B12+N12-I12+G23-B23+M23-H23</f>
        <v>158947</v>
      </c>
      <c r="J3" s="163" t="s">
        <v>29</v>
      </c>
      <c r="K3" s="164"/>
      <c r="L3" s="11">
        <v>25000</v>
      </c>
      <c r="M3" s="4" t="s">
        <v>30</v>
      </c>
      <c r="N3" s="5"/>
    </row>
    <row r="4" spans="1:21" x14ac:dyDescent="0.25">
      <c r="A4" s="3" t="s">
        <v>3</v>
      </c>
      <c r="B4" s="4">
        <v>200</v>
      </c>
      <c r="C4" s="5">
        <v>150</v>
      </c>
      <c r="E4" s="3" t="s">
        <v>24</v>
      </c>
      <c r="F4" s="4"/>
      <c r="G4" s="4"/>
      <c r="H4" s="40">
        <f>G12-C12-B12+N12-J12-I12+G23-C23-B23+M23-I23-H23+B42</f>
        <v>158947</v>
      </c>
      <c r="J4" s="163" t="s">
        <v>38</v>
      </c>
      <c r="K4" s="164"/>
      <c r="L4" s="11">
        <v>0</v>
      </c>
      <c r="M4" s="4"/>
      <c r="N4" s="5"/>
    </row>
    <row r="5" spans="1:21" ht="15.75" thickBot="1" x14ac:dyDescent="0.3">
      <c r="A5" s="3" t="s">
        <v>2</v>
      </c>
      <c r="B5" s="4">
        <v>150</v>
      </c>
      <c r="C5" s="5"/>
      <c r="E5" s="6" t="s">
        <v>26</v>
      </c>
      <c r="F5" s="7"/>
      <c r="G5" s="7"/>
      <c r="H5" s="41">
        <f>H2+H4</f>
        <v>213947</v>
      </c>
      <c r="J5" s="165"/>
      <c r="K5" s="166"/>
      <c r="L5" s="7"/>
      <c r="M5" s="7"/>
      <c r="N5" s="8"/>
    </row>
    <row r="6" spans="1:21" x14ac:dyDescent="0.25">
      <c r="A6" s="3" t="s">
        <v>5</v>
      </c>
      <c r="B6" s="4">
        <v>150</v>
      </c>
      <c r="C6" s="5">
        <v>120</v>
      </c>
    </row>
    <row r="7" spans="1:21" ht="15.75" thickBot="1" x14ac:dyDescent="0.3">
      <c r="A7" s="6" t="s">
        <v>4</v>
      </c>
      <c r="B7" s="7">
        <v>100</v>
      </c>
      <c r="C7" s="8"/>
    </row>
    <row r="8" spans="1:21" ht="15.75" thickBot="1" x14ac:dyDescent="0.3"/>
    <row r="9" spans="1:21" ht="21" x14ac:dyDescent="0.35">
      <c r="A9" s="147" t="s">
        <v>20</v>
      </c>
      <c r="B9" s="148"/>
      <c r="C9" s="148"/>
      <c r="D9" s="13" t="s">
        <v>0</v>
      </c>
      <c r="E9" s="13"/>
      <c r="F9" s="13" t="s">
        <v>163</v>
      </c>
      <c r="G9" s="14"/>
      <c r="H9" s="147" t="s">
        <v>18</v>
      </c>
      <c r="I9" s="148"/>
      <c r="J9" s="148"/>
      <c r="K9" s="13" t="s">
        <v>169</v>
      </c>
      <c r="L9" s="13"/>
      <c r="M9" s="13" t="s">
        <v>164</v>
      </c>
      <c r="N9" s="14"/>
      <c r="O9" s="147" t="s">
        <v>165</v>
      </c>
      <c r="P9" s="148"/>
      <c r="Q9" s="148"/>
      <c r="R9" s="13" t="s">
        <v>168</v>
      </c>
      <c r="S9" s="13"/>
      <c r="T9" s="13" t="s">
        <v>170</v>
      </c>
      <c r="U9" s="14"/>
    </row>
    <row r="10" spans="1:21" ht="21" x14ac:dyDescent="0.35">
      <c r="A10" s="15"/>
      <c r="B10" s="153" t="s">
        <v>0</v>
      </c>
      <c r="C10" s="153"/>
      <c r="D10" s="153"/>
      <c r="E10" s="153"/>
      <c r="F10" s="153"/>
      <c r="G10" s="159"/>
      <c r="H10" s="15"/>
      <c r="I10" s="149" t="s">
        <v>169</v>
      </c>
      <c r="J10" s="149"/>
      <c r="K10" s="149"/>
      <c r="L10" s="149"/>
      <c r="M10" s="149"/>
      <c r="N10" s="150"/>
      <c r="O10" s="15"/>
      <c r="P10" s="149" t="s">
        <v>168</v>
      </c>
      <c r="Q10" s="149"/>
      <c r="R10" s="149"/>
      <c r="S10" s="149"/>
      <c r="T10" s="149"/>
      <c r="U10" s="150"/>
    </row>
    <row r="11" spans="1:21" x14ac:dyDescent="0.25">
      <c r="A11" s="16"/>
      <c r="B11" s="17" t="s">
        <v>12</v>
      </c>
      <c r="C11" s="4" t="s">
        <v>10</v>
      </c>
      <c r="D11" s="4" t="s">
        <v>13</v>
      </c>
      <c r="E11" s="4" t="s">
        <v>16</v>
      </c>
      <c r="F11" s="4" t="s">
        <v>14</v>
      </c>
      <c r="G11" s="18" t="s">
        <v>11</v>
      </c>
      <c r="H11" s="16"/>
      <c r="I11" s="17" t="s">
        <v>12</v>
      </c>
      <c r="J11" s="4" t="s">
        <v>10</v>
      </c>
      <c r="K11" s="4" t="s">
        <v>13</v>
      </c>
      <c r="L11" s="4" t="s">
        <v>16</v>
      </c>
      <c r="M11" s="4" t="s">
        <v>14</v>
      </c>
      <c r="N11" s="18" t="s">
        <v>11</v>
      </c>
      <c r="O11" s="16"/>
      <c r="P11" s="17" t="s">
        <v>12</v>
      </c>
      <c r="Q11" s="4" t="s">
        <v>10</v>
      </c>
      <c r="R11" s="4" t="s">
        <v>13</v>
      </c>
      <c r="S11" s="4" t="s">
        <v>16</v>
      </c>
      <c r="T11" s="4" t="s">
        <v>14</v>
      </c>
      <c r="U11" s="18" t="s">
        <v>11</v>
      </c>
    </row>
    <row r="12" spans="1:21" x14ac:dyDescent="0.25">
      <c r="A12" s="3" t="s">
        <v>1</v>
      </c>
      <c r="B12" s="19">
        <v>10000</v>
      </c>
      <c r="C12" s="19">
        <v>0</v>
      </c>
      <c r="D12" s="19"/>
      <c r="E12" s="19"/>
      <c r="F12" s="11"/>
      <c r="G12" s="20">
        <v>57950</v>
      </c>
      <c r="H12" s="3" t="s">
        <v>1</v>
      </c>
      <c r="I12" s="19">
        <v>5000</v>
      </c>
      <c r="J12" s="19">
        <v>0</v>
      </c>
      <c r="K12" s="19"/>
      <c r="L12" s="19"/>
      <c r="M12" s="11"/>
      <c r="N12" s="20">
        <f>43250+1200</f>
        <v>44450</v>
      </c>
      <c r="O12" s="3" t="s">
        <v>1</v>
      </c>
      <c r="P12" s="19">
        <v>5000</v>
      </c>
      <c r="Q12" s="19">
        <v>0</v>
      </c>
      <c r="R12" s="19"/>
      <c r="S12" s="19"/>
      <c r="T12" s="11"/>
      <c r="U12" s="20">
        <v>12750</v>
      </c>
    </row>
    <row r="13" spans="1:21" x14ac:dyDescent="0.25">
      <c r="A13" s="3" t="s">
        <v>19</v>
      </c>
      <c r="B13" s="19">
        <v>0</v>
      </c>
      <c r="C13" s="19">
        <v>0</v>
      </c>
      <c r="D13" s="19">
        <v>256</v>
      </c>
      <c r="E13" s="19"/>
      <c r="F13" s="11">
        <f>(D13-E13)*$B$3</f>
        <v>38400</v>
      </c>
      <c r="G13" s="9"/>
      <c r="H13" s="3" t="s">
        <v>3</v>
      </c>
      <c r="I13" s="19">
        <v>200</v>
      </c>
      <c r="J13" s="19">
        <v>0</v>
      </c>
      <c r="K13" s="19">
        <v>149</v>
      </c>
      <c r="L13" s="19"/>
      <c r="M13" s="11">
        <f>(K13-L13)*$B$4</f>
        <v>29800</v>
      </c>
      <c r="N13" s="9">
        <v>82</v>
      </c>
      <c r="O13" s="3" t="s">
        <v>166</v>
      </c>
      <c r="P13" s="19">
        <v>143</v>
      </c>
      <c r="Q13" s="19">
        <v>0</v>
      </c>
      <c r="R13" s="19">
        <f>143-73</f>
        <v>70</v>
      </c>
      <c r="S13" s="19">
        <v>3</v>
      </c>
      <c r="T13" s="11">
        <f>(R13-S13)*50</f>
        <v>3350</v>
      </c>
      <c r="U13" s="9">
        <v>82</v>
      </c>
    </row>
    <row r="14" spans="1:21" x14ac:dyDescent="0.25">
      <c r="A14" s="3"/>
      <c r="B14" s="19"/>
      <c r="C14" s="19"/>
      <c r="D14" s="19"/>
      <c r="E14" s="19"/>
      <c r="F14" s="11"/>
      <c r="G14" s="9"/>
      <c r="H14" s="3" t="s">
        <v>2</v>
      </c>
      <c r="I14" s="19">
        <v>200</v>
      </c>
      <c r="J14" s="19">
        <v>0</v>
      </c>
      <c r="K14" s="19">
        <v>64</v>
      </c>
      <c r="L14" s="19"/>
      <c r="M14" s="11">
        <f>(K14-L14)*$B$5</f>
        <v>9600</v>
      </c>
      <c r="N14" s="9">
        <v>135</v>
      </c>
      <c r="O14" s="3" t="s">
        <v>167</v>
      </c>
      <c r="P14" s="19">
        <v>400</v>
      </c>
      <c r="Q14" s="19">
        <v>0</v>
      </c>
      <c r="R14" s="19">
        <f>400-312</f>
        <v>88</v>
      </c>
      <c r="S14" s="19"/>
      <c r="T14" s="11">
        <f>(R14-S14)*50</f>
        <v>4400</v>
      </c>
      <c r="U14" s="9">
        <v>135</v>
      </c>
    </row>
    <row r="15" spans="1:21" x14ac:dyDescent="0.25">
      <c r="A15" s="3" t="s">
        <v>5</v>
      </c>
      <c r="B15" s="19">
        <v>0</v>
      </c>
      <c r="C15" s="19">
        <v>0</v>
      </c>
      <c r="D15" s="19">
        <f>309-D13</f>
        <v>53</v>
      </c>
      <c r="E15" s="19">
        <v>6</v>
      </c>
      <c r="F15" s="11">
        <f>(D15-E15)*$B$6</f>
        <v>7050</v>
      </c>
      <c r="G15" s="9">
        <v>0</v>
      </c>
      <c r="H15" s="3" t="s">
        <v>5</v>
      </c>
      <c r="I15" s="19">
        <v>0</v>
      </c>
      <c r="J15" s="19">
        <v>0</v>
      </c>
      <c r="K15" s="19">
        <f>I15-N15</f>
        <v>0</v>
      </c>
      <c r="L15" s="19"/>
      <c r="M15" s="11">
        <f>(K15-L15)*$B$6</f>
        <v>0</v>
      </c>
      <c r="N15" s="9">
        <v>0</v>
      </c>
      <c r="O15" s="3"/>
      <c r="P15" s="19">
        <v>0</v>
      </c>
      <c r="Q15" s="19">
        <v>0</v>
      </c>
      <c r="R15" s="19">
        <f>P15-U15</f>
        <v>0</v>
      </c>
      <c r="S15" s="19"/>
      <c r="T15" s="11">
        <f>(R15-S15)*$B$6</f>
        <v>0</v>
      </c>
      <c r="U15" s="9">
        <v>0</v>
      </c>
    </row>
    <row r="16" spans="1:21" x14ac:dyDescent="0.25">
      <c r="A16" s="3" t="s">
        <v>4</v>
      </c>
      <c r="B16" s="19">
        <v>0</v>
      </c>
      <c r="C16" s="19">
        <v>0</v>
      </c>
      <c r="D16" s="19">
        <v>25</v>
      </c>
      <c r="E16" s="19"/>
      <c r="F16" s="11">
        <f>(D16-E16)*$B$7</f>
        <v>2500</v>
      </c>
      <c r="G16" s="9">
        <v>0</v>
      </c>
      <c r="H16" s="3" t="s">
        <v>4</v>
      </c>
      <c r="I16" s="19">
        <v>0</v>
      </c>
      <c r="J16" s="19">
        <v>0</v>
      </c>
      <c r="K16" s="19">
        <f>I16-N16</f>
        <v>0</v>
      </c>
      <c r="L16" s="19"/>
      <c r="M16" s="11">
        <f>(K16-L16)*$B$7</f>
        <v>0</v>
      </c>
      <c r="N16" s="9">
        <v>0</v>
      </c>
      <c r="O16" s="3"/>
      <c r="P16" s="19">
        <v>0</v>
      </c>
      <c r="Q16" s="19">
        <v>0</v>
      </c>
      <c r="R16" s="19">
        <f>P16-U16</f>
        <v>0</v>
      </c>
      <c r="S16" s="19"/>
      <c r="T16" s="11">
        <f>(R16-S16)*$B$7</f>
        <v>0</v>
      </c>
      <c r="U16" s="9">
        <v>0</v>
      </c>
    </row>
    <row r="17" spans="1:21" x14ac:dyDescent="0.25">
      <c r="A17" s="3" t="s">
        <v>15</v>
      </c>
      <c r="B17" s="4"/>
      <c r="C17" s="4"/>
      <c r="D17" s="4"/>
      <c r="E17" s="11">
        <f>D17+SUM(E12:E16)</f>
        <v>6</v>
      </c>
      <c r="F17" s="42">
        <f>SUM(F13:F16)</f>
        <v>47950</v>
      </c>
      <c r="G17" s="43">
        <f>B12+C12+F17</f>
        <v>57950</v>
      </c>
      <c r="H17" s="3" t="s">
        <v>15</v>
      </c>
      <c r="I17" s="4"/>
      <c r="J17" s="4"/>
      <c r="K17" s="4"/>
      <c r="L17" s="11"/>
      <c r="M17" s="42">
        <f>SUM(M13:M16)</f>
        <v>39400</v>
      </c>
      <c r="N17" s="43">
        <f>I12+J12+M17</f>
        <v>44400</v>
      </c>
      <c r="O17" s="3" t="s">
        <v>15</v>
      </c>
      <c r="P17" s="4"/>
      <c r="Q17" s="4"/>
      <c r="R17" s="4"/>
      <c r="S17" s="11"/>
      <c r="T17" s="42">
        <f>SUM(T13:T16)</f>
        <v>7750</v>
      </c>
      <c r="U17" s="43">
        <f>P12+Q12+T17</f>
        <v>12750</v>
      </c>
    </row>
    <row r="18" spans="1:21" ht="15.75" thickBot="1" x14ac:dyDescent="0.3">
      <c r="A18" s="6" t="s">
        <v>17</v>
      </c>
      <c r="B18" s="7"/>
      <c r="C18" s="7"/>
      <c r="D18" s="7"/>
      <c r="E18" s="7"/>
      <c r="F18" s="7"/>
      <c r="G18" s="44">
        <f>G12-G17</f>
        <v>0</v>
      </c>
      <c r="H18" s="6" t="s">
        <v>17</v>
      </c>
      <c r="I18" s="7"/>
      <c r="J18" s="7"/>
      <c r="K18" s="7"/>
      <c r="L18" s="7"/>
      <c r="M18" s="45"/>
      <c r="N18" s="44">
        <f>N12-N17</f>
        <v>50</v>
      </c>
      <c r="O18" s="6" t="s">
        <v>17</v>
      </c>
      <c r="P18" s="7"/>
      <c r="Q18" s="7"/>
      <c r="R18" s="7"/>
      <c r="S18" s="7"/>
      <c r="T18" s="45"/>
      <c r="U18" s="44">
        <f>U12-U17</f>
        <v>0</v>
      </c>
    </row>
    <row r="19" spans="1:21" ht="15.75" thickBot="1" x14ac:dyDescent="0.3"/>
    <row r="20" spans="1:21" ht="21" x14ac:dyDescent="0.35">
      <c r="A20" s="147" t="s">
        <v>21</v>
      </c>
      <c r="B20" s="148"/>
      <c r="C20" s="148"/>
      <c r="D20" s="13" t="s">
        <v>0</v>
      </c>
      <c r="E20" s="21"/>
      <c r="F20" s="13" t="s">
        <v>45</v>
      </c>
      <c r="G20" s="21"/>
      <c r="H20" s="21"/>
      <c r="I20" s="21"/>
      <c r="J20" s="21"/>
      <c r="K20" s="21"/>
      <c r="L20" s="13" t="s">
        <v>45</v>
      </c>
      <c r="M20" s="22"/>
    </row>
    <row r="21" spans="1:21" ht="21" x14ac:dyDescent="0.35">
      <c r="A21" s="15"/>
      <c r="B21" s="153" t="s">
        <v>8</v>
      </c>
      <c r="C21" s="153"/>
      <c r="D21" s="153"/>
      <c r="E21" s="153"/>
      <c r="F21" s="153"/>
      <c r="G21" s="153"/>
      <c r="H21" s="156" t="s">
        <v>9</v>
      </c>
      <c r="I21" s="156"/>
      <c r="J21" s="156"/>
      <c r="K21" s="156"/>
      <c r="L21" s="156"/>
      <c r="M21" s="157"/>
    </row>
    <row r="22" spans="1:21" x14ac:dyDescent="0.25">
      <c r="A22" s="16"/>
      <c r="B22" s="17" t="s">
        <v>12</v>
      </c>
      <c r="C22" s="4" t="s">
        <v>10</v>
      </c>
      <c r="D22" s="4" t="s">
        <v>13</v>
      </c>
      <c r="E22" s="4" t="s">
        <v>16</v>
      </c>
      <c r="F22" s="4" t="s">
        <v>14</v>
      </c>
      <c r="G22" s="17" t="s">
        <v>11</v>
      </c>
      <c r="H22" s="17" t="s">
        <v>12</v>
      </c>
      <c r="I22" s="4" t="s">
        <v>10</v>
      </c>
      <c r="J22" s="4" t="s">
        <v>13</v>
      </c>
      <c r="K22" s="4" t="s">
        <v>16</v>
      </c>
      <c r="L22" s="4" t="s">
        <v>14</v>
      </c>
      <c r="M22" s="18" t="s">
        <v>11</v>
      </c>
    </row>
    <row r="23" spans="1:21" x14ac:dyDescent="0.25">
      <c r="A23" s="3" t="s">
        <v>1</v>
      </c>
      <c r="B23" s="19">
        <v>10000</v>
      </c>
      <c r="C23" s="19"/>
      <c r="D23" s="19"/>
      <c r="E23" s="19"/>
      <c r="F23" s="11"/>
      <c r="G23" s="23">
        <f>51780+2070</f>
        <v>53850</v>
      </c>
      <c r="H23" s="11">
        <v>10000</v>
      </c>
      <c r="I23" s="19">
        <v>0</v>
      </c>
      <c r="J23" s="19"/>
      <c r="K23" s="19"/>
      <c r="L23" s="11"/>
      <c r="M23" s="20">
        <v>37697</v>
      </c>
    </row>
    <row r="24" spans="1:21" x14ac:dyDescent="0.25">
      <c r="A24" s="3" t="s">
        <v>3</v>
      </c>
      <c r="B24" s="19">
        <v>200</v>
      </c>
      <c r="C24" s="19"/>
      <c r="D24" s="19">
        <v>56</v>
      </c>
      <c r="E24" s="19"/>
      <c r="F24" s="11">
        <f>(D24-E24)*$B$4</f>
        <v>11200</v>
      </c>
      <c r="G24" s="11">
        <f>B24+C24-D24</f>
        <v>144</v>
      </c>
      <c r="H24" s="11">
        <v>200</v>
      </c>
      <c r="I24" s="19"/>
      <c r="J24" s="19">
        <v>74</v>
      </c>
      <c r="K24" s="19"/>
      <c r="L24" s="11">
        <f>(J24-K24)*$C$4</f>
        <v>11100</v>
      </c>
      <c r="M24" s="9">
        <f>H24+I24-J24</f>
        <v>126</v>
      </c>
    </row>
    <row r="25" spans="1:21" x14ac:dyDescent="0.25">
      <c r="A25" s="3" t="s">
        <v>2</v>
      </c>
      <c r="B25" s="19">
        <v>200</v>
      </c>
      <c r="C25" s="19"/>
      <c r="D25" s="19">
        <v>48</v>
      </c>
      <c r="E25" s="19"/>
      <c r="F25" s="11">
        <f>(D25-E25)*$B$5</f>
        <v>7200</v>
      </c>
      <c r="G25" s="11">
        <f>B25+C25-D25</f>
        <v>152</v>
      </c>
      <c r="H25" s="11"/>
      <c r="I25" s="19"/>
      <c r="J25" s="19"/>
      <c r="K25" s="19"/>
      <c r="L25" s="11">
        <f>(J25-K25)*$C$5</f>
        <v>0</v>
      </c>
      <c r="M25" s="9">
        <f>H25+I25-J25</f>
        <v>0</v>
      </c>
    </row>
    <row r="26" spans="1:21" x14ac:dyDescent="0.25">
      <c r="A26" s="3" t="s">
        <v>5</v>
      </c>
      <c r="B26" s="19">
        <v>200</v>
      </c>
      <c r="C26" s="19"/>
      <c r="D26" s="19">
        <v>93</v>
      </c>
      <c r="E26" s="19">
        <v>2</v>
      </c>
      <c r="F26" s="11">
        <f>(D26-E26)*$B$6</f>
        <v>13650</v>
      </c>
      <c r="G26" s="11">
        <f>B26+C26-D26</f>
        <v>107</v>
      </c>
      <c r="H26" s="11">
        <v>400</v>
      </c>
      <c r="I26" s="19"/>
      <c r="J26" s="19">
        <v>154</v>
      </c>
      <c r="K26" s="19">
        <v>16</v>
      </c>
      <c r="L26" s="11">
        <f>(J26-K26)*$C$6</f>
        <v>16560</v>
      </c>
      <c r="M26" s="9">
        <f>H26+I26-J26-K26</f>
        <v>230</v>
      </c>
    </row>
    <row r="27" spans="1:21" x14ac:dyDescent="0.25">
      <c r="A27" s="3" t="s">
        <v>4</v>
      </c>
      <c r="B27" s="19">
        <v>200</v>
      </c>
      <c r="C27" s="19"/>
      <c r="D27" s="19">
        <v>119</v>
      </c>
      <c r="E27" s="19">
        <v>1</v>
      </c>
      <c r="F27" s="11">
        <f>D27*$B$7</f>
        <v>11900</v>
      </c>
      <c r="G27" s="11">
        <f>B27+C27-D27</f>
        <v>81</v>
      </c>
      <c r="H27" s="11"/>
      <c r="I27" s="19"/>
      <c r="J27" s="19"/>
      <c r="K27" s="19"/>
      <c r="L27" s="11">
        <f>J27*$C$7</f>
        <v>0</v>
      </c>
      <c r="M27" s="9">
        <f>H27+I27-J27</f>
        <v>0</v>
      </c>
    </row>
    <row r="28" spans="1:21" x14ac:dyDescent="0.25">
      <c r="A28" s="3" t="s">
        <v>15</v>
      </c>
      <c r="B28" s="4"/>
      <c r="C28" s="4"/>
      <c r="D28" s="4"/>
      <c r="E28" s="4"/>
      <c r="F28" s="42">
        <f>SUM(F24:F27)</f>
        <v>43950</v>
      </c>
      <c r="G28" s="42">
        <f>B23+C23+F28</f>
        <v>53950</v>
      </c>
      <c r="H28" s="4"/>
      <c r="I28" s="4"/>
      <c r="J28" s="4"/>
      <c r="K28" s="11">
        <f>J28+SUM(K23:K27)</f>
        <v>16</v>
      </c>
      <c r="L28" s="42">
        <f>SUM(L24:L27)</f>
        <v>27660</v>
      </c>
      <c r="M28" s="43">
        <f>H23+I23+L28</f>
        <v>37660</v>
      </c>
    </row>
    <row r="29" spans="1:21" ht="15.75" thickBot="1" x14ac:dyDescent="0.3">
      <c r="A29" s="6" t="s">
        <v>17</v>
      </c>
      <c r="B29" s="7"/>
      <c r="C29" s="7"/>
      <c r="D29" s="7"/>
      <c r="E29" s="7"/>
      <c r="F29" s="45"/>
      <c r="G29" s="46">
        <f>G23-G28</f>
        <v>-100</v>
      </c>
      <c r="H29" s="7"/>
      <c r="I29" s="7"/>
      <c r="J29" s="7"/>
      <c r="K29" s="7"/>
      <c r="L29" s="45"/>
      <c r="M29" s="44">
        <f>M23-M28</f>
        <v>37</v>
      </c>
    </row>
    <row r="38" spans="1:14" ht="15.75" thickBot="1" x14ac:dyDescent="0.3"/>
    <row r="39" spans="1:14" ht="21" x14ac:dyDescent="0.35">
      <c r="A39" s="147" t="s">
        <v>109</v>
      </c>
      <c r="B39" s="158"/>
    </row>
    <row r="40" spans="1:14" x14ac:dyDescent="0.25">
      <c r="A40" s="3" t="s">
        <v>110</v>
      </c>
      <c r="B40" s="5">
        <v>0</v>
      </c>
    </row>
    <row r="41" spans="1:14" x14ac:dyDescent="0.25">
      <c r="A41" s="3" t="s">
        <v>111</v>
      </c>
      <c r="B41" s="5">
        <v>0</v>
      </c>
    </row>
    <row r="42" spans="1:14" ht="15.75" thickBot="1" x14ac:dyDescent="0.3">
      <c r="A42" s="6" t="s">
        <v>112</v>
      </c>
      <c r="B42" s="29">
        <f>B40+B41</f>
        <v>0</v>
      </c>
    </row>
    <row r="43" spans="1:14" ht="15.75" thickBot="1" x14ac:dyDescent="0.3"/>
    <row r="44" spans="1:14" ht="21" x14ac:dyDescent="0.35">
      <c r="A44" s="147" t="s">
        <v>39</v>
      </c>
      <c r="B44" s="148"/>
      <c r="C44" s="148"/>
      <c r="D44" s="158"/>
      <c r="F44" s="147" t="s">
        <v>113</v>
      </c>
      <c r="G44" s="148"/>
      <c r="H44" s="158"/>
      <c r="J44" t="s">
        <v>171</v>
      </c>
      <c r="N44" t="s">
        <v>181</v>
      </c>
    </row>
    <row r="45" spans="1:14" x14ac:dyDescent="0.25">
      <c r="A45" s="3" t="s">
        <v>115</v>
      </c>
      <c r="B45" s="11">
        <f>D13</f>
        <v>256</v>
      </c>
      <c r="C45" s="4"/>
      <c r="D45" s="5"/>
      <c r="F45" s="154" t="s">
        <v>40</v>
      </c>
      <c r="G45" s="155"/>
      <c r="H45" s="9">
        <f>F13</f>
        <v>38400</v>
      </c>
      <c r="J45" t="s">
        <v>40</v>
      </c>
      <c r="L45" s="2">
        <v>36000</v>
      </c>
      <c r="N45" s="2">
        <f>H45-L45</f>
        <v>2400</v>
      </c>
    </row>
    <row r="46" spans="1:14" x14ac:dyDescent="0.25">
      <c r="A46" s="3" t="s">
        <v>32</v>
      </c>
      <c r="B46" s="11">
        <f>K13+D24</f>
        <v>205</v>
      </c>
      <c r="C46" s="4" t="s">
        <v>35</v>
      </c>
      <c r="D46" s="9">
        <f>D15+D26</f>
        <v>146</v>
      </c>
      <c r="F46" s="154" t="s">
        <v>41</v>
      </c>
      <c r="G46" s="155"/>
      <c r="H46" s="9">
        <f>M13+M14+F24+F25+L24</f>
        <v>68900</v>
      </c>
      <c r="J46" t="s">
        <v>41</v>
      </c>
      <c r="L46" s="2">
        <v>45840</v>
      </c>
      <c r="N46" s="2">
        <f t="shared" ref="N46:N49" si="0">H46-L46</f>
        <v>23060</v>
      </c>
    </row>
    <row r="47" spans="1:14" x14ac:dyDescent="0.25">
      <c r="A47" s="3" t="s">
        <v>33</v>
      </c>
      <c r="B47" s="11">
        <f>K14+D25</f>
        <v>112</v>
      </c>
      <c r="C47" s="4" t="s">
        <v>36</v>
      </c>
      <c r="D47" s="9">
        <f>D16+D27</f>
        <v>144</v>
      </c>
      <c r="F47" s="154" t="s">
        <v>42</v>
      </c>
      <c r="G47" s="155"/>
      <c r="H47" s="9">
        <f>F15+F16+F26+F27+L26</f>
        <v>51660</v>
      </c>
      <c r="J47" t="s">
        <v>42</v>
      </c>
      <c r="L47" s="2">
        <v>44340</v>
      </c>
      <c r="N47" s="2">
        <f t="shared" si="0"/>
        <v>7320</v>
      </c>
    </row>
    <row r="48" spans="1:14" ht="15.75" thickBot="1" x14ac:dyDescent="0.3">
      <c r="A48" s="6" t="s">
        <v>34</v>
      </c>
      <c r="B48" s="12">
        <f>J24</f>
        <v>74</v>
      </c>
      <c r="C48" s="7" t="s">
        <v>37</v>
      </c>
      <c r="D48" s="10">
        <f>J26</f>
        <v>154</v>
      </c>
      <c r="F48" s="154" t="s">
        <v>43</v>
      </c>
      <c r="G48" s="155"/>
      <c r="H48" s="9">
        <f>SUM(L2:L5)</f>
        <v>90000</v>
      </c>
      <c r="J48" t="s">
        <v>43</v>
      </c>
      <c r="L48" s="2">
        <v>90000</v>
      </c>
      <c r="N48" s="2">
        <f t="shared" si="0"/>
        <v>0</v>
      </c>
    </row>
    <row r="49" spans="1:14" ht="15.75" thickBot="1" x14ac:dyDescent="0.3">
      <c r="F49" s="151" t="s">
        <v>44</v>
      </c>
      <c r="G49" s="152"/>
      <c r="H49" s="25">
        <f>SUM(H45:H48)</f>
        <v>248960</v>
      </c>
      <c r="J49" t="s">
        <v>44</v>
      </c>
      <c r="L49" s="2">
        <v>216180</v>
      </c>
      <c r="N49" s="2">
        <f t="shared" si="0"/>
        <v>32780</v>
      </c>
    </row>
    <row r="52" spans="1:14" ht="15.75" thickBot="1" x14ac:dyDescent="0.3"/>
    <row r="53" spans="1:14" ht="21" x14ac:dyDescent="0.35">
      <c r="A53" s="77" t="s">
        <v>180</v>
      </c>
      <c r="B53" s="76" t="s">
        <v>172</v>
      </c>
      <c r="C53" s="76" t="s">
        <v>173</v>
      </c>
      <c r="D53" s="75" t="s">
        <v>174</v>
      </c>
    </row>
    <row r="54" spans="1:14" ht="15.75" thickBot="1" x14ac:dyDescent="0.3">
      <c r="A54" s="74" t="s">
        <v>115</v>
      </c>
      <c r="B54" s="73">
        <v>300</v>
      </c>
      <c r="C54" s="72">
        <v>120</v>
      </c>
      <c r="D54" s="71">
        <v>36000</v>
      </c>
    </row>
    <row r="55" spans="1:14" x14ac:dyDescent="0.25">
      <c r="A55" s="57" t="s">
        <v>32</v>
      </c>
      <c r="B55" s="67">
        <v>216</v>
      </c>
      <c r="C55" s="70">
        <v>120</v>
      </c>
      <c r="D55" s="65">
        <v>25920</v>
      </c>
    </row>
    <row r="56" spans="1:14" x14ac:dyDescent="0.25">
      <c r="A56" s="64" t="s">
        <v>33</v>
      </c>
      <c r="B56" s="63">
        <v>117</v>
      </c>
      <c r="C56" s="69">
        <v>80</v>
      </c>
      <c r="D56" s="61">
        <v>9360</v>
      </c>
    </row>
    <row r="57" spans="1:14" ht="15.75" thickBot="1" x14ac:dyDescent="0.3">
      <c r="A57" s="55" t="s">
        <v>34</v>
      </c>
      <c r="B57" s="60">
        <v>132</v>
      </c>
      <c r="C57" s="68">
        <v>80</v>
      </c>
      <c r="D57" s="58">
        <v>10560</v>
      </c>
    </row>
    <row r="58" spans="1:14" x14ac:dyDescent="0.25">
      <c r="A58" s="57" t="s">
        <v>35</v>
      </c>
      <c r="B58" s="67">
        <v>132</v>
      </c>
      <c r="C58" s="66">
        <v>120</v>
      </c>
      <c r="D58" s="65">
        <v>15840</v>
      </c>
    </row>
    <row r="59" spans="1:14" x14ac:dyDescent="0.25">
      <c r="A59" s="64" t="s">
        <v>36</v>
      </c>
      <c r="B59" s="63">
        <v>90</v>
      </c>
      <c r="C59" s="62">
        <v>80</v>
      </c>
      <c r="D59" s="61">
        <v>7200</v>
      </c>
    </row>
    <row r="60" spans="1:14" ht="15.75" thickBot="1" x14ac:dyDescent="0.3">
      <c r="A60" s="55" t="s">
        <v>37</v>
      </c>
      <c r="B60" s="60">
        <v>213</v>
      </c>
      <c r="C60" s="59">
        <v>100</v>
      </c>
      <c r="D60" s="58">
        <v>21300</v>
      </c>
    </row>
    <row r="61" spans="1:14" x14ac:dyDescent="0.25">
      <c r="A61" s="47"/>
      <c r="B61" s="47"/>
      <c r="C61" s="57" t="s">
        <v>175</v>
      </c>
      <c r="D61" s="56">
        <v>126180</v>
      </c>
    </row>
    <row r="62" spans="1:14" ht="15.75" thickBot="1" x14ac:dyDescent="0.3">
      <c r="A62" s="47"/>
      <c r="B62" s="47"/>
      <c r="C62" s="55" t="s">
        <v>176</v>
      </c>
      <c r="D62" s="54">
        <v>85000</v>
      </c>
    </row>
    <row r="63" spans="1:14" x14ac:dyDescent="0.25">
      <c r="A63" s="47"/>
      <c r="B63" s="47"/>
      <c r="C63" s="53" t="s">
        <v>177</v>
      </c>
      <c r="D63" s="52">
        <v>211180</v>
      </c>
    </row>
    <row r="64" spans="1:14" x14ac:dyDescent="0.25">
      <c r="A64" s="47"/>
      <c r="B64" s="47"/>
      <c r="C64" s="51" t="s">
        <v>178</v>
      </c>
      <c r="D64" s="50">
        <v>178648</v>
      </c>
    </row>
    <row r="65" spans="1:4" x14ac:dyDescent="0.25">
      <c r="A65" s="47"/>
      <c r="B65" s="47"/>
      <c r="C65" s="49" t="s">
        <v>179</v>
      </c>
      <c r="D65" s="48">
        <v>32532</v>
      </c>
    </row>
  </sheetData>
  <mergeCells count="24">
    <mergeCell ref="A20:C20"/>
    <mergeCell ref="E1:H1"/>
    <mergeCell ref="A1:C1"/>
    <mergeCell ref="J1:N1"/>
    <mergeCell ref="J2:K2"/>
    <mergeCell ref="J3:K3"/>
    <mergeCell ref="J4:K4"/>
    <mergeCell ref="J5:K5"/>
    <mergeCell ref="O9:Q9"/>
    <mergeCell ref="P10:U10"/>
    <mergeCell ref="F49:G49"/>
    <mergeCell ref="B21:G21"/>
    <mergeCell ref="F45:G45"/>
    <mergeCell ref="F46:G46"/>
    <mergeCell ref="F47:G47"/>
    <mergeCell ref="F48:G48"/>
    <mergeCell ref="H21:M21"/>
    <mergeCell ref="F44:H44"/>
    <mergeCell ref="A44:D44"/>
    <mergeCell ref="A39:B39"/>
    <mergeCell ref="H9:J9"/>
    <mergeCell ref="I10:N10"/>
    <mergeCell ref="A9:C9"/>
    <mergeCell ref="B10:G10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workbookViewId="0">
      <pane ySplit="1" topLeftCell="A2" activePane="bottomLeft" state="frozen"/>
      <selection pane="bottomLeft" activeCell="F44" sqref="F44"/>
    </sheetView>
  </sheetViews>
  <sheetFormatPr defaultRowHeight="15" x14ac:dyDescent="0.25"/>
  <cols>
    <col min="2" max="2" width="10" customWidth="1"/>
    <col min="4" max="4" width="11.5703125" bestFit="1" customWidth="1"/>
    <col min="6" max="6" width="34.140625" bestFit="1" customWidth="1"/>
    <col min="9" max="9" width="8.42578125" customWidth="1"/>
    <col min="10" max="10" width="9.5703125" customWidth="1"/>
    <col min="11" max="11" width="10.28515625" bestFit="1" customWidth="1"/>
    <col min="13" max="13" width="11.7109375" customWidth="1"/>
    <col min="14" max="14" width="45.42578125" customWidth="1"/>
    <col min="15" max="15" width="16" customWidth="1"/>
    <col min="16" max="16" width="20.7109375" bestFit="1" customWidth="1"/>
  </cols>
  <sheetData>
    <row r="1" spans="1:16" x14ac:dyDescent="0.25">
      <c r="A1" s="27" t="s">
        <v>134</v>
      </c>
      <c r="B1" s="27" t="s">
        <v>48</v>
      </c>
      <c r="C1" s="27" t="s">
        <v>49</v>
      </c>
      <c r="D1" s="27" t="s">
        <v>50</v>
      </c>
      <c r="E1" s="27" t="s">
        <v>47</v>
      </c>
      <c r="F1" s="27" t="s">
        <v>51</v>
      </c>
      <c r="G1" s="27" t="s">
        <v>52</v>
      </c>
      <c r="H1" s="27" t="s">
        <v>53</v>
      </c>
      <c r="I1" s="27" t="s">
        <v>55</v>
      </c>
      <c r="J1" s="27" t="s">
        <v>75</v>
      </c>
      <c r="K1" s="27" t="s">
        <v>54</v>
      </c>
      <c r="L1" s="27" t="s">
        <v>56</v>
      </c>
      <c r="M1" s="27" t="s">
        <v>77</v>
      </c>
      <c r="N1" s="27" t="s">
        <v>140</v>
      </c>
      <c r="O1" s="27" t="s">
        <v>138</v>
      </c>
      <c r="P1" s="27" t="s">
        <v>141</v>
      </c>
    </row>
    <row r="2" spans="1:16" x14ac:dyDescent="0.25">
      <c r="A2">
        <v>1</v>
      </c>
      <c r="B2" s="28">
        <v>43743</v>
      </c>
      <c r="C2" s="26">
        <v>0.6875</v>
      </c>
      <c r="D2" t="s">
        <v>57</v>
      </c>
      <c r="E2" t="s">
        <v>58</v>
      </c>
      <c r="F2" t="s">
        <v>59</v>
      </c>
      <c r="G2" t="s">
        <v>60</v>
      </c>
      <c r="H2" s="2"/>
      <c r="I2" t="s">
        <v>61</v>
      </c>
      <c r="J2" t="s">
        <v>76</v>
      </c>
      <c r="K2" t="s">
        <v>62</v>
      </c>
      <c r="L2" s="2">
        <v>4000</v>
      </c>
      <c r="M2" s="2">
        <f>'Příjmy old'!H5-IF(AND(I2="Hotově",J2="Hamerák"),H2+L2)</f>
        <v>209947</v>
      </c>
      <c r="P2" t="s">
        <v>142</v>
      </c>
    </row>
    <row r="3" spans="1:16" x14ac:dyDescent="0.25">
      <c r="A3">
        <v>2</v>
      </c>
      <c r="B3" s="28">
        <v>43743</v>
      </c>
      <c r="C3" s="26">
        <v>0.70833333333333337</v>
      </c>
      <c r="D3" t="s">
        <v>63</v>
      </c>
      <c r="E3" t="s">
        <v>45</v>
      </c>
      <c r="F3" t="s">
        <v>65</v>
      </c>
      <c r="G3" t="s">
        <v>66</v>
      </c>
      <c r="H3" s="31">
        <v>37600</v>
      </c>
      <c r="I3" t="s">
        <v>61</v>
      </c>
      <c r="J3" t="s">
        <v>76</v>
      </c>
      <c r="K3" t="s">
        <v>62</v>
      </c>
      <c r="L3" s="2"/>
      <c r="M3" s="2">
        <f>M2-IF(AND(I3="Hotově",J3="Hamerák"),H3+L3)</f>
        <v>172347</v>
      </c>
      <c r="N3" t="s">
        <v>63</v>
      </c>
      <c r="P3" t="s">
        <v>142</v>
      </c>
    </row>
    <row r="4" spans="1:16" x14ac:dyDescent="0.25">
      <c r="A4">
        <v>3</v>
      </c>
      <c r="B4" s="28">
        <v>43744</v>
      </c>
      <c r="C4" s="26">
        <v>0.625</v>
      </c>
      <c r="D4" t="s">
        <v>67</v>
      </c>
      <c r="E4" t="s">
        <v>68</v>
      </c>
      <c r="F4" t="s">
        <v>69</v>
      </c>
      <c r="G4" t="s">
        <v>66</v>
      </c>
      <c r="H4" s="31">
        <v>1281</v>
      </c>
      <c r="I4" t="s">
        <v>61</v>
      </c>
      <c r="J4" t="s">
        <v>76</v>
      </c>
      <c r="K4" t="s">
        <v>62</v>
      </c>
      <c r="L4" s="2"/>
      <c r="M4" s="2">
        <f t="shared" ref="M4:M37" si="0">M3-IF(AND(I4="Hotově",J4="Hamerák"),H4+L4)</f>
        <v>171066</v>
      </c>
      <c r="N4" t="s">
        <v>130</v>
      </c>
      <c r="P4" t="s">
        <v>142</v>
      </c>
    </row>
    <row r="5" spans="1:16" x14ac:dyDescent="0.25">
      <c r="A5">
        <v>4</v>
      </c>
      <c r="B5" s="28">
        <v>43744</v>
      </c>
      <c r="C5" s="26">
        <v>0.625</v>
      </c>
      <c r="D5" t="s">
        <v>57</v>
      </c>
      <c r="E5" t="s">
        <v>58</v>
      </c>
      <c r="F5" t="s">
        <v>70</v>
      </c>
      <c r="G5" t="s">
        <v>60</v>
      </c>
      <c r="H5" s="2"/>
      <c r="I5" t="s">
        <v>61</v>
      </c>
      <c r="J5" t="s">
        <v>76</v>
      </c>
      <c r="K5" t="s">
        <v>62</v>
      </c>
      <c r="L5" s="2">
        <v>-4000</v>
      </c>
      <c r="M5" s="2">
        <f t="shared" si="0"/>
        <v>175066</v>
      </c>
      <c r="P5" t="s">
        <v>142</v>
      </c>
    </row>
    <row r="6" spans="1:16" x14ac:dyDescent="0.25">
      <c r="A6">
        <v>5</v>
      </c>
      <c r="B6" s="28">
        <v>43744</v>
      </c>
      <c r="C6" s="26">
        <v>0.625</v>
      </c>
      <c r="D6" t="s">
        <v>57</v>
      </c>
      <c r="E6" t="s">
        <v>58</v>
      </c>
      <c r="F6" t="s">
        <v>71</v>
      </c>
      <c r="G6" t="s">
        <v>60</v>
      </c>
      <c r="H6" s="2">
        <v>1500</v>
      </c>
      <c r="I6" t="s">
        <v>61</v>
      </c>
      <c r="J6" t="s">
        <v>76</v>
      </c>
      <c r="K6" t="s">
        <v>62</v>
      </c>
      <c r="L6" s="2"/>
      <c r="M6" s="2">
        <f t="shared" si="0"/>
        <v>173566</v>
      </c>
      <c r="P6" t="s">
        <v>142</v>
      </c>
    </row>
    <row r="7" spans="1:16" x14ac:dyDescent="0.25">
      <c r="A7">
        <v>6</v>
      </c>
      <c r="B7" s="28">
        <v>43744</v>
      </c>
      <c r="C7" s="26">
        <v>0.625</v>
      </c>
      <c r="D7" t="s">
        <v>57</v>
      </c>
      <c r="E7" t="s">
        <v>58</v>
      </c>
      <c r="F7" t="s">
        <v>72</v>
      </c>
      <c r="G7" t="s">
        <v>60</v>
      </c>
      <c r="H7" s="2">
        <v>500</v>
      </c>
      <c r="I7" t="s">
        <v>61</v>
      </c>
      <c r="J7" t="s">
        <v>76</v>
      </c>
      <c r="K7" t="s">
        <v>62</v>
      </c>
      <c r="L7" s="2"/>
      <c r="M7" s="2">
        <f t="shared" si="0"/>
        <v>173066</v>
      </c>
      <c r="P7" t="s">
        <v>142</v>
      </c>
    </row>
    <row r="8" spans="1:16" x14ac:dyDescent="0.25">
      <c r="A8">
        <v>7</v>
      </c>
      <c r="B8" s="28">
        <v>43744</v>
      </c>
      <c r="C8" s="26">
        <v>0.625</v>
      </c>
      <c r="D8" t="s">
        <v>57</v>
      </c>
      <c r="E8" t="s">
        <v>58</v>
      </c>
      <c r="F8" t="s">
        <v>73</v>
      </c>
      <c r="G8" t="s">
        <v>60</v>
      </c>
      <c r="H8" s="2">
        <v>1500</v>
      </c>
      <c r="I8" t="s">
        <v>61</v>
      </c>
      <c r="J8" t="s">
        <v>76</v>
      </c>
      <c r="K8" t="s">
        <v>62</v>
      </c>
      <c r="L8" s="2"/>
      <c r="M8" s="2">
        <f t="shared" si="0"/>
        <v>171566</v>
      </c>
      <c r="P8" t="s">
        <v>142</v>
      </c>
    </row>
    <row r="9" spans="1:16" x14ac:dyDescent="0.25">
      <c r="A9">
        <v>8</v>
      </c>
      <c r="B9" s="28">
        <v>43744</v>
      </c>
      <c r="C9" s="26">
        <v>0.625</v>
      </c>
      <c r="D9" t="s">
        <v>94</v>
      </c>
      <c r="E9" t="s">
        <v>58</v>
      </c>
      <c r="F9" t="s">
        <v>74</v>
      </c>
      <c r="G9" t="s">
        <v>135</v>
      </c>
      <c r="H9" s="2">
        <v>2572</v>
      </c>
      <c r="I9" t="s">
        <v>61</v>
      </c>
      <c r="J9" t="s">
        <v>76</v>
      </c>
      <c r="K9" t="s">
        <v>62</v>
      </c>
      <c r="L9" s="2"/>
      <c r="M9" s="2">
        <f t="shared" si="0"/>
        <v>168994</v>
      </c>
      <c r="N9" t="s">
        <v>130</v>
      </c>
      <c r="P9" t="s">
        <v>142</v>
      </c>
    </row>
    <row r="10" spans="1:16" x14ac:dyDescent="0.25">
      <c r="A10">
        <v>9</v>
      </c>
      <c r="B10" s="28">
        <v>43744</v>
      </c>
      <c r="C10" s="26">
        <v>0.625</v>
      </c>
      <c r="D10" t="s">
        <v>27</v>
      </c>
      <c r="E10" t="s">
        <v>58</v>
      </c>
      <c r="F10" t="s">
        <v>78</v>
      </c>
      <c r="G10" t="s">
        <v>60</v>
      </c>
      <c r="H10" s="2">
        <v>4500</v>
      </c>
      <c r="I10" t="s">
        <v>61</v>
      </c>
      <c r="J10" t="s">
        <v>76</v>
      </c>
      <c r="K10" t="s">
        <v>62</v>
      </c>
      <c r="L10" s="2"/>
      <c r="M10" s="2">
        <f t="shared" si="0"/>
        <v>164494</v>
      </c>
      <c r="P10" t="s">
        <v>142</v>
      </c>
    </row>
    <row r="11" spans="1:16" x14ac:dyDescent="0.25">
      <c r="A11">
        <v>10</v>
      </c>
      <c r="B11" s="28">
        <v>43744</v>
      </c>
      <c r="C11" s="26">
        <v>0.625</v>
      </c>
      <c r="D11" t="s">
        <v>79</v>
      </c>
      <c r="E11" t="s">
        <v>64</v>
      </c>
      <c r="F11" t="s">
        <v>80</v>
      </c>
      <c r="G11" t="s">
        <v>66</v>
      </c>
      <c r="H11" s="31">
        <v>1811</v>
      </c>
      <c r="I11" t="s">
        <v>61</v>
      </c>
      <c r="J11" t="s">
        <v>76</v>
      </c>
      <c r="K11" t="s">
        <v>62</v>
      </c>
      <c r="L11" s="2"/>
      <c r="M11" s="2">
        <f t="shared" si="0"/>
        <v>162683</v>
      </c>
      <c r="N11" t="s">
        <v>129</v>
      </c>
      <c r="P11" t="s">
        <v>142</v>
      </c>
    </row>
    <row r="12" spans="1:16" x14ac:dyDescent="0.25">
      <c r="A12">
        <v>11</v>
      </c>
      <c r="B12" s="28">
        <v>43744</v>
      </c>
      <c r="C12" s="26">
        <v>0.625</v>
      </c>
      <c r="D12" t="s">
        <v>79</v>
      </c>
      <c r="E12" t="s">
        <v>64</v>
      </c>
      <c r="F12" t="s">
        <v>81</v>
      </c>
      <c r="G12" t="s">
        <v>60</v>
      </c>
      <c r="H12" s="2">
        <v>5000</v>
      </c>
      <c r="I12" t="s">
        <v>61</v>
      </c>
      <c r="J12" t="s">
        <v>76</v>
      </c>
      <c r="K12" t="s">
        <v>62</v>
      </c>
      <c r="L12" s="2"/>
      <c r="M12" s="2">
        <f t="shared" si="0"/>
        <v>157683</v>
      </c>
      <c r="P12" t="s">
        <v>142</v>
      </c>
    </row>
    <row r="13" spans="1:16" x14ac:dyDescent="0.25">
      <c r="A13">
        <v>12</v>
      </c>
      <c r="B13" s="33">
        <v>43744</v>
      </c>
      <c r="C13" s="36">
        <v>0.625</v>
      </c>
      <c r="D13" s="34" t="s">
        <v>6</v>
      </c>
      <c r="E13" s="34" t="s">
        <v>64</v>
      </c>
      <c r="F13" s="34" t="s">
        <v>82</v>
      </c>
      <c r="G13" s="34" t="s">
        <v>60</v>
      </c>
      <c r="H13" s="35"/>
      <c r="I13" s="34" t="s">
        <v>61</v>
      </c>
      <c r="J13" s="34" t="s">
        <v>76</v>
      </c>
      <c r="K13" s="34" t="s">
        <v>62</v>
      </c>
      <c r="L13" s="2">
        <v>7000</v>
      </c>
      <c r="M13" s="2">
        <f t="shared" si="0"/>
        <v>150683</v>
      </c>
      <c r="P13" t="s">
        <v>142</v>
      </c>
    </row>
    <row r="14" spans="1:16" x14ac:dyDescent="0.25">
      <c r="A14">
        <v>13</v>
      </c>
      <c r="B14" s="33">
        <v>43744</v>
      </c>
      <c r="C14" s="36">
        <v>0.625</v>
      </c>
      <c r="D14" s="34" t="s">
        <v>67</v>
      </c>
      <c r="E14" s="34" t="s">
        <v>64</v>
      </c>
      <c r="F14" s="34" t="s">
        <v>83</v>
      </c>
      <c r="G14" s="34" t="s">
        <v>60</v>
      </c>
      <c r="H14" s="35"/>
      <c r="I14" s="34" t="s">
        <v>61</v>
      </c>
      <c r="J14" s="34" t="s">
        <v>76</v>
      </c>
      <c r="K14" s="34" t="s">
        <v>62</v>
      </c>
      <c r="L14" s="2">
        <v>5000</v>
      </c>
      <c r="M14" s="2">
        <f t="shared" si="0"/>
        <v>145683</v>
      </c>
      <c r="P14" t="s">
        <v>142</v>
      </c>
    </row>
    <row r="15" spans="1:16" x14ac:dyDescent="0.25">
      <c r="A15">
        <v>14</v>
      </c>
      <c r="B15" s="28">
        <v>43744</v>
      </c>
      <c r="C15" s="26">
        <v>0.625</v>
      </c>
      <c r="D15" t="s">
        <v>79</v>
      </c>
      <c r="E15" t="s">
        <v>84</v>
      </c>
      <c r="F15" t="s">
        <v>136</v>
      </c>
      <c r="G15" t="s">
        <v>135</v>
      </c>
      <c r="H15" s="2">
        <v>1507.17</v>
      </c>
      <c r="I15" t="s">
        <v>61</v>
      </c>
      <c r="J15" t="s">
        <v>76</v>
      </c>
      <c r="K15" t="s">
        <v>62</v>
      </c>
      <c r="L15" s="2"/>
      <c r="M15" s="2">
        <f t="shared" si="0"/>
        <v>144175.82999999999</v>
      </c>
      <c r="N15" t="s">
        <v>130</v>
      </c>
      <c r="P15" t="s">
        <v>142</v>
      </c>
    </row>
    <row r="16" spans="1:16" x14ac:dyDescent="0.25">
      <c r="A16">
        <v>15</v>
      </c>
      <c r="B16" s="28">
        <v>43744</v>
      </c>
      <c r="C16" s="26">
        <v>0.625</v>
      </c>
      <c r="D16" t="s">
        <v>79</v>
      </c>
      <c r="E16" t="s">
        <v>84</v>
      </c>
      <c r="F16" t="s">
        <v>137</v>
      </c>
      <c r="G16" t="s">
        <v>66</v>
      </c>
      <c r="H16" s="31">
        <v>171.5</v>
      </c>
      <c r="I16" t="s">
        <v>61</v>
      </c>
      <c r="J16" t="s">
        <v>76</v>
      </c>
      <c r="K16" t="s">
        <v>62</v>
      </c>
      <c r="L16" s="2"/>
      <c r="M16" s="2">
        <f t="shared" si="0"/>
        <v>144004.32999999999</v>
      </c>
      <c r="N16" t="s">
        <v>130</v>
      </c>
      <c r="P16" t="s">
        <v>142</v>
      </c>
    </row>
    <row r="17" spans="1:16" x14ac:dyDescent="0.25">
      <c r="A17">
        <v>16</v>
      </c>
      <c r="B17" s="28">
        <v>43744</v>
      </c>
      <c r="C17" s="26">
        <v>0.625</v>
      </c>
      <c r="D17" t="s">
        <v>79</v>
      </c>
      <c r="E17" t="s">
        <v>84</v>
      </c>
      <c r="F17" t="s">
        <v>114</v>
      </c>
      <c r="G17" t="s">
        <v>139</v>
      </c>
      <c r="H17" s="30">
        <f>1806.67-1507.17-171.5</f>
        <v>128</v>
      </c>
      <c r="I17" t="s">
        <v>61</v>
      </c>
      <c r="J17" t="s">
        <v>76</v>
      </c>
      <c r="K17" t="s">
        <v>62</v>
      </c>
      <c r="L17" s="2"/>
      <c r="M17" s="2">
        <f t="shared" si="0"/>
        <v>143876.32999999999</v>
      </c>
      <c r="N17" t="s">
        <v>130</v>
      </c>
      <c r="P17" t="s">
        <v>142</v>
      </c>
    </row>
    <row r="18" spans="1:16" x14ac:dyDescent="0.25">
      <c r="A18">
        <v>17</v>
      </c>
      <c r="B18" s="28">
        <v>43744</v>
      </c>
      <c r="C18" s="26">
        <v>0.625</v>
      </c>
      <c r="D18" t="s">
        <v>67</v>
      </c>
      <c r="E18" t="s">
        <v>85</v>
      </c>
      <c r="F18" t="s">
        <v>86</v>
      </c>
      <c r="G18" t="s">
        <v>60</v>
      </c>
      <c r="H18" s="2">
        <v>2000</v>
      </c>
      <c r="I18" t="s">
        <v>61</v>
      </c>
      <c r="J18" t="s">
        <v>76</v>
      </c>
      <c r="K18" t="s">
        <v>62</v>
      </c>
      <c r="L18" s="2"/>
      <c r="M18" s="2">
        <f t="shared" si="0"/>
        <v>141876.32999999999</v>
      </c>
      <c r="P18" t="s">
        <v>142</v>
      </c>
    </row>
    <row r="19" spans="1:16" x14ac:dyDescent="0.25">
      <c r="A19">
        <v>18</v>
      </c>
      <c r="B19" s="28">
        <v>43744</v>
      </c>
      <c r="C19" s="26">
        <v>0.625</v>
      </c>
      <c r="D19" t="s">
        <v>67</v>
      </c>
      <c r="E19" t="s">
        <v>85</v>
      </c>
      <c r="F19" t="s">
        <v>86</v>
      </c>
      <c r="G19" t="s">
        <v>66</v>
      </c>
      <c r="H19" s="31">
        <v>1680</v>
      </c>
      <c r="I19" t="s">
        <v>52</v>
      </c>
      <c r="J19" t="s">
        <v>76</v>
      </c>
      <c r="K19" t="s">
        <v>100</v>
      </c>
      <c r="L19" s="2"/>
      <c r="M19" s="2">
        <f t="shared" si="0"/>
        <v>141876.32999999999</v>
      </c>
      <c r="N19" t="s">
        <v>131</v>
      </c>
    </row>
    <row r="20" spans="1:16" x14ac:dyDescent="0.25">
      <c r="A20">
        <v>19</v>
      </c>
      <c r="B20" s="28">
        <v>43746</v>
      </c>
      <c r="C20" s="26">
        <v>0.45833333333333331</v>
      </c>
      <c r="D20" t="s">
        <v>67</v>
      </c>
      <c r="E20" t="s">
        <v>87</v>
      </c>
      <c r="F20" t="s">
        <v>88</v>
      </c>
      <c r="G20" t="s">
        <v>60</v>
      </c>
      <c r="H20" s="2">
        <v>68500</v>
      </c>
      <c r="I20" t="s">
        <v>61</v>
      </c>
      <c r="J20" t="s">
        <v>76</v>
      </c>
      <c r="K20" t="s">
        <v>62</v>
      </c>
      <c r="L20" s="2"/>
      <c r="M20" s="2">
        <f t="shared" si="0"/>
        <v>73376.329999999987</v>
      </c>
      <c r="P20" t="s">
        <v>142</v>
      </c>
    </row>
    <row r="21" spans="1:16" x14ac:dyDescent="0.25">
      <c r="A21">
        <v>20</v>
      </c>
      <c r="B21" s="28">
        <v>43746</v>
      </c>
      <c r="C21" s="26">
        <v>0.45833333333333331</v>
      </c>
      <c r="D21" t="s">
        <v>27</v>
      </c>
      <c r="E21" t="s">
        <v>87</v>
      </c>
      <c r="F21" t="s">
        <v>88</v>
      </c>
      <c r="G21" t="s">
        <v>60</v>
      </c>
      <c r="H21" s="2">
        <v>10000</v>
      </c>
      <c r="I21" t="s">
        <v>27</v>
      </c>
      <c r="J21" t="s">
        <v>27</v>
      </c>
      <c r="K21" t="s">
        <v>62</v>
      </c>
      <c r="L21" s="2"/>
      <c r="M21" s="2">
        <f t="shared" si="0"/>
        <v>73376.329999999987</v>
      </c>
      <c r="P21" t="s">
        <v>143</v>
      </c>
    </row>
    <row r="22" spans="1:16" x14ac:dyDescent="0.25">
      <c r="A22">
        <v>21</v>
      </c>
      <c r="B22" s="33">
        <v>43675</v>
      </c>
      <c r="C22" s="34"/>
      <c r="D22" s="34" t="s">
        <v>94</v>
      </c>
      <c r="E22" s="34" t="s">
        <v>58</v>
      </c>
      <c r="F22" s="34" t="s">
        <v>89</v>
      </c>
      <c r="G22" s="34" t="s">
        <v>60</v>
      </c>
      <c r="H22" s="35">
        <v>247</v>
      </c>
      <c r="I22" s="34" t="s">
        <v>91</v>
      </c>
      <c r="J22" s="34" t="s">
        <v>92</v>
      </c>
      <c r="K22" s="34" t="s">
        <v>62</v>
      </c>
      <c r="L22" s="2"/>
      <c r="M22" s="2">
        <f t="shared" si="0"/>
        <v>73376.329999999987</v>
      </c>
      <c r="P22" t="s">
        <v>144</v>
      </c>
    </row>
    <row r="23" spans="1:16" x14ac:dyDescent="0.25">
      <c r="A23">
        <v>22</v>
      </c>
      <c r="B23" s="33">
        <v>43675</v>
      </c>
      <c r="C23" s="34"/>
      <c r="D23" s="34" t="s">
        <v>94</v>
      </c>
      <c r="E23" s="34" t="s">
        <v>58</v>
      </c>
      <c r="F23" s="34" t="s">
        <v>90</v>
      </c>
      <c r="G23" s="34" t="s">
        <v>60</v>
      </c>
      <c r="H23" s="35">
        <v>114</v>
      </c>
      <c r="I23" s="34" t="s">
        <v>91</v>
      </c>
      <c r="J23" s="34" t="s">
        <v>92</v>
      </c>
      <c r="K23" s="34" t="s">
        <v>62</v>
      </c>
      <c r="L23" s="2"/>
      <c r="M23" s="2">
        <f t="shared" si="0"/>
        <v>73376.329999999987</v>
      </c>
      <c r="P23" t="s">
        <v>144</v>
      </c>
    </row>
    <row r="24" spans="1:16" x14ac:dyDescent="0.25">
      <c r="A24">
        <v>23</v>
      </c>
      <c r="B24" s="33">
        <v>43675</v>
      </c>
      <c r="C24" s="34"/>
      <c r="D24" s="34" t="s">
        <v>94</v>
      </c>
      <c r="E24" s="34" t="s">
        <v>45</v>
      </c>
      <c r="F24" s="34" t="s">
        <v>93</v>
      </c>
      <c r="G24" s="34" t="s">
        <v>66</v>
      </c>
      <c r="H24" s="35">
        <v>443</v>
      </c>
      <c r="I24" s="34" t="s">
        <v>91</v>
      </c>
      <c r="J24" s="34" t="s">
        <v>92</v>
      </c>
      <c r="K24" s="34" t="s">
        <v>62</v>
      </c>
      <c r="L24" s="2"/>
      <c r="M24" s="2">
        <f t="shared" si="0"/>
        <v>73376.329999999987</v>
      </c>
      <c r="N24" t="s">
        <v>130</v>
      </c>
      <c r="P24" t="s">
        <v>145</v>
      </c>
    </row>
    <row r="25" spans="1:16" x14ac:dyDescent="0.25">
      <c r="A25">
        <v>24</v>
      </c>
      <c r="B25" s="33">
        <v>43675</v>
      </c>
      <c r="C25" s="34"/>
      <c r="D25" s="34" t="s">
        <v>94</v>
      </c>
      <c r="E25" s="34" t="s">
        <v>46</v>
      </c>
      <c r="F25" s="34" t="s">
        <v>96</v>
      </c>
      <c r="G25" s="34" t="s">
        <v>60</v>
      </c>
      <c r="H25" s="35">
        <v>3033</v>
      </c>
      <c r="I25" s="34" t="s">
        <v>91</v>
      </c>
      <c r="J25" s="34" t="s">
        <v>92</v>
      </c>
      <c r="K25" s="34" t="s">
        <v>62</v>
      </c>
      <c r="L25" s="2"/>
      <c r="M25" s="2">
        <f t="shared" si="0"/>
        <v>73376.329999999987</v>
      </c>
      <c r="P25" t="s">
        <v>145</v>
      </c>
    </row>
    <row r="26" spans="1:16" x14ac:dyDescent="0.25">
      <c r="A26">
        <v>25</v>
      </c>
      <c r="B26" s="33">
        <v>43675</v>
      </c>
      <c r="C26" s="34"/>
      <c r="D26" s="34" t="s">
        <v>67</v>
      </c>
      <c r="E26" s="34" t="s">
        <v>95</v>
      </c>
      <c r="F26" s="34" t="s">
        <v>97</v>
      </c>
      <c r="G26" s="34" t="s">
        <v>66</v>
      </c>
      <c r="H26" s="35">
        <v>6000</v>
      </c>
      <c r="I26" s="34" t="s">
        <v>91</v>
      </c>
      <c r="J26" s="34" t="s">
        <v>98</v>
      </c>
      <c r="K26" s="34" t="s">
        <v>62</v>
      </c>
      <c r="L26" s="2"/>
      <c r="M26" s="2">
        <f t="shared" si="0"/>
        <v>73376.329999999987</v>
      </c>
      <c r="N26" t="s">
        <v>131</v>
      </c>
      <c r="P26" t="s">
        <v>146</v>
      </c>
    </row>
    <row r="27" spans="1:16" x14ac:dyDescent="0.25">
      <c r="A27">
        <v>26</v>
      </c>
      <c r="B27" s="33">
        <v>43675</v>
      </c>
      <c r="C27" s="34"/>
      <c r="D27" s="34" t="s">
        <v>57</v>
      </c>
      <c r="E27" s="34" t="s">
        <v>95</v>
      </c>
      <c r="F27" s="34" t="s">
        <v>99</v>
      </c>
      <c r="G27" s="34" t="s">
        <v>66</v>
      </c>
      <c r="H27" s="35">
        <v>12100</v>
      </c>
      <c r="I27" s="34" t="s">
        <v>91</v>
      </c>
      <c r="J27" s="34" t="s">
        <v>98</v>
      </c>
      <c r="K27" s="34" t="s">
        <v>62</v>
      </c>
      <c r="L27" s="2"/>
      <c r="M27" s="2">
        <f t="shared" si="0"/>
        <v>73376.329999999987</v>
      </c>
      <c r="N27" t="s">
        <v>133</v>
      </c>
      <c r="P27" t="s">
        <v>147</v>
      </c>
    </row>
    <row r="28" spans="1:16" x14ac:dyDescent="0.25">
      <c r="A28">
        <v>27</v>
      </c>
      <c r="B28" s="33">
        <v>43752</v>
      </c>
      <c r="C28" s="34"/>
      <c r="D28" s="34" t="s">
        <v>117</v>
      </c>
      <c r="E28" s="34" t="s">
        <v>58</v>
      </c>
      <c r="F28" s="34" t="s">
        <v>118</v>
      </c>
      <c r="G28" s="34" t="s">
        <v>119</v>
      </c>
      <c r="H28" s="35">
        <v>418</v>
      </c>
      <c r="I28" s="34" t="s">
        <v>91</v>
      </c>
      <c r="J28" s="34" t="s">
        <v>92</v>
      </c>
      <c r="K28" s="34" t="s">
        <v>62</v>
      </c>
      <c r="L28" s="2"/>
      <c r="M28" s="2">
        <f t="shared" si="0"/>
        <v>73376.329999999987</v>
      </c>
      <c r="P28" t="s">
        <v>148</v>
      </c>
    </row>
    <row r="29" spans="1:16" x14ac:dyDescent="0.25">
      <c r="A29">
        <v>28</v>
      </c>
      <c r="B29" s="33">
        <v>43752</v>
      </c>
      <c r="C29" s="34"/>
      <c r="D29" s="34" t="s">
        <v>122</v>
      </c>
      <c r="E29" s="34" t="s">
        <v>120</v>
      </c>
      <c r="F29" s="34" t="s">
        <v>121</v>
      </c>
      <c r="G29" s="34" t="s">
        <v>66</v>
      </c>
      <c r="H29" s="35">
        <v>662</v>
      </c>
      <c r="I29" s="34" t="s">
        <v>91</v>
      </c>
      <c r="J29" s="34" t="s">
        <v>92</v>
      </c>
      <c r="K29" s="34" t="s">
        <v>62</v>
      </c>
      <c r="M29" s="2">
        <f t="shared" si="0"/>
        <v>73376.329999999987</v>
      </c>
      <c r="N29" t="s">
        <v>130</v>
      </c>
      <c r="P29" t="s">
        <v>149</v>
      </c>
    </row>
    <row r="30" spans="1:16" x14ac:dyDescent="0.25">
      <c r="A30">
        <v>29</v>
      </c>
      <c r="B30" s="33">
        <v>43752</v>
      </c>
      <c r="C30" s="34"/>
      <c r="D30" s="34" t="s">
        <v>122</v>
      </c>
      <c r="E30" s="34" t="s">
        <v>120</v>
      </c>
      <c r="F30" s="34" t="s">
        <v>123</v>
      </c>
      <c r="G30" s="34" t="s">
        <v>66</v>
      </c>
      <c r="H30" s="35">
        <v>366.9</v>
      </c>
      <c r="I30" s="34" t="s">
        <v>91</v>
      </c>
      <c r="J30" s="34" t="s">
        <v>92</v>
      </c>
      <c r="K30" s="34" t="s">
        <v>62</v>
      </c>
      <c r="M30" s="2">
        <f t="shared" si="0"/>
        <v>73376.329999999987</v>
      </c>
      <c r="N30" t="s">
        <v>130</v>
      </c>
      <c r="P30" t="s">
        <v>149</v>
      </c>
    </row>
    <row r="31" spans="1:16" x14ac:dyDescent="0.25">
      <c r="A31">
        <v>30</v>
      </c>
      <c r="B31" s="28">
        <v>43767</v>
      </c>
      <c r="D31" t="s">
        <v>67</v>
      </c>
      <c r="E31" t="s">
        <v>58</v>
      </c>
      <c r="F31" t="s">
        <v>124</v>
      </c>
      <c r="G31" t="s">
        <v>66</v>
      </c>
      <c r="H31" s="31">
        <v>5340.72</v>
      </c>
      <c r="I31" t="s">
        <v>52</v>
      </c>
      <c r="K31" t="s">
        <v>100</v>
      </c>
      <c r="M31" s="2">
        <f t="shared" si="0"/>
        <v>73376.329999999987</v>
      </c>
      <c r="N31" t="s">
        <v>132</v>
      </c>
    </row>
    <row r="32" spans="1:16" x14ac:dyDescent="0.25">
      <c r="A32">
        <v>31</v>
      </c>
      <c r="B32" s="28">
        <v>43767</v>
      </c>
      <c r="D32" t="s">
        <v>67</v>
      </c>
      <c r="E32" t="s">
        <v>120</v>
      </c>
      <c r="F32" t="s">
        <v>124</v>
      </c>
      <c r="G32" t="s">
        <v>66</v>
      </c>
      <c r="H32" s="31">
        <v>2671.1</v>
      </c>
      <c r="I32" t="s">
        <v>52</v>
      </c>
      <c r="K32" t="s">
        <v>100</v>
      </c>
      <c r="M32" s="2">
        <f t="shared" si="0"/>
        <v>73376.329999999987</v>
      </c>
      <c r="N32" t="s">
        <v>132</v>
      </c>
    </row>
    <row r="33" spans="1:16" x14ac:dyDescent="0.25">
      <c r="A33">
        <v>32</v>
      </c>
      <c r="B33" s="28">
        <v>43767</v>
      </c>
      <c r="D33" t="s">
        <v>67</v>
      </c>
      <c r="E33" t="s">
        <v>125</v>
      </c>
      <c r="F33" t="s">
        <v>124</v>
      </c>
      <c r="G33" t="s">
        <v>66</v>
      </c>
      <c r="H33" s="31">
        <v>1883</v>
      </c>
      <c r="I33" t="s">
        <v>52</v>
      </c>
      <c r="K33" t="s">
        <v>100</v>
      </c>
      <c r="M33" s="2">
        <f t="shared" si="0"/>
        <v>73376.329999999987</v>
      </c>
      <c r="N33" t="s">
        <v>132</v>
      </c>
    </row>
    <row r="34" spans="1:16" x14ac:dyDescent="0.25">
      <c r="A34">
        <v>33</v>
      </c>
      <c r="B34" s="28">
        <v>43767</v>
      </c>
      <c r="D34" t="s">
        <v>67</v>
      </c>
      <c r="E34" t="s">
        <v>126</v>
      </c>
      <c r="F34" t="s">
        <v>124</v>
      </c>
      <c r="G34" t="s">
        <v>66</v>
      </c>
      <c r="H34" s="31">
        <v>1665</v>
      </c>
      <c r="I34" t="s">
        <v>52</v>
      </c>
      <c r="K34" t="s">
        <v>100</v>
      </c>
      <c r="M34" s="2">
        <f t="shared" si="0"/>
        <v>73376.329999999987</v>
      </c>
      <c r="N34" t="s">
        <v>132</v>
      </c>
    </row>
    <row r="35" spans="1:16" x14ac:dyDescent="0.25">
      <c r="A35">
        <v>34</v>
      </c>
      <c r="B35" s="28">
        <v>43767</v>
      </c>
      <c r="D35" t="s">
        <v>67</v>
      </c>
      <c r="E35" t="s">
        <v>68</v>
      </c>
      <c r="F35" t="s">
        <v>124</v>
      </c>
      <c r="G35" t="s">
        <v>66</v>
      </c>
      <c r="H35" s="31">
        <v>2446.4</v>
      </c>
      <c r="I35" t="s">
        <v>52</v>
      </c>
      <c r="K35" t="s">
        <v>100</v>
      </c>
      <c r="M35" s="2">
        <f t="shared" si="0"/>
        <v>73376.329999999987</v>
      </c>
      <c r="N35" t="s">
        <v>132</v>
      </c>
    </row>
    <row r="36" spans="1:16" x14ac:dyDescent="0.25">
      <c r="A36">
        <v>35</v>
      </c>
      <c r="B36" s="33">
        <v>43767</v>
      </c>
      <c r="C36" s="34"/>
      <c r="D36" s="34" t="s">
        <v>67</v>
      </c>
      <c r="E36" s="34" t="s">
        <v>68</v>
      </c>
      <c r="F36" s="34" t="s">
        <v>127</v>
      </c>
      <c r="G36" s="34" t="s">
        <v>60</v>
      </c>
      <c r="H36" s="35">
        <v>750</v>
      </c>
      <c r="I36" s="34" t="s">
        <v>91</v>
      </c>
      <c r="J36" s="34" t="s">
        <v>92</v>
      </c>
      <c r="K36" s="34" t="s">
        <v>62</v>
      </c>
      <c r="M36" s="2">
        <f t="shared" si="0"/>
        <v>73376.329999999987</v>
      </c>
      <c r="P36" t="s">
        <v>150</v>
      </c>
    </row>
    <row r="37" spans="1:16" x14ac:dyDescent="0.25">
      <c r="A37">
        <v>36</v>
      </c>
      <c r="B37" s="33">
        <v>43767</v>
      </c>
      <c r="C37" s="34"/>
      <c r="D37" s="34" t="s">
        <v>67</v>
      </c>
      <c r="E37" s="34" t="s">
        <v>64</v>
      </c>
      <c r="F37" s="34" t="s">
        <v>127</v>
      </c>
      <c r="G37" s="34" t="s">
        <v>60</v>
      </c>
      <c r="H37" s="35">
        <v>500</v>
      </c>
      <c r="I37" s="34" t="s">
        <v>91</v>
      </c>
      <c r="J37" s="34" t="s">
        <v>92</v>
      </c>
      <c r="K37" s="34" t="s">
        <v>62</v>
      </c>
      <c r="M37" s="2">
        <f t="shared" si="0"/>
        <v>73376.329999999987</v>
      </c>
      <c r="P37" t="s">
        <v>150</v>
      </c>
    </row>
    <row r="38" spans="1:16" x14ac:dyDescent="0.25">
      <c r="A38">
        <v>37</v>
      </c>
      <c r="B38" s="33">
        <v>43769</v>
      </c>
      <c r="C38" s="34"/>
      <c r="D38" s="34" t="s">
        <v>67</v>
      </c>
      <c r="E38" s="34" t="s">
        <v>64</v>
      </c>
      <c r="F38" s="34" t="s">
        <v>158</v>
      </c>
      <c r="G38" s="34" t="s">
        <v>66</v>
      </c>
      <c r="H38" s="35"/>
      <c r="I38" s="34" t="s">
        <v>52</v>
      </c>
      <c r="J38" s="34"/>
      <c r="K38" s="34" t="s">
        <v>62</v>
      </c>
      <c r="L38" s="2">
        <v>-5900</v>
      </c>
      <c r="M38" s="2"/>
    </row>
    <row r="39" spans="1:16" x14ac:dyDescent="0.25">
      <c r="A39">
        <v>38</v>
      </c>
      <c r="B39" s="33">
        <v>43769</v>
      </c>
      <c r="C39" s="34"/>
      <c r="D39" s="34" t="s">
        <v>67</v>
      </c>
      <c r="E39" s="34" t="s">
        <v>64</v>
      </c>
      <c r="F39" s="34" t="s">
        <v>128</v>
      </c>
      <c r="G39" s="34" t="s">
        <v>66</v>
      </c>
      <c r="H39" s="35">
        <v>5900</v>
      </c>
      <c r="I39" s="34" t="s">
        <v>52</v>
      </c>
      <c r="J39" s="34"/>
      <c r="K39" s="34" t="s">
        <v>62</v>
      </c>
      <c r="L39" s="2"/>
      <c r="M39" s="2">
        <f>M37-IF(AND(I39="Hotově",J39="Hamerák"),H39+L39)</f>
        <v>73376.329999999987</v>
      </c>
      <c r="N39" t="s">
        <v>130</v>
      </c>
    </row>
    <row r="40" spans="1:16" x14ac:dyDescent="0.25">
      <c r="A40">
        <v>39</v>
      </c>
      <c r="B40" s="33">
        <v>43781</v>
      </c>
      <c r="C40" s="34"/>
      <c r="D40" s="34" t="s">
        <v>67</v>
      </c>
      <c r="E40" s="34" t="s">
        <v>125</v>
      </c>
      <c r="F40" s="34" t="s">
        <v>127</v>
      </c>
      <c r="G40" s="34" t="s">
        <v>60</v>
      </c>
      <c r="H40" s="35">
        <v>651</v>
      </c>
      <c r="I40" s="34" t="s">
        <v>91</v>
      </c>
      <c r="J40" s="34" t="s">
        <v>92</v>
      </c>
      <c r="K40" s="34" t="s">
        <v>62</v>
      </c>
    </row>
    <row r="41" spans="1:16" x14ac:dyDescent="0.25">
      <c r="A41">
        <v>40</v>
      </c>
      <c r="B41" s="33">
        <v>43781</v>
      </c>
      <c r="C41" s="34"/>
      <c r="D41" s="34" t="s">
        <v>67</v>
      </c>
      <c r="E41" s="34" t="s">
        <v>152</v>
      </c>
      <c r="F41" s="34" t="s">
        <v>127</v>
      </c>
      <c r="G41" s="34" t="s">
        <v>60</v>
      </c>
      <c r="H41" s="35">
        <v>957</v>
      </c>
      <c r="I41" s="34" t="s">
        <v>91</v>
      </c>
      <c r="J41" s="34" t="s">
        <v>92</v>
      </c>
      <c r="K41" s="34" t="s">
        <v>62</v>
      </c>
    </row>
    <row r="42" spans="1:16" x14ac:dyDescent="0.25">
      <c r="A42">
        <v>41</v>
      </c>
      <c r="B42" s="33">
        <v>43840</v>
      </c>
      <c r="C42" s="34"/>
      <c r="D42" s="34" t="s">
        <v>6</v>
      </c>
      <c r="E42" s="34" t="s">
        <v>64</v>
      </c>
      <c r="F42" s="34" t="s">
        <v>159</v>
      </c>
      <c r="G42" s="34" t="s">
        <v>60</v>
      </c>
      <c r="H42" s="35"/>
      <c r="I42" s="34" t="s">
        <v>52</v>
      </c>
      <c r="J42" s="34"/>
      <c r="K42" s="34" t="s">
        <v>62</v>
      </c>
      <c r="L42" s="2">
        <v>-6100</v>
      </c>
    </row>
    <row r="43" spans="1:16" x14ac:dyDescent="0.25">
      <c r="A43">
        <v>42</v>
      </c>
      <c r="B43" s="33">
        <v>43840</v>
      </c>
      <c r="C43" s="34"/>
      <c r="D43" s="34" t="s">
        <v>6</v>
      </c>
      <c r="E43" s="34" t="s">
        <v>64</v>
      </c>
      <c r="F43" s="34" t="s">
        <v>153</v>
      </c>
      <c r="G43" s="34" t="s">
        <v>60</v>
      </c>
      <c r="H43" s="35">
        <v>6100</v>
      </c>
      <c r="I43" s="34" t="s">
        <v>52</v>
      </c>
      <c r="J43" s="34"/>
      <c r="K43" s="34" t="s">
        <v>62</v>
      </c>
      <c r="L43" s="2"/>
    </row>
    <row r="44" spans="1:16" x14ac:dyDescent="0.25">
      <c r="A44">
        <v>43</v>
      </c>
      <c r="B44" s="33">
        <v>43747</v>
      </c>
      <c r="C44" s="34"/>
      <c r="D44" s="34" t="s">
        <v>94</v>
      </c>
      <c r="E44" s="34" t="s">
        <v>58</v>
      </c>
      <c r="F44" s="34" t="s">
        <v>156</v>
      </c>
      <c r="G44" s="34" t="s">
        <v>60</v>
      </c>
      <c r="H44" s="35">
        <v>4389</v>
      </c>
      <c r="I44" s="34" t="s">
        <v>61</v>
      </c>
      <c r="J44" s="34" t="s">
        <v>157</v>
      </c>
      <c r="K44" s="34" t="s">
        <v>62</v>
      </c>
    </row>
    <row r="45" spans="1:16" x14ac:dyDescent="0.25">
      <c r="B45" s="28"/>
    </row>
    <row r="46" spans="1:16" x14ac:dyDescent="0.25">
      <c r="B46" s="28"/>
      <c r="F46" t="s">
        <v>116</v>
      </c>
      <c r="M46">
        <f>5000+9037</f>
        <v>14037</v>
      </c>
    </row>
    <row r="48" spans="1:16" ht="21" x14ac:dyDescent="0.35">
      <c r="B48" s="1" t="s">
        <v>101</v>
      </c>
    </row>
    <row r="49" spans="2:9" x14ac:dyDescent="0.25">
      <c r="B49" t="s">
        <v>102</v>
      </c>
      <c r="D49" s="2">
        <f>SUM(H2:H110)+SUM(L2:L110)</f>
        <v>196887.78999999998</v>
      </c>
      <c r="E49" s="32" t="s">
        <v>151</v>
      </c>
      <c r="F49" s="32"/>
      <c r="G49" s="32"/>
      <c r="H49" s="32"/>
      <c r="I49" s="32"/>
    </row>
    <row r="50" spans="2:9" x14ac:dyDescent="0.25">
      <c r="B50" t="s">
        <v>104</v>
      </c>
      <c r="D50" s="2">
        <f>'Příjmy old'!H49</f>
        <v>248960</v>
      </c>
    </row>
    <row r="51" spans="2:9" x14ac:dyDescent="0.25">
      <c r="B51" t="s">
        <v>103</v>
      </c>
      <c r="D51" s="2">
        <f>'Příjmy old'!H49-D49</f>
        <v>52072.210000000021</v>
      </c>
    </row>
    <row r="54" spans="2:9" x14ac:dyDescent="0.25">
      <c r="B54" t="s">
        <v>154</v>
      </c>
      <c r="D54" s="2">
        <v>181202</v>
      </c>
    </row>
    <row r="55" spans="2:9" x14ac:dyDescent="0.25">
      <c r="B55" t="s">
        <v>155</v>
      </c>
      <c r="D55" s="2">
        <f>D50</f>
        <v>248960</v>
      </c>
    </row>
    <row r="56" spans="2:9" x14ac:dyDescent="0.25">
      <c r="D56" s="24">
        <f>D55-D54</f>
        <v>67758</v>
      </c>
    </row>
  </sheetData>
  <autoFilter ref="A1:P51" xr:uid="{00000000-0009-0000-0000-00000100000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D8" sqref="D8"/>
    </sheetView>
  </sheetViews>
  <sheetFormatPr defaultRowHeight="15" x14ac:dyDescent="0.25"/>
  <cols>
    <col min="1" max="1" width="15.7109375" bestFit="1" customWidth="1"/>
    <col min="2" max="2" width="14.5703125" customWidth="1"/>
  </cols>
  <sheetData>
    <row r="1" spans="1:8" x14ac:dyDescent="0.25">
      <c r="A1" s="37" t="s">
        <v>54</v>
      </c>
      <c r="B1" t="s">
        <v>62</v>
      </c>
    </row>
    <row r="3" spans="1:8" x14ac:dyDescent="0.25">
      <c r="A3" s="37" t="s">
        <v>161</v>
      </c>
      <c r="B3" t="s">
        <v>160</v>
      </c>
    </row>
    <row r="4" spans="1:8" x14ac:dyDescent="0.25">
      <c r="A4" s="38" t="s">
        <v>122</v>
      </c>
      <c r="B4" s="2">
        <v>1028.9000000000001</v>
      </c>
      <c r="F4" t="s">
        <v>171</v>
      </c>
    </row>
    <row r="5" spans="1:8" x14ac:dyDescent="0.25">
      <c r="A5" s="38" t="s">
        <v>6</v>
      </c>
      <c r="B5" s="2">
        <v>6100</v>
      </c>
      <c r="F5" t="s">
        <v>40</v>
      </c>
      <c r="H5" s="2">
        <v>36000</v>
      </c>
    </row>
    <row r="6" spans="1:8" x14ac:dyDescent="0.25">
      <c r="A6" s="38" t="s">
        <v>67</v>
      </c>
      <c r="B6" s="2">
        <v>86539</v>
      </c>
      <c r="F6" t="s">
        <v>41</v>
      </c>
      <c r="H6" s="2">
        <v>45840</v>
      </c>
    </row>
    <row r="7" spans="1:8" x14ac:dyDescent="0.25">
      <c r="A7" s="38" t="s">
        <v>27</v>
      </c>
      <c r="B7" s="2">
        <v>14500</v>
      </c>
      <c r="F7" t="s">
        <v>42</v>
      </c>
      <c r="H7" s="2">
        <v>44340</v>
      </c>
    </row>
    <row r="8" spans="1:8" x14ac:dyDescent="0.25">
      <c r="A8" s="38" t="s">
        <v>57</v>
      </c>
      <c r="B8" s="2">
        <v>15600</v>
      </c>
      <c r="F8" t="s">
        <v>43</v>
      </c>
      <c r="H8" s="2">
        <v>90000</v>
      </c>
    </row>
    <row r="9" spans="1:8" x14ac:dyDescent="0.25">
      <c r="A9" s="38" t="s">
        <v>79</v>
      </c>
      <c r="B9" s="2">
        <v>8617.67</v>
      </c>
      <c r="F9" t="s">
        <v>44</v>
      </c>
      <c r="H9" s="2">
        <v>216180</v>
      </c>
    </row>
    <row r="10" spans="1:8" x14ac:dyDescent="0.25">
      <c r="A10" s="38" t="s">
        <v>94</v>
      </c>
      <c r="B10" s="2">
        <v>10798</v>
      </c>
    </row>
    <row r="11" spans="1:8" x14ac:dyDescent="0.25">
      <c r="A11" s="38" t="s">
        <v>117</v>
      </c>
      <c r="B11" s="2">
        <v>418</v>
      </c>
    </row>
    <row r="12" spans="1:8" x14ac:dyDescent="0.25">
      <c r="A12" s="38" t="s">
        <v>63</v>
      </c>
      <c r="B12" s="2">
        <v>37600</v>
      </c>
    </row>
    <row r="13" spans="1:8" x14ac:dyDescent="0.25">
      <c r="A13" s="38" t="s">
        <v>162</v>
      </c>
      <c r="B13" s="2">
        <v>181201.57</v>
      </c>
    </row>
  </sheetData>
  <pageMargins left="0.7" right="0.7" top="0.78740157499999996" bottom="0.78740157499999996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B4" sqref="B4"/>
    </sheetView>
  </sheetViews>
  <sheetFormatPr defaultRowHeight="15" x14ac:dyDescent="0.25"/>
  <cols>
    <col min="1" max="1" width="16.7109375" bestFit="1" customWidth="1"/>
    <col min="6" max="6" width="15.7109375" bestFit="1" customWidth="1"/>
    <col min="7" max="7" width="14.5703125" customWidth="1"/>
  </cols>
  <sheetData>
    <row r="1" spans="1:7" ht="21" x14ac:dyDescent="0.35">
      <c r="A1" s="167" t="s">
        <v>105</v>
      </c>
      <c r="B1" s="167"/>
      <c r="C1" s="167"/>
      <c r="D1" s="167"/>
      <c r="F1" s="37" t="s">
        <v>54</v>
      </c>
      <c r="G1" t="s">
        <v>62</v>
      </c>
    </row>
    <row r="2" spans="1:7" x14ac:dyDescent="0.25">
      <c r="A2" t="s">
        <v>106</v>
      </c>
      <c r="B2" s="24">
        <f>B3-B4</f>
        <v>67758.429999999993</v>
      </c>
    </row>
    <row r="3" spans="1:7" x14ac:dyDescent="0.25">
      <c r="A3" t="s">
        <v>107</v>
      </c>
      <c r="B3" s="2">
        <f>'Příjmy old'!H49</f>
        <v>248960</v>
      </c>
      <c r="F3" s="37" t="s">
        <v>161</v>
      </c>
      <c r="G3" t="s">
        <v>160</v>
      </c>
    </row>
    <row r="4" spans="1:7" x14ac:dyDescent="0.25">
      <c r="A4" t="s">
        <v>108</v>
      </c>
      <c r="B4" s="2">
        <v>181201.57</v>
      </c>
      <c r="F4" s="38" t="s">
        <v>122</v>
      </c>
      <c r="G4" s="39">
        <v>1028.9000000000001</v>
      </c>
    </row>
    <row r="5" spans="1:7" x14ac:dyDescent="0.25">
      <c r="F5" s="38" t="s">
        <v>6</v>
      </c>
      <c r="G5" s="39">
        <v>6100</v>
      </c>
    </row>
    <row r="6" spans="1:7" x14ac:dyDescent="0.25">
      <c r="F6" s="38" t="s">
        <v>67</v>
      </c>
      <c r="G6" s="39">
        <v>96539</v>
      </c>
    </row>
    <row r="7" spans="1:7" x14ac:dyDescent="0.25">
      <c r="F7" s="38" t="s">
        <v>27</v>
      </c>
      <c r="G7" s="39">
        <v>4500</v>
      </c>
    </row>
    <row r="8" spans="1:7" x14ac:dyDescent="0.25">
      <c r="F8" s="38" t="s">
        <v>57</v>
      </c>
      <c r="G8" s="39">
        <v>15600</v>
      </c>
    </row>
    <row r="9" spans="1:7" x14ac:dyDescent="0.25">
      <c r="F9" s="38" t="s">
        <v>79</v>
      </c>
      <c r="G9" s="39">
        <v>8617.67</v>
      </c>
    </row>
    <row r="10" spans="1:7" x14ac:dyDescent="0.25">
      <c r="F10" s="38" t="s">
        <v>94</v>
      </c>
      <c r="G10" s="39">
        <v>10798</v>
      </c>
    </row>
    <row r="11" spans="1:7" x14ac:dyDescent="0.25">
      <c r="F11" s="38" t="s">
        <v>117</v>
      </c>
      <c r="G11" s="39">
        <v>418</v>
      </c>
    </row>
    <row r="12" spans="1:7" x14ac:dyDescent="0.25">
      <c r="F12" s="38" t="s">
        <v>63</v>
      </c>
      <c r="G12" s="39">
        <v>37600</v>
      </c>
    </row>
    <row r="13" spans="1:7" x14ac:dyDescent="0.25">
      <c r="F13" s="38" t="s">
        <v>162</v>
      </c>
      <c r="G13" s="39">
        <v>181201.57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33"/>
  <sheetViews>
    <sheetView workbookViewId="0">
      <selection activeCell="A32" sqref="A32:B32"/>
    </sheetView>
  </sheetViews>
  <sheetFormatPr defaultRowHeight="15" x14ac:dyDescent="0.25"/>
  <cols>
    <col min="1" max="1" width="16.140625" customWidth="1"/>
    <col min="2" max="2" width="11.140625" customWidth="1"/>
    <col min="3" max="3" width="12.7109375" bestFit="1" customWidth="1"/>
    <col min="4" max="4" width="12.7109375" customWidth="1"/>
    <col min="5" max="5" width="9.42578125" bestFit="1" customWidth="1"/>
    <col min="6" max="7" width="9.42578125" customWidth="1"/>
    <col min="9" max="9" width="15.42578125" bestFit="1" customWidth="1"/>
    <col min="10" max="10" width="11.140625" bestFit="1" customWidth="1"/>
    <col min="12" max="12" width="11.85546875" bestFit="1" customWidth="1"/>
    <col min="16" max="16" width="14.28515625" customWidth="1"/>
  </cols>
  <sheetData>
    <row r="1" spans="1:15" ht="21.75" thickBot="1" x14ac:dyDescent="0.4">
      <c r="A1" s="184" t="s">
        <v>226</v>
      </c>
      <c r="B1" s="185"/>
      <c r="C1" s="185"/>
      <c r="D1" s="185"/>
      <c r="F1" s="147" t="s">
        <v>22</v>
      </c>
      <c r="G1" s="148"/>
      <c r="H1" s="148"/>
      <c r="I1" s="158"/>
      <c r="K1" s="160" t="s">
        <v>31</v>
      </c>
      <c r="L1" s="161"/>
      <c r="M1" s="161"/>
      <c r="N1" s="161"/>
      <c r="O1" s="162"/>
    </row>
    <row r="2" spans="1:15" ht="15.75" thickBot="1" x14ac:dyDescent="0.3">
      <c r="A2" s="101" t="s">
        <v>186</v>
      </c>
      <c r="B2" s="102" t="s">
        <v>173</v>
      </c>
      <c r="C2" s="102" t="s">
        <v>172</v>
      </c>
      <c r="D2" s="102" t="s">
        <v>228</v>
      </c>
      <c r="F2" s="163" t="s">
        <v>23</v>
      </c>
      <c r="G2" s="178"/>
      <c r="H2" s="164"/>
      <c r="I2" s="9">
        <f>40000+15000</f>
        <v>55000</v>
      </c>
      <c r="K2" s="163" t="s">
        <v>28</v>
      </c>
      <c r="L2" s="164"/>
      <c r="M2" s="11">
        <v>65000</v>
      </c>
      <c r="N2" s="4"/>
      <c r="O2" s="5"/>
    </row>
    <row r="3" spans="1:15" x14ac:dyDescent="0.25">
      <c r="A3" s="95" t="s">
        <v>19</v>
      </c>
      <c r="B3" s="98">
        <v>150</v>
      </c>
      <c r="C3" s="98">
        <f>Pokladny!P2</f>
        <v>256</v>
      </c>
      <c r="D3" s="112">
        <f>B3*C3</f>
        <v>38400</v>
      </c>
      <c r="F3" s="163" t="s">
        <v>25</v>
      </c>
      <c r="G3" s="178"/>
      <c r="H3" s="164"/>
      <c r="I3" s="40">
        <f>Pokladny!N2</f>
        <v>169767</v>
      </c>
      <c r="K3" s="163" t="s">
        <v>29</v>
      </c>
      <c r="L3" s="164"/>
      <c r="M3" s="11"/>
      <c r="N3" s="4" t="s">
        <v>225</v>
      </c>
      <c r="O3" s="5"/>
    </row>
    <row r="4" spans="1:15" x14ac:dyDescent="0.25">
      <c r="A4" s="96" t="s">
        <v>35</v>
      </c>
      <c r="B4" s="98">
        <v>150</v>
      </c>
      <c r="C4" s="99">
        <f>Pokladny!Q2</f>
        <v>138</v>
      </c>
      <c r="D4" s="112">
        <f t="shared" ref="D4:D13" si="0">B4*C4</f>
        <v>20700</v>
      </c>
      <c r="F4" s="163" t="s">
        <v>24</v>
      </c>
      <c r="G4" s="178"/>
      <c r="H4" s="164"/>
      <c r="I4" s="40">
        <f>Pokladny!I2</f>
        <v>169610</v>
      </c>
      <c r="K4" s="163" t="s">
        <v>38</v>
      </c>
      <c r="L4" s="164"/>
      <c r="M4" s="11">
        <v>0</v>
      </c>
      <c r="N4" s="4"/>
      <c r="O4" s="5"/>
    </row>
    <row r="5" spans="1:15" ht="15.75" thickBot="1" x14ac:dyDescent="0.3">
      <c r="A5" s="96" t="s">
        <v>36</v>
      </c>
      <c r="B5" s="98">
        <v>100</v>
      </c>
      <c r="C5" s="99">
        <f>Pokladny!R2</f>
        <v>143</v>
      </c>
      <c r="D5" s="112">
        <f t="shared" si="0"/>
        <v>14300</v>
      </c>
      <c r="F5" s="163" t="s">
        <v>224</v>
      </c>
      <c r="G5" s="178"/>
      <c r="H5" s="164"/>
      <c r="I5" s="40">
        <f>Pokladny!O2</f>
        <v>157</v>
      </c>
      <c r="K5" s="176" t="s">
        <v>44</v>
      </c>
      <c r="L5" s="177"/>
      <c r="M5" s="107">
        <f>SUM(M2:M4)</f>
        <v>65000</v>
      </c>
      <c r="N5" s="7"/>
      <c r="O5" s="8"/>
    </row>
    <row r="6" spans="1:15" ht="15.75" thickBot="1" x14ac:dyDescent="0.3">
      <c r="A6" s="96" t="s">
        <v>37</v>
      </c>
      <c r="B6" s="98">
        <v>120</v>
      </c>
      <c r="C6" s="99">
        <f>Pokladny!S2</f>
        <v>138</v>
      </c>
      <c r="D6" s="112">
        <f t="shared" si="0"/>
        <v>16560</v>
      </c>
      <c r="F6" s="179" t="s">
        <v>223</v>
      </c>
      <c r="G6" s="180"/>
      <c r="H6" s="181"/>
      <c r="I6" s="108">
        <f>-C28</f>
        <v>-163105</v>
      </c>
    </row>
    <row r="7" spans="1:15" ht="15.75" thickBot="1" x14ac:dyDescent="0.3">
      <c r="A7" s="96" t="s">
        <v>32</v>
      </c>
      <c r="B7" s="98">
        <v>200</v>
      </c>
      <c r="C7" s="99">
        <f>Pokladny!T2</f>
        <v>205</v>
      </c>
      <c r="D7" s="112">
        <f t="shared" si="0"/>
        <v>41000</v>
      </c>
      <c r="F7" s="182" t="s">
        <v>26</v>
      </c>
      <c r="G7" s="183"/>
      <c r="H7" s="183"/>
      <c r="I7" s="125">
        <f>I2+I3+I6</f>
        <v>61662</v>
      </c>
    </row>
    <row r="8" spans="1:15" ht="15.75" thickBot="1" x14ac:dyDescent="0.3">
      <c r="A8" s="96" t="s">
        <v>33</v>
      </c>
      <c r="B8" s="98">
        <v>150</v>
      </c>
      <c r="C8" s="99">
        <f>Pokladny!U2</f>
        <v>112</v>
      </c>
      <c r="D8" s="112">
        <f t="shared" si="0"/>
        <v>16800</v>
      </c>
      <c r="F8" s="126" t="s">
        <v>283</v>
      </c>
      <c r="G8" s="127"/>
      <c r="H8" s="127"/>
      <c r="I8" s="109">
        <f>I2+I4+I6</f>
        <v>61505</v>
      </c>
    </row>
    <row r="9" spans="1:15" ht="21" x14ac:dyDescent="0.35">
      <c r="A9" s="96" t="s">
        <v>34</v>
      </c>
      <c r="B9" s="98">
        <v>150</v>
      </c>
      <c r="C9" s="99">
        <f>Pokladny!V2</f>
        <v>74</v>
      </c>
      <c r="D9" s="112">
        <f t="shared" si="0"/>
        <v>11100</v>
      </c>
      <c r="K9" s="147" t="s">
        <v>275</v>
      </c>
      <c r="L9" s="148"/>
      <c r="M9" s="148"/>
      <c r="N9" s="158"/>
    </row>
    <row r="10" spans="1:15" x14ac:dyDescent="0.25">
      <c r="A10" s="96" t="s">
        <v>184</v>
      </c>
      <c r="B10" s="98">
        <v>50</v>
      </c>
      <c r="C10" s="99">
        <f>Pokladny!W2</f>
        <v>150</v>
      </c>
      <c r="D10" s="112">
        <f t="shared" si="0"/>
        <v>7500</v>
      </c>
      <c r="K10" s="154" t="s">
        <v>276</v>
      </c>
      <c r="L10" s="155"/>
      <c r="M10" s="155"/>
      <c r="N10" s="9">
        <v>153170</v>
      </c>
    </row>
    <row r="11" spans="1:15" x14ac:dyDescent="0.25">
      <c r="A11" s="96" t="s">
        <v>220</v>
      </c>
      <c r="B11" s="98">
        <v>50</v>
      </c>
      <c r="C11" s="99"/>
      <c r="D11" s="112">
        <f t="shared" si="0"/>
        <v>0</v>
      </c>
      <c r="K11" s="154" t="s">
        <v>27</v>
      </c>
      <c r="L11" s="155"/>
      <c r="M11" s="155"/>
      <c r="N11" s="9">
        <f>M5</f>
        <v>65000</v>
      </c>
    </row>
    <row r="12" spans="1:15" x14ac:dyDescent="0.25">
      <c r="A12" s="96" t="s">
        <v>219</v>
      </c>
      <c r="B12" s="99">
        <v>50</v>
      </c>
      <c r="C12" s="99"/>
      <c r="D12" s="112">
        <f t="shared" si="0"/>
        <v>0</v>
      </c>
      <c r="K12" s="154" t="s">
        <v>277</v>
      </c>
      <c r="L12" s="155"/>
      <c r="M12" s="155"/>
      <c r="N12" s="9">
        <f>-C33</f>
        <v>-223139.9</v>
      </c>
    </row>
    <row r="13" spans="1:15" ht="15.75" thickBot="1" x14ac:dyDescent="0.3">
      <c r="A13" s="96" t="s">
        <v>185</v>
      </c>
      <c r="B13" s="99">
        <v>50</v>
      </c>
      <c r="C13" s="99">
        <f>Pokladny!X2</f>
        <v>65</v>
      </c>
      <c r="D13" s="112">
        <f t="shared" si="0"/>
        <v>3250</v>
      </c>
      <c r="K13" s="170" t="s">
        <v>188</v>
      </c>
      <c r="L13" s="171"/>
      <c r="M13" s="171"/>
      <c r="N13" s="25">
        <f>SUM(N10:N12)</f>
        <v>-4969.8999999999942</v>
      </c>
    </row>
    <row r="14" spans="1:15" x14ac:dyDescent="0.25">
      <c r="A14" s="96"/>
      <c r="B14" s="99"/>
      <c r="C14" s="99"/>
      <c r="D14" s="113"/>
    </row>
    <row r="15" spans="1:15" ht="15.75" thickBot="1" x14ac:dyDescent="0.3">
      <c r="A15" s="97"/>
      <c r="B15" s="100"/>
      <c r="C15" s="100"/>
      <c r="D15" s="114"/>
    </row>
    <row r="16" spans="1:15" ht="15.75" thickBot="1" x14ac:dyDescent="0.3">
      <c r="D16" s="115">
        <f>SUM(D3:D13)</f>
        <v>169610</v>
      </c>
    </row>
    <row r="17" spans="1:9" ht="15.75" thickBot="1" x14ac:dyDescent="0.3"/>
    <row r="18" spans="1:9" ht="21" x14ac:dyDescent="0.35">
      <c r="A18" s="160" t="s">
        <v>113</v>
      </c>
      <c r="B18" s="161"/>
      <c r="C18" s="162"/>
      <c r="E18" t="s">
        <v>171</v>
      </c>
      <c r="I18" t="s">
        <v>181</v>
      </c>
    </row>
    <row r="19" spans="1:9" x14ac:dyDescent="0.25">
      <c r="A19" s="163" t="s">
        <v>40</v>
      </c>
      <c r="B19" s="164"/>
      <c r="C19" s="9">
        <f>D3</f>
        <v>38400</v>
      </c>
      <c r="E19" t="s">
        <v>40</v>
      </c>
      <c r="G19" s="2">
        <v>36000</v>
      </c>
      <c r="I19" s="2">
        <f>C19-G19</f>
        <v>2400</v>
      </c>
    </row>
    <row r="20" spans="1:9" x14ac:dyDescent="0.25">
      <c r="A20" s="163" t="s">
        <v>42</v>
      </c>
      <c r="B20" s="164"/>
      <c r="C20" s="9">
        <f>SUM(D4:D6)</f>
        <v>51560</v>
      </c>
      <c r="E20" t="s">
        <v>42</v>
      </c>
      <c r="G20" s="2">
        <v>44340</v>
      </c>
      <c r="I20" s="2">
        <f t="shared" ref="I20:I24" si="1">C20-G20</f>
        <v>7220</v>
      </c>
    </row>
    <row r="21" spans="1:9" x14ac:dyDescent="0.25">
      <c r="A21" s="163" t="s">
        <v>41</v>
      </c>
      <c r="B21" s="164"/>
      <c r="C21" s="9">
        <f>SUM(D7:D9)</f>
        <v>68900</v>
      </c>
      <c r="E21" t="s">
        <v>41</v>
      </c>
      <c r="G21" s="2">
        <v>45840</v>
      </c>
      <c r="I21" s="2">
        <f t="shared" si="1"/>
        <v>23060</v>
      </c>
    </row>
    <row r="22" spans="1:9" x14ac:dyDescent="0.25">
      <c r="A22" s="163" t="s">
        <v>166</v>
      </c>
      <c r="B22" s="164"/>
      <c r="C22" s="9">
        <f>SUM(D10:D13)</f>
        <v>10750</v>
      </c>
      <c r="E22" t="s">
        <v>166</v>
      </c>
      <c r="G22" s="2">
        <v>0</v>
      </c>
      <c r="I22" s="2">
        <f t="shared" si="1"/>
        <v>10750</v>
      </c>
    </row>
    <row r="23" spans="1:9" x14ac:dyDescent="0.25">
      <c r="A23" s="163" t="s">
        <v>43</v>
      </c>
      <c r="B23" s="164"/>
      <c r="C23" s="9">
        <f>M5</f>
        <v>65000</v>
      </c>
      <c r="E23" t="s">
        <v>43</v>
      </c>
      <c r="G23" s="2">
        <v>90000</v>
      </c>
      <c r="I23" s="2">
        <f t="shared" si="1"/>
        <v>-25000</v>
      </c>
    </row>
    <row r="24" spans="1:9" ht="15.75" thickBot="1" x14ac:dyDescent="0.3">
      <c r="A24" s="176" t="s">
        <v>44</v>
      </c>
      <c r="B24" s="177"/>
      <c r="C24" s="25">
        <f>SUM(C19:C23)</f>
        <v>234610</v>
      </c>
      <c r="E24" t="s">
        <v>44</v>
      </c>
      <c r="G24" s="2">
        <v>216180</v>
      </c>
      <c r="I24" s="2">
        <f t="shared" si="1"/>
        <v>18430</v>
      </c>
    </row>
    <row r="26" spans="1:9" ht="15.75" thickBot="1" x14ac:dyDescent="0.3"/>
    <row r="27" spans="1:9" ht="21" x14ac:dyDescent="0.35">
      <c r="A27" s="147" t="s">
        <v>269</v>
      </c>
      <c r="B27" s="148"/>
      <c r="C27" s="158"/>
      <c r="F27" t="s">
        <v>273</v>
      </c>
    </row>
    <row r="28" spans="1:9" x14ac:dyDescent="0.25">
      <c r="A28" s="172" t="s">
        <v>22</v>
      </c>
      <c r="B28" s="173"/>
      <c r="C28" s="9">
        <f>SUM('Výdaje hotově'!$I$2:$I$10)</f>
        <v>163105</v>
      </c>
    </row>
    <row r="29" spans="1:9" x14ac:dyDescent="0.25">
      <c r="A29" s="172" t="s">
        <v>270</v>
      </c>
      <c r="B29" s="173"/>
      <c r="C29" s="9">
        <f>SUMIF('Výdaje účet'!$K$2:$K$23,"TJ",'Výdaje účet'!$I$2:$I$53)</f>
        <v>33800</v>
      </c>
    </row>
    <row r="30" spans="1:9" x14ac:dyDescent="0.25">
      <c r="A30" s="172" t="s">
        <v>271</v>
      </c>
      <c r="B30" s="173"/>
      <c r="C30" s="9">
        <f>SUMIF('Výdaje účet'!$K$2:$K$23,"Air",'Výdaje účet'!$I$2:$I$53)</f>
        <v>13734.9</v>
      </c>
    </row>
    <row r="31" spans="1:9" x14ac:dyDescent="0.25">
      <c r="A31" s="172" t="s">
        <v>272</v>
      </c>
      <c r="B31" s="173"/>
      <c r="C31" s="9">
        <f>SUMIF('Výdaje účet'!$K$2:$K$23,"Fio",'Výdaje účet'!$I$2:$I$53)</f>
        <v>0</v>
      </c>
    </row>
    <row r="32" spans="1:9" ht="15.75" thickBot="1" x14ac:dyDescent="0.3">
      <c r="A32" s="174" t="s">
        <v>274</v>
      </c>
      <c r="B32" s="175"/>
      <c r="C32" s="124">
        <f>SUMIF('Výdaje účet'!$K$2:$K$23,"",'Výdaje účet'!$I$2:$I$53)</f>
        <v>12500</v>
      </c>
    </row>
    <row r="33" spans="1:3" ht="15.75" thickBot="1" x14ac:dyDescent="0.3">
      <c r="A33" s="168" t="s">
        <v>44</v>
      </c>
      <c r="B33" s="169"/>
      <c r="C33" s="109">
        <f>SUM(C28:C32)</f>
        <v>223139.9</v>
      </c>
    </row>
  </sheetData>
  <mergeCells count="32">
    <mergeCell ref="F6:H6"/>
    <mergeCell ref="A18:C18"/>
    <mergeCell ref="F7:H7"/>
    <mergeCell ref="A1:D1"/>
    <mergeCell ref="A22:B22"/>
    <mergeCell ref="A19:B19"/>
    <mergeCell ref="A20:B20"/>
    <mergeCell ref="A21:B21"/>
    <mergeCell ref="K5:L5"/>
    <mergeCell ref="F1:I1"/>
    <mergeCell ref="K1:O1"/>
    <mergeCell ref="K2:L2"/>
    <mergeCell ref="K3:L3"/>
    <mergeCell ref="K4:L4"/>
    <mergeCell ref="F2:H2"/>
    <mergeCell ref="F3:H3"/>
    <mergeCell ref="F4:H4"/>
    <mergeCell ref="F5:H5"/>
    <mergeCell ref="A33:B33"/>
    <mergeCell ref="K9:N9"/>
    <mergeCell ref="K10:M10"/>
    <mergeCell ref="K11:M11"/>
    <mergeCell ref="K12:M12"/>
    <mergeCell ref="K13:M13"/>
    <mergeCell ref="A27:C27"/>
    <mergeCell ref="A28:B28"/>
    <mergeCell ref="A29:B29"/>
    <mergeCell ref="A30:B30"/>
    <mergeCell ref="A32:B32"/>
    <mergeCell ref="A31:B31"/>
    <mergeCell ref="A23:B23"/>
    <mergeCell ref="A24:B24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Q112"/>
  <sheetViews>
    <sheetView tabSelected="1" topLeftCell="B1" workbookViewId="0">
      <pane ySplit="1" topLeftCell="A2" activePane="bottomLeft" state="frozen"/>
      <selection pane="bottomLeft" activeCell="G21" sqref="G21"/>
    </sheetView>
  </sheetViews>
  <sheetFormatPr defaultRowHeight="15" x14ac:dyDescent="0.25"/>
  <cols>
    <col min="2" max="2" width="10" customWidth="1"/>
    <col min="5" max="5" width="11.5703125" bestFit="1" customWidth="1"/>
    <col min="6" max="6" width="13.42578125" customWidth="1"/>
    <col min="7" max="7" width="34.140625" bestFit="1" customWidth="1"/>
    <col min="10" max="10" width="8.42578125" customWidth="1"/>
    <col min="11" max="11" width="9.5703125" customWidth="1"/>
    <col min="12" max="12" width="10.28515625" bestFit="1" customWidth="1"/>
    <col min="14" max="14" width="11.7109375" customWidth="1"/>
    <col min="15" max="15" width="45.42578125" customWidth="1"/>
    <col min="16" max="16" width="16" customWidth="1"/>
    <col min="17" max="17" width="20.7109375" bestFit="1" customWidth="1"/>
  </cols>
  <sheetData>
    <row r="1" spans="1:17" x14ac:dyDescent="0.25">
      <c r="A1" s="27" t="s">
        <v>134</v>
      </c>
      <c r="B1" s="27" t="s">
        <v>48</v>
      </c>
      <c r="C1" s="27" t="s">
        <v>49</v>
      </c>
      <c r="D1" s="27" t="s">
        <v>235</v>
      </c>
      <c r="E1" s="27" t="s">
        <v>50</v>
      </c>
      <c r="F1" s="27" t="s">
        <v>244</v>
      </c>
      <c r="G1" s="27" t="s">
        <v>51</v>
      </c>
      <c r="H1" s="27" t="s">
        <v>238</v>
      </c>
      <c r="I1" s="27" t="s">
        <v>53</v>
      </c>
      <c r="J1" s="27" t="s">
        <v>55</v>
      </c>
      <c r="K1" s="27" t="s">
        <v>75</v>
      </c>
      <c r="L1" s="27" t="s">
        <v>54</v>
      </c>
      <c r="M1" s="27" t="s">
        <v>56</v>
      </c>
      <c r="N1" s="27" t="s">
        <v>77</v>
      </c>
      <c r="O1" s="27" t="s">
        <v>140</v>
      </c>
      <c r="P1" s="27" t="s">
        <v>138</v>
      </c>
      <c r="Q1" s="27" t="s">
        <v>141</v>
      </c>
    </row>
    <row r="2" spans="1:17" s="133" customFormat="1" x14ac:dyDescent="0.25">
      <c r="A2" s="133">
        <v>1</v>
      </c>
      <c r="B2" s="134"/>
      <c r="C2" s="135"/>
      <c r="D2" s="135" t="s">
        <v>42</v>
      </c>
      <c r="E2" s="133" t="s">
        <v>57</v>
      </c>
      <c r="F2" s="133" t="s">
        <v>99</v>
      </c>
      <c r="G2" s="133" t="s">
        <v>248</v>
      </c>
      <c r="H2" s="133" t="s">
        <v>66</v>
      </c>
      <c r="I2" s="31">
        <v>14520</v>
      </c>
      <c r="J2" s="133" t="s">
        <v>247</v>
      </c>
      <c r="K2" s="133" t="s">
        <v>98</v>
      </c>
      <c r="L2" s="133" t="s">
        <v>62</v>
      </c>
      <c r="M2" s="136"/>
      <c r="N2" s="136"/>
      <c r="O2" s="133" t="s">
        <v>328</v>
      </c>
    </row>
    <row r="3" spans="1:17" s="133" customFormat="1" x14ac:dyDescent="0.25">
      <c r="A3" s="133">
        <v>2</v>
      </c>
      <c r="B3" s="134">
        <v>44819</v>
      </c>
      <c r="C3" s="135"/>
      <c r="D3" s="135" t="s">
        <v>166</v>
      </c>
      <c r="E3" s="133" t="s">
        <v>166</v>
      </c>
      <c r="F3" s="133" t="s">
        <v>245</v>
      </c>
      <c r="G3" s="133" t="s">
        <v>246</v>
      </c>
      <c r="H3" s="133" t="s">
        <v>66</v>
      </c>
      <c r="I3" s="31">
        <v>17726</v>
      </c>
      <c r="J3" s="133" t="s">
        <v>247</v>
      </c>
      <c r="K3" s="133" t="s">
        <v>98</v>
      </c>
      <c r="L3" s="133" t="s">
        <v>62</v>
      </c>
      <c r="M3" s="136"/>
      <c r="N3" s="136"/>
      <c r="O3" s="133" t="s">
        <v>329</v>
      </c>
    </row>
    <row r="4" spans="1:17" s="133" customFormat="1" x14ac:dyDescent="0.25">
      <c r="B4" s="134">
        <v>44846</v>
      </c>
      <c r="C4" s="135"/>
      <c r="D4" s="135" t="s">
        <v>67</v>
      </c>
      <c r="E4" s="133" t="s">
        <v>330</v>
      </c>
      <c r="F4" s="133" t="s">
        <v>331</v>
      </c>
      <c r="G4" s="133" t="s">
        <v>332</v>
      </c>
      <c r="H4" s="133" t="s">
        <v>66</v>
      </c>
      <c r="I4" s="31">
        <v>570</v>
      </c>
      <c r="J4" s="133" t="s">
        <v>247</v>
      </c>
      <c r="K4" s="133" t="s">
        <v>253</v>
      </c>
      <c r="L4" s="133" t="s">
        <v>62</v>
      </c>
      <c r="M4" s="136"/>
      <c r="N4" s="136"/>
    </row>
    <row r="5" spans="1:17" s="133" customFormat="1" x14ac:dyDescent="0.25">
      <c r="B5" s="134">
        <v>44835</v>
      </c>
      <c r="C5" s="135"/>
      <c r="D5" s="135" t="s">
        <v>67</v>
      </c>
      <c r="E5" s="133" t="s">
        <v>330</v>
      </c>
      <c r="F5" s="133" t="s">
        <v>286</v>
      </c>
      <c r="G5" s="133" t="s">
        <v>332</v>
      </c>
      <c r="H5" s="133" t="s">
        <v>333</v>
      </c>
      <c r="I5" s="31">
        <v>299.39999999999998</v>
      </c>
      <c r="J5" s="133" t="s">
        <v>247</v>
      </c>
      <c r="K5" s="133" t="s">
        <v>253</v>
      </c>
      <c r="L5" s="133" t="s">
        <v>62</v>
      </c>
      <c r="M5" s="136"/>
      <c r="N5" s="136"/>
      <c r="O5" s="133" t="s">
        <v>334</v>
      </c>
    </row>
    <row r="6" spans="1:17" s="133" customFormat="1" x14ac:dyDescent="0.25">
      <c r="B6" s="134"/>
      <c r="C6" s="135"/>
      <c r="D6" s="135" t="s">
        <v>122</v>
      </c>
      <c r="E6" s="133" t="s">
        <v>330</v>
      </c>
      <c r="F6" s="133" t="s">
        <v>251</v>
      </c>
      <c r="G6" s="133" t="s">
        <v>335</v>
      </c>
      <c r="H6" s="133" t="s">
        <v>66</v>
      </c>
      <c r="I6" s="31">
        <v>2389</v>
      </c>
      <c r="J6" s="133" t="s">
        <v>247</v>
      </c>
      <c r="K6" s="133" t="s">
        <v>253</v>
      </c>
      <c r="L6" s="133" t="s">
        <v>62</v>
      </c>
      <c r="M6" s="136"/>
      <c r="N6" s="136"/>
    </row>
    <row r="7" spans="1:17" s="133" customFormat="1" x14ac:dyDescent="0.25">
      <c r="B7" s="134"/>
      <c r="C7" s="135"/>
      <c r="D7" s="135"/>
      <c r="E7" t="s">
        <v>67</v>
      </c>
      <c r="F7" s="133" t="s">
        <v>58</v>
      </c>
      <c r="G7" s="133" t="s">
        <v>336</v>
      </c>
      <c r="H7" s="133" t="s">
        <v>60</v>
      </c>
      <c r="I7" s="31">
        <v>1955</v>
      </c>
      <c r="J7" t="s">
        <v>247</v>
      </c>
      <c r="K7" t="s">
        <v>253</v>
      </c>
      <c r="L7" t="s">
        <v>62</v>
      </c>
      <c r="M7" s="136"/>
      <c r="N7" s="136"/>
      <c r="O7" s="133" t="s">
        <v>355</v>
      </c>
    </row>
    <row r="8" spans="1:17" s="133" customFormat="1" x14ac:dyDescent="0.25">
      <c r="B8" s="134"/>
      <c r="C8" s="135"/>
      <c r="D8" s="135"/>
      <c r="F8" s="133" t="s">
        <v>58</v>
      </c>
      <c r="G8" s="133" t="s">
        <v>337</v>
      </c>
      <c r="H8" s="133" t="s">
        <v>60</v>
      </c>
      <c r="I8" s="31">
        <v>279</v>
      </c>
      <c r="J8" t="s">
        <v>247</v>
      </c>
      <c r="K8" t="s">
        <v>253</v>
      </c>
      <c r="L8" t="s">
        <v>62</v>
      </c>
      <c r="M8" s="136"/>
      <c r="N8" s="136"/>
      <c r="O8" s="133" t="s">
        <v>355</v>
      </c>
    </row>
    <row r="9" spans="1:17" s="133" customFormat="1" x14ac:dyDescent="0.25">
      <c r="B9" s="134"/>
      <c r="C9" s="135"/>
      <c r="D9" s="135"/>
      <c r="F9" s="133" t="s">
        <v>58</v>
      </c>
      <c r="G9" s="133" t="s">
        <v>338</v>
      </c>
      <c r="H9" s="133" t="s">
        <v>339</v>
      </c>
      <c r="I9" s="31">
        <v>179</v>
      </c>
      <c r="J9" t="s">
        <v>247</v>
      </c>
      <c r="K9" t="s">
        <v>253</v>
      </c>
      <c r="L9" t="s">
        <v>62</v>
      </c>
      <c r="M9" s="136"/>
      <c r="N9" s="136"/>
      <c r="O9" s="133" t="s">
        <v>355</v>
      </c>
    </row>
    <row r="10" spans="1:17" s="133" customFormat="1" x14ac:dyDescent="0.25">
      <c r="B10" s="134"/>
      <c r="C10" s="135"/>
      <c r="D10" s="135"/>
      <c r="F10" s="133" t="s">
        <v>58</v>
      </c>
      <c r="G10" s="133" t="s">
        <v>340</v>
      </c>
      <c r="H10" s="133" t="s">
        <v>339</v>
      </c>
      <c r="I10" s="31">
        <v>161</v>
      </c>
      <c r="J10" t="s">
        <v>247</v>
      </c>
      <c r="K10" t="s">
        <v>253</v>
      </c>
      <c r="L10" t="s">
        <v>62</v>
      </c>
      <c r="M10" s="136"/>
      <c r="N10" s="136"/>
      <c r="O10" s="133" t="s">
        <v>355</v>
      </c>
    </row>
    <row r="11" spans="1:17" s="133" customFormat="1" x14ac:dyDescent="0.25">
      <c r="B11" s="134"/>
      <c r="C11" s="135"/>
      <c r="D11" s="135"/>
      <c r="F11" s="133" t="s">
        <v>58</v>
      </c>
      <c r="G11" s="133" t="s">
        <v>341</v>
      </c>
      <c r="H11" s="133" t="s">
        <v>339</v>
      </c>
      <c r="I11" s="31">
        <v>139</v>
      </c>
      <c r="J11" t="s">
        <v>247</v>
      </c>
      <c r="K11" t="s">
        <v>253</v>
      </c>
      <c r="L11" t="s">
        <v>62</v>
      </c>
      <c r="M11" s="136"/>
      <c r="N11" s="136"/>
      <c r="O11" s="133" t="s">
        <v>355</v>
      </c>
    </row>
    <row r="12" spans="1:17" s="133" customFormat="1" x14ac:dyDescent="0.25">
      <c r="B12" s="134"/>
      <c r="C12" s="135"/>
      <c r="D12" s="135"/>
      <c r="F12" s="133" t="s">
        <v>58</v>
      </c>
      <c r="G12" s="133" t="s">
        <v>342</v>
      </c>
      <c r="H12" s="133" t="s">
        <v>60</v>
      </c>
      <c r="I12" s="31">
        <v>364</v>
      </c>
      <c r="J12" t="s">
        <v>247</v>
      </c>
      <c r="K12" t="s">
        <v>253</v>
      </c>
      <c r="L12" t="s">
        <v>62</v>
      </c>
      <c r="M12" s="136"/>
      <c r="N12" s="136"/>
      <c r="O12" s="133" t="s">
        <v>355</v>
      </c>
    </row>
    <row r="13" spans="1:17" s="133" customFormat="1" x14ac:dyDescent="0.25">
      <c r="B13" s="134"/>
      <c r="C13" s="135"/>
      <c r="D13" s="135"/>
      <c r="F13" s="133" t="s">
        <v>58</v>
      </c>
      <c r="G13" s="133" t="s">
        <v>343</v>
      </c>
      <c r="H13" s="133" t="s">
        <v>60</v>
      </c>
      <c r="I13" s="31">
        <v>500</v>
      </c>
      <c r="J13" t="s">
        <v>247</v>
      </c>
      <c r="K13" t="s">
        <v>253</v>
      </c>
      <c r="L13" t="s">
        <v>62</v>
      </c>
      <c r="M13" s="136"/>
      <c r="N13" s="136"/>
      <c r="O13" s="133" t="s">
        <v>355</v>
      </c>
    </row>
    <row r="14" spans="1:17" s="133" customFormat="1" x14ac:dyDescent="0.25">
      <c r="B14" s="134"/>
      <c r="C14" s="135"/>
      <c r="D14" s="135"/>
      <c r="E14"/>
      <c r="F14" t="s">
        <v>259</v>
      </c>
      <c r="G14" t="s">
        <v>260</v>
      </c>
      <c r="H14" t="s">
        <v>66</v>
      </c>
      <c r="I14" s="31">
        <v>1955</v>
      </c>
      <c r="J14" t="s">
        <v>247</v>
      </c>
      <c r="K14" t="s">
        <v>253</v>
      </c>
      <c r="L14" t="s">
        <v>62</v>
      </c>
      <c r="M14" s="2"/>
      <c r="N14" s="2"/>
      <c r="O14" t="s">
        <v>350</v>
      </c>
    </row>
    <row r="15" spans="1:17" s="133" customFormat="1" x14ac:dyDescent="0.25">
      <c r="B15" s="134"/>
      <c r="C15" s="135"/>
      <c r="D15" s="135"/>
      <c r="E15" t="s">
        <v>67</v>
      </c>
      <c r="F15" t="s">
        <v>351</v>
      </c>
      <c r="G15" t="s">
        <v>336</v>
      </c>
      <c r="H15" t="s">
        <v>352</v>
      </c>
      <c r="I15" s="31">
        <v>1134</v>
      </c>
      <c r="J15" t="s">
        <v>247</v>
      </c>
      <c r="K15" t="s">
        <v>253</v>
      </c>
      <c r="L15" t="s">
        <v>62</v>
      </c>
      <c r="M15" s="2"/>
      <c r="N15" s="2"/>
      <c r="O15" t="s">
        <v>353</v>
      </c>
    </row>
    <row r="16" spans="1:17" s="133" customFormat="1" x14ac:dyDescent="0.25">
      <c r="B16" s="134"/>
      <c r="C16" s="135"/>
      <c r="D16" s="135"/>
      <c r="E16" t="s">
        <v>67</v>
      </c>
      <c r="F16" t="s">
        <v>354</v>
      </c>
      <c r="G16" t="s">
        <v>336</v>
      </c>
      <c r="H16" t="s">
        <v>60</v>
      </c>
      <c r="I16" s="31">
        <v>1445.5</v>
      </c>
      <c r="J16" t="s">
        <v>247</v>
      </c>
      <c r="K16" t="s">
        <v>253</v>
      </c>
      <c r="L16" t="s">
        <v>62</v>
      </c>
      <c r="M16" s="2"/>
      <c r="N16" s="2"/>
      <c r="O16" t="s">
        <v>353</v>
      </c>
    </row>
    <row r="17" spans="1:15" s="133" customFormat="1" x14ac:dyDescent="0.25">
      <c r="B17" s="134">
        <v>44926</v>
      </c>
      <c r="C17" s="135"/>
      <c r="D17" s="135"/>
      <c r="G17" s="133" t="s">
        <v>356</v>
      </c>
      <c r="I17" s="31">
        <v>1554</v>
      </c>
      <c r="J17" s="133" t="s">
        <v>247</v>
      </c>
      <c r="K17" s="133" t="s">
        <v>98</v>
      </c>
      <c r="L17" s="133" t="s">
        <v>62</v>
      </c>
      <c r="M17" s="136"/>
      <c r="N17" s="136"/>
    </row>
    <row r="18" spans="1:15" s="133" customFormat="1" x14ac:dyDescent="0.25">
      <c r="B18" s="134"/>
      <c r="C18" s="135"/>
      <c r="D18" s="135"/>
      <c r="G18" s="133" t="s">
        <v>357</v>
      </c>
      <c r="I18" s="31">
        <v>2365</v>
      </c>
      <c r="J18" t="s">
        <v>247</v>
      </c>
      <c r="K18" t="s">
        <v>253</v>
      </c>
      <c r="M18" s="136"/>
      <c r="N18" s="136"/>
    </row>
    <row r="19" spans="1:15" s="133" customFormat="1" x14ac:dyDescent="0.25">
      <c r="B19" s="134"/>
      <c r="C19" s="135"/>
      <c r="D19" s="135"/>
      <c r="I19" s="136"/>
      <c r="M19" s="136"/>
      <c r="N19" s="136"/>
    </row>
    <row r="20" spans="1:15" s="133" customFormat="1" x14ac:dyDescent="0.25">
      <c r="B20" s="134"/>
      <c r="C20" s="135"/>
      <c r="D20" s="135"/>
      <c r="G20" s="133" t="s">
        <v>358</v>
      </c>
      <c r="I20" s="136">
        <v>6000</v>
      </c>
      <c r="M20" s="136"/>
      <c r="N20" s="136"/>
    </row>
    <row r="21" spans="1:15" s="133" customFormat="1" x14ac:dyDescent="0.25">
      <c r="B21" s="134"/>
      <c r="C21" s="135"/>
      <c r="D21" s="135"/>
      <c r="G21" s="133" t="s">
        <v>359</v>
      </c>
      <c r="I21" s="136">
        <v>6500</v>
      </c>
      <c r="M21" s="136"/>
      <c r="N21" s="136"/>
    </row>
    <row r="22" spans="1:15" s="133" customFormat="1" x14ac:dyDescent="0.25">
      <c r="B22" s="134"/>
      <c r="C22" s="135"/>
      <c r="D22" s="135"/>
      <c r="I22" s="136"/>
      <c r="M22" s="136"/>
      <c r="N22" s="136"/>
    </row>
    <row r="23" spans="1:15" s="133" customFormat="1" x14ac:dyDescent="0.25">
      <c r="B23" s="134"/>
      <c r="C23" s="135"/>
      <c r="D23" s="135"/>
      <c r="I23" s="136"/>
      <c r="M23" s="136"/>
      <c r="N23" s="136"/>
    </row>
    <row r="24" spans="1:15" s="133" customFormat="1" x14ac:dyDescent="0.25">
      <c r="B24" s="134"/>
      <c r="C24" s="135"/>
      <c r="D24" s="135"/>
      <c r="H24" s="133" t="s">
        <v>344</v>
      </c>
      <c r="I24" s="136">
        <f>SUM(I2:I23)</f>
        <v>60034.9</v>
      </c>
      <c r="M24" s="136"/>
      <c r="N24" s="136"/>
    </row>
    <row r="25" spans="1:15" s="133" customFormat="1" x14ac:dyDescent="0.25">
      <c r="B25" s="134"/>
      <c r="C25" s="135"/>
      <c r="D25" s="135"/>
      <c r="I25" s="136"/>
      <c r="M25" s="136"/>
      <c r="N25" s="136"/>
    </row>
    <row r="26" spans="1:15" s="133" customFormat="1" x14ac:dyDescent="0.25">
      <c r="B26" s="134"/>
      <c r="C26" s="135"/>
      <c r="D26" s="135"/>
      <c r="I26" s="136"/>
      <c r="M26" s="136"/>
      <c r="N26" s="136"/>
    </row>
    <row r="27" spans="1:15" x14ac:dyDescent="0.25">
      <c r="B27" s="28"/>
      <c r="C27" s="26"/>
      <c r="D27" s="26"/>
      <c r="M27" s="2"/>
      <c r="N27" s="2"/>
    </row>
    <row r="28" spans="1:15" s="137" customFormat="1" x14ac:dyDescent="0.25">
      <c r="A28" s="137">
        <v>4</v>
      </c>
      <c r="B28" s="138">
        <v>44448</v>
      </c>
      <c r="C28" s="139"/>
      <c r="D28" s="139" t="s">
        <v>42</v>
      </c>
      <c r="E28" s="137" t="s">
        <v>94</v>
      </c>
      <c r="F28" s="137" t="s">
        <v>58</v>
      </c>
      <c r="G28" s="137" t="s">
        <v>257</v>
      </c>
      <c r="H28" s="137" t="s">
        <v>60</v>
      </c>
      <c r="I28" s="137">
        <v>1012</v>
      </c>
      <c r="J28" s="137" t="s">
        <v>247</v>
      </c>
      <c r="K28" s="137" t="s">
        <v>253</v>
      </c>
      <c r="L28" s="137" t="s">
        <v>62</v>
      </c>
      <c r="M28" s="140"/>
      <c r="N28" s="140"/>
    </row>
    <row r="29" spans="1:15" s="137" customFormat="1" x14ac:dyDescent="0.25">
      <c r="A29" s="137">
        <v>5</v>
      </c>
      <c r="B29" s="138">
        <v>44473</v>
      </c>
      <c r="C29" s="139"/>
      <c r="D29" s="139" t="s">
        <v>166</v>
      </c>
      <c r="E29" s="137" t="s">
        <v>166</v>
      </c>
      <c r="F29" s="137" t="s">
        <v>254</v>
      </c>
      <c r="G29" s="137" t="s">
        <v>255</v>
      </c>
      <c r="H29" s="137" t="s">
        <v>60</v>
      </c>
      <c r="I29" s="137">
        <v>0</v>
      </c>
      <c r="J29" s="137" t="s">
        <v>247</v>
      </c>
      <c r="K29" s="137" t="s">
        <v>253</v>
      </c>
      <c r="L29" s="137" t="s">
        <v>62</v>
      </c>
      <c r="M29" s="140">
        <v>15000</v>
      </c>
      <c r="N29" s="140"/>
      <c r="O29" s="137" t="s">
        <v>256</v>
      </c>
    </row>
    <row r="30" spans="1:15" s="137" customFormat="1" ht="14.25" customHeight="1" x14ac:dyDescent="0.25">
      <c r="A30" s="137">
        <v>6</v>
      </c>
      <c r="B30" s="138">
        <v>44468</v>
      </c>
      <c r="C30" s="139">
        <v>0.79166666666666663</v>
      </c>
      <c r="D30" s="139" t="s">
        <v>42</v>
      </c>
      <c r="E30" s="137" t="s">
        <v>258</v>
      </c>
      <c r="F30" s="137" t="s">
        <v>259</v>
      </c>
      <c r="G30" s="137" t="s">
        <v>260</v>
      </c>
      <c r="H30" s="137" t="s">
        <v>66</v>
      </c>
      <c r="I30" s="137">
        <v>809</v>
      </c>
      <c r="J30" s="137" t="s">
        <v>247</v>
      </c>
      <c r="K30" s="137" t="s">
        <v>253</v>
      </c>
      <c r="L30" s="137" t="s">
        <v>62</v>
      </c>
      <c r="M30" s="140"/>
      <c r="N30" s="140"/>
      <c r="O30" s="137" t="s">
        <v>322</v>
      </c>
    </row>
    <row r="31" spans="1:15" s="137" customFormat="1" x14ac:dyDescent="0.25">
      <c r="A31" s="137">
        <v>7</v>
      </c>
      <c r="B31" s="138">
        <v>44469</v>
      </c>
      <c r="C31" s="139">
        <v>0.625</v>
      </c>
      <c r="D31" s="139" t="s">
        <v>42</v>
      </c>
      <c r="E31" s="137" t="s">
        <v>258</v>
      </c>
      <c r="F31" s="137" t="s">
        <v>259</v>
      </c>
      <c r="G31" s="137" t="s">
        <v>262</v>
      </c>
      <c r="H31" s="137" t="s">
        <v>66</v>
      </c>
      <c r="I31" s="137">
        <v>768</v>
      </c>
      <c r="J31" s="137" t="s">
        <v>247</v>
      </c>
      <c r="K31" s="137" t="s">
        <v>253</v>
      </c>
      <c r="L31" s="137" t="s">
        <v>62</v>
      </c>
      <c r="M31" s="140"/>
      <c r="N31" s="140"/>
      <c r="O31" s="137" t="s">
        <v>322</v>
      </c>
    </row>
    <row r="32" spans="1:15" s="32" customFormat="1" x14ac:dyDescent="0.25">
      <c r="A32" s="32">
        <v>8</v>
      </c>
      <c r="B32" s="119">
        <v>44477</v>
      </c>
      <c r="C32" s="122"/>
      <c r="D32" s="122" t="s">
        <v>236</v>
      </c>
      <c r="E32" s="32" t="s">
        <v>41</v>
      </c>
      <c r="F32" s="32" t="s">
        <v>263</v>
      </c>
      <c r="G32" s="32" t="s">
        <v>264</v>
      </c>
      <c r="H32" s="32" t="s">
        <v>60</v>
      </c>
      <c r="I32" s="32">
        <v>5500</v>
      </c>
      <c r="J32" s="32" t="s">
        <v>247</v>
      </c>
      <c r="K32" s="32" t="s">
        <v>253</v>
      </c>
      <c r="L32" s="32" t="s">
        <v>62</v>
      </c>
      <c r="M32" s="30"/>
      <c r="N32" s="30"/>
      <c r="O32" s="32" t="s">
        <v>291</v>
      </c>
    </row>
    <row r="33" spans="1:15" s="32" customFormat="1" x14ac:dyDescent="0.25">
      <c r="A33" s="32">
        <v>9</v>
      </c>
      <c r="B33" s="119">
        <v>44477</v>
      </c>
      <c r="C33" s="122"/>
      <c r="D33" s="122" t="s">
        <v>42</v>
      </c>
      <c r="E33" s="32" t="s">
        <v>6</v>
      </c>
      <c r="F33" s="32" t="s">
        <v>263</v>
      </c>
      <c r="G33" s="32" t="s">
        <v>266</v>
      </c>
      <c r="H33" s="32" t="s">
        <v>66</v>
      </c>
      <c r="I33" s="32">
        <v>7000</v>
      </c>
      <c r="J33" s="32" t="s">
        <v>247</v>
      </c>
      <c r="K33" s="32" t="s">
        <v>253</v>
      </c>
      <c r="L33" s="32" t="s">
        <v>62</v>
      </c>
      <c r="M33" s="30"/>
      <c r="N33" s="30"/>
      <c r="O33" s="32" t="s">
        <v>291</v>
      </c>
    </row>
    <row r="34" spans="1:15" s="32" customFormat="1" x14ac:dyDescent="0.25">
      <c r="A34" s="32">
        <v>10</v>
      </c>
      <c r="B34" s="119">
        <v>44477</v>
      </c>
      <c r="C34" s="122"/>
      <c r="D34" s="122" t="s">
        <v>42</v>
      </c>
      <c r="E34" s="32" t="s">
        <v>6</v>
      </c>
      <c r="F34" s="32" t="s">
        <v>263</v>
      </c>
      <c r="G34" s="32" t="s">
        <v>265</v>
      </c>
      <c r="H34" s="32" t="s">
        <v>60</v>
      </c>
      <c r="I34" s="32">
        <v>1525</v>
      </c>
      <c r="J34" s="32" t="s">
        <v>247</v>
      </c>
      <c r="K34" s="32" t="s">
        <v>253</v>
      </c>
      <c r="L34" s="32" t="s">
        <v>62</v>
      </c>
      <c r="M34" s="30"/>
      <c r="N34" s="30"/>
      <c r="O34" s="32" t="s">
        <v>291</v>
      </c>
    </row>
    <row r="35" spans="1:15" s="34" customFormat="1" x14ac:dyDescent="0.25">
      <c r="A35" s="34">
        <v>11</v>
      </c>
      <c r="B35" s="33"/>
      <c r="C35" s="36"/>
      <c r="D35" s="36"/>
      <c r="E35" s="34" t="s">
        <v>57</v>
      </c>
      <c r="F35" s="34" t="s">
        <v>58</v>
      </c>
      <c r="G35" s="34" t="s">
        <v>71</v>
      </c>
      <c r="I35" s="35">
        <v>1500</v>
      </c>
      <c r="J35" s="34" t="s">
        <v>247</v>
      </c>
      <c r="K35" s="34" t="s">
        <v>253</v>
      </c>
      <c r="L35" s="34" t="s">
        <v>62</v>
      </c>
      <c r="M35" s="35"/>
      <c r="N35" s="35"/>
      <c r="O35" s="34" t="s">
        <v>291</v>
      </c>
    </row>
    <row r="36" spans="1:15" s="34" customFormat="1" x14ac:dyDescent="0.25">
      <c r="A36" s="34">
        <v>12</v>
      </c>
      <c r="B36" s="33"/>
      <c r="C36" s="36"/>
      <c r="D36" s="36"/>
      <c r="E36" s="34" t="s">
        <v>57</v>
      </c>
      <c r="F36" s="34" t="s">
        <v>58</v>
      </c>
      <c r="G36" s="34" t="s">
        <v>72</v>
      </c>
      <c r="I36" s="35">
        <v>500</v>
      </c>
      <c r="J36" s="34" t="s">
        <v>247</v>
      </c>
      <c r="K36" s="34" t="s">
        <v>253</v>
      </c>
      <c r="L36" s="34" t="s">
        <v>62</v>
      </c>
      <c r="M36" s="35"/>
      <c r="N36" s="35"/>
      <c r="O36" s="34" t="s">
        <v>291</v>
      </c>
    </row>
    <row r="37" spans="1:15" s="34" customFormat="1" x14ac:dyDescent="0.25">
      <c r="A37" s="34">
        <v>13</v>
      </c>
      <c r="B37" s="33"/>
      <c r="C37" s="36"/>
      <c r="D37" s="36"/>
      <c r="E37" s="34" t="s">
        <v>57</v>
      </c>
      <c r="F37" s="34" t="s">
        <v>58</v>
      </c>
      <c r="G37" s="34" t="s">
        <v>73</v>
      </c>
      <c r="I37" s="35">
        <v>1500</v>
      </c>
      <c r="J37" s="34" t="s">
        <v>247</v>
      </c>
      <c r="K37" s="34" t="s">
        <v>253</v>
      </c>
      <c r="L37" s="34" t="s">
        <v>62</v>
      </c>
      <c r="M37" s="35"/>
      <c r="N37" s="35"/>
      <c r="O37" s="34" t="s">
        <v>291</v>
      </c>
    </row>
    <row r="38" spans="1:15" s="137" customFormat="1" x14ac:dyDescent="0.25">
      <c r="A38" s="137">
        <v>14</v>
      </c>
      <c r="B38" s="138"/>
      <c r="C38" s="139"/>
      <c r="D38" s="139"/>
      <c r="E38" s="137" t="s">
        <v>94</v>
      </c>
      <c r="F38" s="137" t="s">
        <v>58</v>
      </c>
      <c r="G38" s="137" t="s">
        <v>74</v>
      </c>
      <c r="I38" s="140">
        <f>1961+525.4</f>
        <v>2486.4</v>
      </c>
      <c r="J38" s="137" t="s">
        <v>247</v>
      </c>
      <c r="K38" s="137" t="s">
        <v>253</v>
      </c>
      <c r="L38" s="137" t="s">
        <v>62</v>
      </c>
      <c r="M38" s="140"/>
      <c r="N38" s="140"/>
      <c r="O38" s="137" t="s">
        <v>291</v>
      </c>
    </row>
    <row r="39" spans="1:15" s="137" customFormat="1" x14ac:dyDescent="0.25">
      <c r="A39" s="137">
        <v>15</v>
      </c>
      <c r="B39" s="138"/>
      <c r="C39" s="139"/>
      <c r="D39" s="139"/>
      <c r="E39" s="137" t="s">
        <v>27</v>
      </c>
      <c r="F39" s="137" t="s">
        <v>325</v>
      </c>
      <c r="G39" s="137" t="s">
        <v>78</v>
      </c>
      <c r="I39" s="140">
        <v>5000</v>
      </c>
      <c r="J39" s="137" t="s">
        <v>247</v>
      </c>
      <c r="K39" s="137" t="s">
        <v>253</v>
      </c>
      <c r="L39" s="137" t="s">
        <v>62</v>
      </c>
      <c r="M39" s="140"/>
      <c r="N39" s="140"/>
      <c r="O39" s="137" t="s">
        <v>323</v>
      </c>
    </row>
    <row r="40" spans="1:15" s="32" customFormat="1" x14ac:dyDescent="0.25">
      <c r="A40" s="32">
        <v>16</v>
      </c>
      <c r="B40" s="119"/>
      <c r="C40" s="122"/>
      <c r="D40" s="122"/>
      <c r="F40" s="32" t="s">
        <v>279</v>
      </c>
      <c r="G40" s="32" t="s">
        <v>280</v>
      </c>
      <c r="I40" s="30">
        <v>1062</v>
      </c>
      <c r="J40" s="32" t="s">
        <v>247</v>
      </c>
      <c r="K40" s="32" t="s">
        <v>98</v>
      </c>
      <c r="L40" s="32" t="s">
        <v>62</v>
      </c>
      <c r="M40" s="30"/>
      <c r="N40" s="30"/>
      <c r="O40" s="32" t="s">
        <v>326</v>
      </c>
    </row>
    <row r="41" spans="1:15" s="137" customFormat="1" x14ac:dyDescent="0.25">
      <c r="A41" s="137">
        <v>17</v>
      </c>
      <c r="B41" s="138"/>
      <c r="C41" s="139"/>
      <c r="D41" s="139"/>
      <c r="E41" s="137" t="s">
        <v>117</v>
      </c>
      <c r="F41" s="137" t="s">
        <v>58</v>
      </c>
      <c r="G41" s="137" t="s">
        <v>118</v>
      </c>
      <c r="I41" s="140">
        <v>0</v>
      </c>
      <c r="L41" s="137" t="s">
        <v>281</v>
      </c>
      <c r="M41" s="140">
        <v>500</v>
      </c>
      <c r="N41" s="140"/>
      <c r="O41" s="137" t="s">
        <v>282</v>
      </c>
    </row>
    <row r="42" spans="1:15" s="133" customFormat="1" x14ac:dyDescent="0.25">
      <c r="A42" s="133">
        <v>18</v>
      </c>
      <c r="B42" s="134"/>
      <c r="C42" s="135"/>
      <c r="D42" s="135"/>
      <c r="E42" s="133" t="s">
        <v>67</v>
      </c>
      <c r="F42" s="133" t="s">
        <v>125</v>
      </c>
      <c r="G42" s="133" t="s">
        <v>127</v>
      </c>
      <c r="I42" s="136">
        <v>0</v>
      </c>
      <c r="L42" s="133" t="s">
        <v>281</v>
      </c>
      <c r="M42" s="136">
        <v>650</v>
      </c>
      <c r="N42" s="136"/>
      <c r="O42" s="133" t="s">
        <v>282</v>
      </c>
    </row>
    <row r="43" spans="1:15" s="133" customFormat="1" x14ac:dyDescent="0.25">
      <c r="A43" s="133">
        <v>19</v>
      </c>
      <c r="B43" s="134"/>
      <c r="C43" s="135"/>
      <c r="D43" s="135"/>
      <c r="E43" s="133" t="s">
        <v>67</v>
      </c>
      <c r="F43" s="133" t="s">
        <v>152</v>
      </c>
      <c r="G43" s="133" t="s">
        <v>127</v>
      </c>
      <c r="I43" s="136">
        <v>0</v>
      </c>
      <c r="L43" s="133" t="s">
        <v>281</v>
      </c>
      <c r="M43" s="136">
        <v>1000</v>
      </c>
      <c r="N43" s="136"/>
      <c r="O43" s="133" t="s">
        <v>282</v>
      </c>
    </row>
    <row r="44" spans="1:15" s="133" customFormat="1" x14ac:dyDescent="0.25">
      <c r="A44" s="133">
        <v>20</v>
      </c>
      <c r="B44" s="134"/>
      <c r="C44" s="135"/>
      <c r="D44" s="135"/>
      <c r="E44" s="133" t="s">
        <v>67</v>
      </c>
      <c r="F44" s="133" t="s">
        <v>68</v>
      </c>
      <c r="G44" s="133" t="s">
        <v>127</v>
      </c>
      <c r="H44" s="133" t="s">
        <v>60</v>
      </c>
      <c r="I44" s="136">
        <v>0</v>
      </c>
      <c r="L44" s="133" t="s">
        <v>281</v>
      </c>
      <c r="M44" s="136">
        <v>750</v>
      </c>
      <c r="N44" s="136"/>
      <c r="O44" s="133" t="s">
        <v>282</v>
      </c>
    </row>
    <row r="45" spans="1:15" s="137" customFormat="1" x14ac:dyDescent="0.25">
      <c r="A45" s="137">
        <v>21</v>
      </c>
      <c r="B45" s="138"/>
      <c r="C45" s="139"/>
      <c r="D45" s="139"/>
      <c r="E45" s="137" t="s">
        <v>67</v>
      </c>
      <c r="F45" s="137" t="s">
        <v>285</v>
      </c>
      <c r="G45" s="137" t="s">
        <v>284</v>
      </c>
      <c r="I45" s="140">
        <v>0</v>
      </c>
      <c r="M45" s="140">
        <v>5000</v>
      </c>
      <c r="N45" s="140"/>
    </row>
    <row r="46" spans="1:15" s="137" customFormat="1" x14ac:dyDescent="0.25">
      <c r="A46" s="137">
        <v>22</v>
      </c>
      <c r="B46" s="138"/>
      <c r="C46" s="139"/>
      <c r="D46" s="139"/>
      <c r="I46" s="140"/>
      <c r="M46" s="140"/>
      <c r="N46" s="140"/>
    </row>
    <row r="47" spans="1:15" s="137" customFormat="1" x14ac:dyDescent="0.25">
      <c r="A47" s="137">
        <v>23</v>
      </c>
      <c r="B47" s="138"/>
      <c r="C47" s="139"/>
      <c r="D47" s="139"/>
      <c r="G47" s="137" t="s">
        <v>321</v>
      </c>
      <c r="I47" s="140">
        <v>3000</v>
      </c>
      <c r="J47" s="137" t="s">
        <v>247</v>
      </c>
      <c r="K47" s="137" t="s">
        <v>253</v>
      </c>
      <c r="L47" s="137" t="s">
        <v>62</v>
      </c>
      <c r="M47" s="140"/>
      <c r="N47" s="140"/>
      <c r="O47" s="137" t="s">
        <v>324</v>
      </c>
    </row>
    <row r="48" spans="1:15" x14ac:dyDescent="0.25">
      <c r="A48">
        <v>24</v>
      </c>
      <c r="B48" s="28"/>
      <c r="C48" s="26"/>
      <c r="D48" s="26"/>
      <c r="M48" s="2"/>
      <c r="N48" s="2"/>
    </row>
    <row r="49" spans="1:17" x14ac:dyDescent="0.25">
      <c r="A49">
        <v>25</v>
      </c>
      <c r="B49" s="28"/>
      <c r="C49" s="26"/>
      <c r="D49" s="26"/>
      <c r="M49" s="2"/>
      <c r="N49" s="2"/>
    </row>
    <row r="50" spans="1:17" x14ac:dyDescent="0.25">
      <c r="A50">
        <v>26</v>
      </c>
      <c r="B50" s="28"/>
      <c r="C50" s="26"/>
      <c r="D50" s="26"/>
      <c r="M50" s="2"/>
      <c r="N50" s="2"/>
    </row>
    <row r="51" spans="1:17" x14ac:dyDescent="0.25">
      <c r="B51" s="28"/>
      <c r="C51" s="26"/>
      <c r="D51" s="26"/>
      <c r="M51" s="2"/>
      <c r="N51" s="2"/>
    </row>
    <row r="52" spans="1:17" x14ac:dyDescent="0.25">
      <c r="B52" s="28"/>
      <c r="C52" s="26"/>
      <c r="D52" s="26"/>
      <c r="M52" s="2"/>
      <c r="N52" s="2"/>
    </row>
    <row r="53" spans="1:17" x14ac:dyDescent="0.25">
      <c r="B53" s="28"/>
      <c r="C53" s="26"/>
      <c r="D53" s="26"/>
      <c r="M53" s="2"/>
      <c r="N53" s="2"/>
    </row>
    <row r="54" spans="1:17" x14ac:dyDescent="0.25">
      <c r="B54" s="28"/>
      <c r="C54" s="26"/>
      <c r="D54" s="26"/>
      <c r="G54" t="s">
        <v>320</v>
      </c>
      <c r="I54" s="2">
        <f>SUM(I2:I53)</f>
        <v>151732.19999999998</v>
      </c>
      <c r="M54" s="2"/>
      <c r="N54" s="2"/>
    </row>
    <row r="55" spans="1:17" x14ac:dyDescent="0.25">
      <c r="B55" s="28"/>
      <c r="C55" s="26"/>
      <c r="D55" s="26"/>
      <c r="M55" s="2"/>
      <c r="N55" s="2"/>
    </row>
    <row r="56" spans="1:17" x14ac:dyDescent="0.25">
      <c r="B56" s="28"/>
      <c r="C56" s="26"/>
      <c r="D56" s="26"/>
      <c r="M56" s="2"/>
      <c r="N56" s="2"/>
    </row>
    <row r="57" spans="1:17" x14ac:dyDescent="0.25">
      <c r="B57" s="28"/>
      <c r="C57" s="26"/>
      <c r="D57" s="26"/>
      <c r="M57" s="2"/>
      <c r="N57" s="2"/>
    </row>
    <row r="58" spans="1:17" x14ac:dyDescent="0.25">
      <c r="B58" s="28"/>
      <c r="C58" s="26"/>
      <c r="D58" s="26"/>
      <c r="M58" s="2"/>
      <c r="N58" s="2"/>
    </row>
    <row r="59" spans="1:17" x14ac:dyDescent="0.25">
      <c r="B59" s="28"/>
      <c r="C59" s="26"/>
      <c r="D59" s="26"/>
      <c r="M59" s="2"/>
      <c r="N59" s="2"/>
    </row>
    <row r="60" spans="1:17" x14ac:dyDescent="0.25">
      <c r="B60" s="28"/>
      <c r="C60" s="26"/>
      <c r="D60" s="26"/>
      <c r="M60" s="2"/>
      <c r="N60" s="2"/>
    </row>
    <row r="61" spans="1:17" x14ac:dyDescent="0.25">
      <c r="B61" s="28"/>
      <c r="C61" s="26"/>
      <c r="D61" s="26"/>
      <c r="I61" s="2"/>
      <c r="M61" s="2"/>
      <c r="N61" s="2"/>
    </row>
    <row r="62" spans="1:17" x14ac:dyDescent="0.25">
      <c r="A62">
        <v>5</v>
      </c>
      <c r="B62" s="119">
        <v>43744</v>
      </c>
      <c r="C62" s="122">
        <v>0.625</v>
      </c>
      <c r="D62" s="122"/>
      <c r="E62" s="32" t="s">
        <v>57</v>
      </c>
      <c r="F62" s="32" t="s">
        <v>58</v>
      </c>
      <c r="G62" s="32" t="s">
        <v>71</v>
      </c>
      <c r="H62" t="s">
        <v>60</v>
      </c>
      <c r="I62" s="2">
        <v>1500</v>
      </c>
      <c r="J62" t="s">
        <v>61</v>
      </c>
      <c r="K62" t="s">
        <v>76</v>
      </c>
      <c r="L62" t="s">
        <v>62</v>
      </c>
      <c r="M62" s="2"/>
      <c r="N62" s="2">
        <f t="shared" ref="N62:N93" si="0">N61-IF(AND(J62="Hotově",K62="Hamerák"),I62+M62)</f>
        <v>-1500</v>
      </c>
      <c r="Q62" t="s">
        <v>142</v>
      </c>
    </row>
    <row r="63" spans="1:17" x14ac:dyDescent="0.25">
      <c r="A63">
        <v>6</v>
      </c>
      <c r="B63" s="119">
        <v>43744</v>
      </c>
      <c r="C63" s="122">
        <v>0.625</v>
      </c>
      <c r="D63" s="122"/>
      <c r="E63" s="32" t="s">
        <v>57</v>
      </c>
      <c r="F63" s="32" t="s">
        <v>58</v>
      </c>
      <c r="G63" s="32" t="s">
        <v>72</v>
      </c>
      <c r="H63" t="s">
        <v>60</v>
      </c>
      <c r="I63" s="2">
        <v>500</v>
      </c>
      <c r="J63" t="s">
        <v>61</v>
      </c>
      <c r="K63" t="s">
        <v>76</v>
      </c>
      <c r="L63" t="s">
        <v>62</v>
      </c>
      <c r="M63" s="2"/>
      <c r="N63" s="2">
        <f t="shared" si="0"/>
        <v>-2000</v>
      </c>
      <c r="Q63" t="s">
        <v>142</v>
      </c>
    </row>
    <row r="64" spans="1:17" x14ac:dyDescent="0.25">
      <c r="A64">
        <v>7</v>
      </c>
      <c r="B64" s="119">
        <v>43744</v>
      </c>
      <c r="C64" s="122">
        <v>0.625</v>
      </c>
      <c r="D64" s="122"/>
      <c r="E64" s="32" t="s">
        <v>57</v>
      </c>
      <c r="F64" s="32" t="s">
        <v>58</v>
      </c>
      <c r="G64" s="32" t="s">
        <v>73</v>
      </c>
      <c r="H64" t="s">
        <v>60</v>
      </c>
      <c r="I64" s="2">
        <v>1500</v>
      </c>
      <c r="J64" t="s">
        <v>61</v>
      </c>
      <c r="K64" t="s">
        <v>76</v>
      </c>
      <c r="L64" t="s">
        <v>62</v>
      </c>
      <c r="M64" s="2"/>
      <c r="N64" s="2">
        <f t="shared" si="0"/>
        <v>-3500</v>
      </c>
      <c r="Q64" t="s">
        <v>142</v>
      </c>
    </row>
    <row r="65" spans="1:17" x14ac:dyDescent="0.25">
      <c r="A65">
        <v>8</v>
      </c>
      <c r="B65" s="119">
        <v>43744</v>
      </c>
      <c r="C65" s="122">
        <v>0.625</v>
      </c>
      <c r="D65" s="122"/>
      <c r="E65" s="32" t="s">
        <v>94</v>
      </c>
      <c r="F65" s="32" t="s">
        <v>58</v>
      </c>
      <c r="G65" s="32" t="s">
        <v>74</v>
      </c>
      <c r="H65" t="s">
        <v>135</v>
      </c>
      <c r="I65" s="2">
        <v>2572</v>
      </c>
      <c r="J65" t="s">
        <v>61</v>
      </c>
      <c r="K65" t="s">
        <v>76</v>
      </c>
      <c r="L65" t="s">
        <v>62</v>
      </c>
      <c r="M65" s="2"/>
      <c r="N65" s="2">
        <f t="shared" si="0"/>
        <v>-6072</v>
      </c>
      <c r="O65" t="s">
        <v>130</v>
      </c>
      <c r="Q65" t="s">
        <v>142</v>
      </c>
    </row>
    <row r="66" spans="1:17" x14ac:dyDescent="0.25">
      <c r="A66">
        <v>9</v>
      </c>
      <c r="B66" s="119">
        <v>43744</v>
      </c>
      <c r="C66" s="122">
        <v>0.625</v>
      </c>
      <c r="D66" s="122"/>
      <c r="E66" s="32" t="s">
        <v>27</v>
      </c>
      <c r="F66" s="32" t="s">
        <v>58</v>
      </c>
      <c r="G66" s="32" t="s">
        <v>78</v>
      </c>
      <c r="H66" t="s">
        <v>60</v>
      </c>
      <c r="I66" s="2">
        <v>4500</v>
      </c>
      <c r="J66" t="s">
        <v>61</v>
      </c>
      <c r="K66" t="s">
        <v>76</v>
      </c>
      <c r="L66" t="s">
        <v>62</v>
      </c>
      <c r="M66" s="2"/>
      <c r="N66" s="2">
        <f t="shared" si="0"/>
        <v>-10572</v>
      </c>
      <c r="Q66" t="s">
        <v>142</v>
      </c>
    </row>
    <row r="67" spans="1:17" x14ac:dyDescent="0.25">
      <c r="A67">
        <v>10</v>
      </c>
      <c r="B67" s="120">
        <v>43744</v>
      </c>
      <c r="C67" s="123">
        <v>0.625</v>
      </c>
      <c r="D67" s="123"/>
      <c r="E67" s="121" t="s">
        <v>79</v>
      </c>
      <c r="F67" s="121" t="s">
        <v>64</v>
      </c>
      <c r="G67" s="121" t="s">
        <v>80</v>
      </c>
      <c r="H67" t="s">
        <v>66</v>
      </c>
      <c r="I67" s="31">
        <v>1811</v>
      </c>
      <c r="J67" t="s">
        <v>61</v>
      </c>
      <c r="K67" t="s">
        <v>76</v>
      </c>
      <c r="L67" t="s">
        <v>62</v>
      </c>
      <c r="M67" s="2"/>
      <c r="N67" s="2">
        <f t="shared" si="0"/>
        <v>-12383</v>
      </c>
      <c r="O67" t="s">
        <v>129</v>
      </c>
      <c r="Q67" t="s">
        <v>142</v>
      </c>
    </row>
    <row r="68" spans="1:17" x14ac:dyDescent="0.25">
      <c r="A68">
        <v>11</v>
      </c>
      <c r="B68" s="120">
        <v>43744</v>
      </c>
      <c r="C68" s="123">
        <v>0.625</v>
      </c>
      <c r="D68" s="123"/>
      <c r="E68" s="121" t="s">
        <v>79</v>
      </c>
      <c r="F68" s="121" t="s">
        <v>64</v>
      </c>
      <c r="G68" s="121" t="s">
        <v>81</v>
      </c>
      <c r="H68" t="s">
        <v>60</v>
      </c>
      <c r="I68" s="2">
        <v>5000</v>
      </c>
      <c r="J68" t="s">
        <v>61</v>
      </c>
      <c r="K68" t="s">
        <v>76</v>
      </c>
      <c r="L68" t="s">
        <v>62</v>
      </c>
      <c r="M68" s="2"/>
      <c r="N68" s="2">
        <f t="shared" si="0"/>
        <v>-17383</v>
      </c>
      <c r="Q68" t="s">
        <v>142</v>
      </c>
    </row>
    <row r="69" spans="1:17" x14ac:dyDescent="0.25">
      <c r="A69">
        <v>12</v>
      </c>
      <c r="B69" s="33">
        <v>43744</v>
      </c>
      <c r="C69" s="36">
        <v>0.625</v>
      </c>
      <c r="D69" s="36"/>
      <c r="E69" s="34" t="s">
        <v>6</v>
      </c>
      <c r="F69" s="34" t="s">
        <v>64</v>
      </c>
      <c r="G69" s="34" t="s">
        <v>82</v>
      </c>
      <c r="H69" s="34" t="s">
        <v>60</v>
      </c>
      <c r="I69" s="35"/>
      <c r="J69" s="34" t="s">
        <v>61</v>
      </c>
      <c r="K69" s="34" t="s">
        <v>76</v>
      </c>
      <c r="L69" s="34" t="s">
        <v>62</v>
      </c>
      <c r="M69" s="2">
        <v>7000</v>
      </c>
      <c r="N69" s="2">
        <f t="shared" si="0"/>
        <v>-24383</v>
      </c>
      <c r="Q69" t="s">
        <v>142</v>
      </c>
    </row>
    <row r="70" spans="1:17" x14ac:dyDescent="0.25">
      <c r="A70">
        <v>13</v>
      </c>
      <c r="B70" s="33">
        <v>43744</v>
      </c>
      <c r="C70" s="36">
        <v>0.625</v>
      </c>
      <c r="D70" s="36"/>
      <c r="E70" s="34" t="s">
        <v>67</v>
      </c>
      <c r="F70" s="34" t="s">
        <v>64</v>
      </c>
      <c r="G70" s="34" t="s">
        <v>83</v>
      </c>
      <c r="H70" s="34" t="s">
        <v>60</v>
      </c>
      <c r="I70" s="35"/>
      <c r="J70" s="34" t="s">
        <v>61</v>
      </c>
      <c r="K70" s="34" t="s">
        <v>76</v>
      </c>
      <c r="L70" s="34" t="s">
        <v>62</v>
      </c>
      <c r="M70" s="2">
        <v>5000</v>
      </c>
      <c r="N70" s="2">
        <f t="shared" si="0"/>
        <v>-29383</v>
      </c>
      <c r="Q70" t="s">
        <v>142</v>
      </c>
    </row>
    <row r="71" spans="1:17" x14ac:dyDescent="0.25">
      <c r="A71">
        <v>14</v>
      </c>
      <c r="B71" s="120">
        <v>43744</v>
      </c>
      <c r="C71" s="123">
        <v>0.625</v>
      </c>
      <c r="D71" s="123"/>
      <c r="E71" s="121" t="s">
        <v>79</v>
      </c>
      <c r="F71" s="121" t="s">
        <v>84</v>
      </c>
      <c r="G71" s="121" t="s">
        <v>136</v>
      </c>
      <c r="H71" s="121" t="s">
        <v>135</v>
      </c>
      <c r="I71" s="31">
        <v>1507.17</v>
      </c>
      <c r="J71" s="121" t="s">
        <v>61</v>
      </c>
      <c r="K71" s="121" t="s">
        <v>76</v>
      </c>
      <c r="L71" s="121" t="s">
        <v>62</v>
      </c>
      <c r="M71" s="2"/>
      <c r="N71" s="2">
        <f t="shared" si="0"/>
        <v>-30890.17</v>
      </c>
      <c r="O71" t="s">
        <v>130</v>
      </c>
      <c r="Q71" t="s">
        <v>142</v>
      </c>
    </row>
    <row r="72" spans="1:17" x14ac:dyDescent="0.25">
      <c r="A72">
        <v>15</v>
      </c>
      <c r="B72" s="120">
        <v>43744</v>
      </c>
      <c r="C72" s="123">
        <v>0.625</v>
      </c>
      <c r="D72" s="123"/>
      <c r="E72" s="121" t="s">
        <v>79</v>
      </c>
      <c r="F72" s="121" t="s">
        <v>84</v>
      </c>
      <c r="G72" s="121" t="s">
        <v>137</v>
      </c>
      <c r="H72" s="121" t="s">
        <v>66</v>
      </c>
      <c r="I72" s="31">
        <v>171.5</v>
      </c>
      <c r="J72" s="121" t="s">
        <v>61</v>
      </c>
      <c r="K72" s="121" t="s">
        <v>76</v>
      </c>
      <c r="L72" s="121" t="s">
        <v>62</v>
      </c>
      <c r="M72" s="2"/>
      <c r="N72" s="2">
        <f t="shared" si="0"/>
        <v>-31061.67</v>
      </c>
      <c r="O72" t="s">
        <v>130</v>
      </c>
      <c r="Q72" t="s">
        <v>142</v>
      </c>
    </row>
    <row r="73" spans="1:17" x14ac:dyDescent="0.25">
      <c r="A73">
        <v>16</v>
      </c>
      <c r="B73" s="120">
        <v>43744</v>
      </c>
      <c r="C73" s="123">
        <v>0.625</v>
      </c>
      <c r="D73" s="123"/>
      <c r="E73" s="121" t="s">
        <v>79</v>
      </c>
      <c r="F73" s="121" t="s">
        <v>84</v>
      </c>
      <c r="G73" s="121" t="s">
        <v>114</v>
      </c>
      <c r="H73" s="121" t="s">
        <v>139</v>
      </c>
      <c r="I73" s="31">
        <f>1806.67-1507.17-171.5</f>
        <v>128</v>
      </c>
      <c r="J73" s="121" t="s">
        <v>61</v>
      </c>
      <c r="K73" s="121" t="s">
        <v>76</v>
      </c>
      <c r="L73" s="121" t="s">
        <v>62</v>
      </c>
      <c r="M73" s="2"/>
      <c r="N73" s="2">
        <f t="shared" si="0"/>
        <v>-31189.67</v>
      </c>
      <c r="O73" t="s">
        <v>130</v>
      </c>
      <c r="Q73" t="s">
        <v>142</v>
      </c>
    </row>
    <row r="74" spans="1:17" x14ac:dyDescent="0.25">
      <c r="A74">
        <v>17</v>
      </c>
      <c r="B74" s="120">
        <v>43744</v>
      </c>
      <c r="C74" s="123">
        <v>0.625</v>
      </c>
      <c r="D74" s="123"/>
      <c r="E74" s="121" t="s">
        <v>67</v>
      </c>
      <c r="F74" s="121" t="s">
        <v>85</v>
      </c>
      <c r="G74" s="121" t="s">
        <v>86</v>
      </c>
      <c r="H74" s="121" t="s">
        <v>60</v>
      </c>
      <c r="I74" s="31">
        <v>2000</v>
      </c>
      <c r="J74" s="121" t="s">
        <v>61</v>
      </c>
      <c r="K74" s="121" t="s">
        <v>76</v>
      </c>
      <c r="L74" s="121" t="s">
        <v>62</v>
      </c>
      <c r="M74" s="2"/>
      <c r="N74" s="2">
        <f t="shared" si="0"/>
        <v>-33189.67</v>
      </c>
      <c r="Q74" t="s">
        <v>142</v>
      </c>
    </row>
    <row r="75" spans="1:17" x14ac:dyDescent="0.25">
      <c r="A75">
        <v>18</v>
      </c>
      <c r="B75" s="120">
        <v>43744</v>
      </c>
      <c r="C75" s="123">
        <v>0.625</v>
      </c>
      <c r="D75" s="123"/>
      <c r="E75" s="121" t="s">
        <v>67</v>
      </c>
      <c r="F75" s="121" t="s">
        <v>85</v>
      </c>
      <c r="G75" s="121" t="s">
        <v>86</v>
      </c>
      <c r="H75" s="121" t="s">
        <v>66</v>
      </c>
      <c r="I75" s="31">
        <v>1680</v>
      </c>
      <c r="J75" s="121" t="s">
        <v>52</v>
      </c>
      <c r="K75" s="121" t="s">
        <v>76</v>
      </c>
      <c r="L75" s="121" t="s">
        <v>100</v>
      </c>
      <c r="M75" s="2"/>
      <c r="N75" s="2">
        <f t="shared" si="0"/>
        <v>-33189.67</v>
      </c>
      <c r="O75" t="s">
        <v>131</v>
      </c>
    </row>
    <row r="76" spans="1:17" x14ac:dyDescent="0.25">
      <c r="A76">
        <v>19</v>
      </c>
      <c r="B76" s="119">
        <v>43746</v>
      </c>
      <c r="C76" s="122">
        <v>0.45833333333333331</v>
      </c>
      <c r="D76" s="122"/>
      <c r="E76" s="32" t="s">
        <v>67</v>
      </c>
      <c r="F76" s="32" t="s">
        <v>87</v>
      </c>
      <c r="G76" s="32" t="s">
        <v>88</v>
      </c>
      <c r="H76" s="32" t="s">
        <v>60</v>
      </c>
      <c r="I76" s="30">
        <v>68500</v>
      </c>
      <c r="J76" s="32" t="s">
        <v>61</v>
      </c>
      <c r="K76" s="32" t="s">
        <v>76</v>
      </c>
      <c r="L76" s="32" t="s">
        <v>62</v>
      </c>
      <c r="M76" s="2"/>
      <c r="N76" s="2">
        <f t="shared" si="0"/>
        <v>-101689.67</v>
      </c>
      <c r="Q76" t="s">
        <v>142</v>
      </c>
    </row>
    <row r="77" spans="1:17" x14ac:dyDescent="0.25">
      <c r="A77">
        <v>20</v>
      </c>
      <c r="B77" s="119">
        <v>43746</v>
      </c>
      <c r="C77" s="122">
        <v>0.45833333333333331</v>
      </c>
      <c r="D77" s="122"/>
      <c r="E77" s="32" t="s">
        <v>27</v>
      </c>
      <c r="F77" s="32" t="s">
        <v>87</v>
      </c>
      <c r="G77" s="32" t="s">
        <v>88</v>
      </c>
      <c r="H77" s="32" t="s">
        <v>60</v>
      </c>
      <c r="I77" s="30">
        <v>10000</v>
      </c>
      <c r="J77" s="32" t="s">
        <v>27</v>
      </c>
      <c r="K77" s="32" t="s">
        <v>27</v>
      </c>
      <c r="L77" s="32" t="s">
        <v>62</v>
      </c>
      <c r="M77" s="2"/>
      <c r="N77" s="2">
        <f t="shared" si="0"/>
        <v>-101689.67</v>
      </c>
      <c r="Q77" t="s">
        <v>143</v>
      </c>
    </row>
    <row r="78" spans="1:17" x14ac:dyDescent="0.25">
      <c r="A78">
        <v>21</v>
      </c>
      <c r="B78" s="120">
        <v>43675</v>
      </c>
      <c r="C78" s="121"/>
      <c r="D78" s="121"/>
      <c r="E78" s="121" t="s">
        <v>94</v>
      </c>
      <c r="F78" s="121" t="s">
        <v>58</v>
      </c>
      <c r="G78" s="121" t="s">
        <v>89</v>
      </c>
      <c r="H78" s="121" t="s">
        <v>60</v>
      </c>
      <c r="I78" s="31">
        <v>247</v>
      </c>
      <c r="J78" s="121" t="s">
        <v>91</v>
      </c>
      <c r="K78" s="121" t="s">
        <v>92</v>
      </c>
      <c r="L78" s="121" t="s">
        <v>62</v>
      </c>
      <c r="M78" s="2"/>
      <c r="N78" s="2">
        <f t="shared" si="0"/>
        <v>-101689.67</v>
      </c>
      <c r="Q78" t="s">
        <v>144</v>
      </c>
    </row>
    <row r="79" spans="1:17" x14ac:dyDescent="0.25">
      <c r="A79">
        <v>22</v>
      </c>
      <c r="B79" s="119">
        <v>43675</v>
      </c>
      <c r="C79" s="32"/>
      <c r="D79" s="32"/>
      <c r="E79" s="32" t="s">
        <v>94</v>
      </c>
      <c r="F79" s="32" t="s">
        <v>58</v>
      </c>
      <c r="G79" s="32" t="s">
        <v>90</v>
      </c>
      <c r="H79" s="32" t="s">
        <v>60</v>
      </c>
      <c r="I79" s="30">
        <v>114</v>
      </c>
      <c r="J79" s="32" t="s">
        <v>91</v>
      </c>
      <c r="K79" s="32" t="s">
        <v>92</v>
      </c>
      <c r="L79" s="32" t="s">
        <v>62</v>
      </c>
      <c r="M79" s="2"/>
      <c r="N79" s="2">
        <f t="shared" si="0"/>
        <v>-101689.67</v>
      </c>
      <c r="Q79" t="s">
        <v>144</v>
      </c>
    </row>
    <row r="80" spans="1:17" x14ac:dyDescent="0.25">
      <c r="A80">
        <v>23</v>
      </c>
      <c r="B80" s="120">
        <v>43675</v>
      </c>
      <c r="C80" s="121"/>
      <c r="D80" s="121"/>
      <c r="E80" s="121" t="s">
        <v>94</v>
      </c>
      <c r="F80" s="121" t="s">
        <v>45</v>
      </c>
      <c r="G80" s="121" t="s">
        <v>93</v>
      </c>
      <c r="H80" s="121" t="s">
        <v>66</v>
      </c>
      <c r="I80" s="31">
        <v>443</v>
      </c>
      <c r="J80" s="121" t="s">
        <v>91</v>
      </c>
      <c r="K80" s="121" t="s">
        <v>92</v>
      </c>
      <c r="L80" s="121" t="s">
        <v>62</v>
      </c>
      <c r="M80" s="2"/>
      <c r="N80" s="2">
        <f t="shared" si="0"/>
        <v>-101689.67</v>
      </c>
      <c r="O80" t="s">
        <v>130</v>
      </c>
      <c r="Q80" t="s">
        <v>145</v>
      </c>
    </row>
    <row r="81" spans="1:17" x14ac:dyDescent="0.25">
      <c r="A81">
        <v>24</v>
      </c>
      <c r="B81" s="116">
        <v>43675</v>
      </c>
      <c r="C81" s="117"/>
      <c r="D81" s="117"/>
      <c r="E81" s="117" t="s">
        <v>94</v>
      </c>
      <c r="F81" s="117" t="s">
        <v>46</v>
      </c>
      <c r="G81" s="117" t="s">
        <v>96</v>
      </c>
      <c r="H81" s="117" t="s">
        <v>60</v>
      </c>
      <c r="I81" s="118">
        <v>3033</v>
      </c>
      <c r="J81" s="117" t="s">
        <v>91</v>
      </c>
      <c r="K81" s="117" t="s">
        <v>92</v>
      </c>
      <c r="L81" s="117" t="s">
        <v>62</v>
      </c>
      <c r="M81" s="2"/>
      <c r="N81" s="2">
        <f t="shared" si="0"/>
        <v>-101689.67</v>
      </c>
      <c r="Q81" t="s">
        <v>145</v>
      </c>
    </row>
    <row r="82" spans="1:17" x14ac:dyDescent="0.25">
      <c r="A82">
        <v>25</v>
      </c>
      <c r="B82" s="116">
        <v>43675</v>
      </c>
      <c r="C82" s="117"/>
      <c r="D82" s="117"/>
      <c r="E82" s="117" t="s">
        <v>67</v>
      </c>
      <c r="F82" s="117" t="s">
        <v>95</v>
      </c>
      <c r="G82" s="117" t="s">
        <v>97</v>
      </c>
      <c r="H82" s="117" t="s">
        <v>66</v>
      </c>
      <c r="I82" s="118">
        <v>6000</v>
      </c>
      <c r="J82" s="117" t="s">
        <v>91</v>
      </c>
      <c r="K82" s="117" t="s">
        <v>98</v>
      </c>
      <c r="L82" s="117" t="s">
        <v>62</v>
      </c>
      <c r="M82" s="2"/>
      <c r="N82" s="2">
        <f t="shared" si="0"/>
        <v>-101689.67</v>
      </c>
      <c r="O82" t="s">
        <v>131</v>
      </c>
      <c r="Q82" t="s">
        <v>146</v>
      </c>
    </row>
    <row r="83" spans="1:17" x14ac:dyDescent="0.25">
      <c r="A83">
        <v>26</v>
      </c>
      <c r="B83" s="120">
        <v>43675</v>
      </c>
      <c r="C83" s="121"/>
      <c r="D83" s="121"/>
      <c r="E83" s="121" t="s">
        <v>57</v>
      </c>
      <c r="F83" s="121" t="s">
        <v>95</v>
      </c>
      <c r="G83" s="121" t="s">
        <v>99</v>
      </c>
      <c r="H83" s="121" t="s">
        <v>66</v>
      </c>
      <c r="I83" s="31">
        <v>12100</v>
      </c>
      <c r="J83" s="121" t="s">
        <v>91</v>
      </c>
      <c r="K83" s="121" t="s">
        <v>98</v>
      </c>
      <c r="L83" s="121" t="s">
        <v>62</v>
      </c>
      <c r="M83" s="2"/>
      <c r="N83" s="2">
        <f t="shared" si="0"/>
        <v>-101689.67</v>
      </c>
      <c r="O83" t="s">
        <v>133</v>
      </c>
      <c r="Q83" t="s">
        <v>147</v>
      </c>
    </row>
    <row r="84" spans="1:17" x14ac:dyDescent="0.25">
      <c r="A84">
        <v>27</v>
      </c>
      <c r="B84" s="119">
        <v>43752</v>
      </c>
      <c r="C84" s="32"/>
      <c r="D84" s="32"/>
      <c r="E84" s="32" t="s">
        <v>117</v>
      </c>
      <c r="F84" s="32" t="s">
        <v>58</v>
      </c>
      <c r="G84" s="32" t="s">
        <v>118</v>
      </c>
      <c r="H84" s="32" t="s">
        <v>119</v>
      </c>
      <c r="I84" s="30">
        <v>418</v>
      </c>
      <c r="J84" s="32" t="s">
        <v>91</v>
      </c>
      <c r="K84" s="32" t="s">
        <v>92</v>
      </c>
      <c r="L84" s="32" t="s">
        <v>62</v>
      </c>
      <c r="M84" s="2"/>
      <c r="N84" s="2">
        <f t="shared" si="0"/>
        <v>-101689.67</v>
      </c>
      <c r="Q84" t="s">
        <v>148</v>
      </c>
    </row>
    <row r="85" spans="1:17" x14ac:dyDescent="0.25">
      <c r="A85">
        <v>28</v>
      </c>
      <c r="B85" s="120">
        <v>43752</v>
      </c>
      <c r="C85" s="121"/>
      <c r="D85" s="121"/>
      <c r="E85" s="121" t="s">
        <v>122</v>
      </c>
      <c r="F85" s="121" t="s">
        <v>120</v>
      </c>
      <c r="G85" s="121" t="s">
        <v>121</v>
      </c>
      <c r="H85" s="121" t="s">
        <v>66</v>
      </c>
      <c r="I85" s="31">
        <v>662</v>
      </c>
      <c r="J85" s="121" t="s">
        <v>91</v>
      </c>
      <c r="K85" s="121" t="s">
        <v>92</v>
      </c>
      <c r="L85" s="121" t="s">
        <v>62</v>
      </c>
      <c r="N85" s="2">
        <f t="shared" si="0"/>
        <v>-101689.67</v>
      </c>
      <c r="O85" t="s">
        <v>130</v>
      </c>
      <c r="Q85" t="s">
        <v>149</v>
      </c>
    </row>
    <row r="86" spans="1:17" x14ac:dyDescent="0.25">
      <c r="A86">
        <v>29</v>
      </c>
      <c r="B86" s="120">
        <v>43752</v>
      </c>
      <c r="C86" s="121"/>
      <c r="D86" s="121"/>
      <c r="E86" s="121" t="s">
        <v>122</v>
      </c>
      <c r="F86" s="121" t="s">
        <v>120</v>
      </c>
      <c r="G86" s="121" t="s">
        <v>123</v>
      </c>
      <c r="H86" s="121" t="s">
        <v>66</v>
      </c>
      <c r="I86" s="31">
        <v>366.9</v>
      </c>
      <c r="J86" s="121" t="s">
        <v>91</v>
      </c>
      <c r="K86" s="121" t="s">
        <v>92</v>
      </c>
      <c r="L86" s="121" t="s">
        <v>62</v>
      </c>
      <c r="N86" s="2">
        <f t="shared" si="0"/>
        <v>-101689.67</v>
      </c>
      <c r="O86" t="s">
        <v>130</v>
      </c>
      <c r="Q86" t="s">
        <v>149</v>
      </c>
    </row>
    <row r="87" spans="1:17" x14ac:dyDescent="0.25">
      <c r="A87">
        <v>30</v>
      </c>
      <c r="B87" s="28">
        <v>43767</v>
      </c>
      <c r="E87" t="s">
        <v>67</v>
      </c>
      <c r="F87" t="s">
        <v>58</v>
      </c>
      <c r="G87" t="s">
        <v>124</v>
      </c>
      <c r="H87" t="s">
        <v>66</v>
      </c>
      <c r="I87" s="31">
        <v>5340.72</v>
      </c>
      <c r="J87" t="s">
        <v>52</v>
      </c>
      <c r="L87" t="s">
        <v>100</v>
      </c>
      <c r="N87" s="2">
        <f t="shared" si="0"/>
        <v>-101689.67</v>
      </c>
      <c r="O87" t="s">
        <v>132</v>
      </c>
    </row>
    <row r="88" spans="1:17" x14ac:dyDescent="0.25">
      <c r="A88">
        <v>31</v>
      </c>
      <c r="B88" s="28">
        <v>43767</v>
      </c>
      <c r="E88" t="s">
        <v>67</v>
      </c>
      <c r="F88" t="s">
        <v>120</v>
      </c>
      <c r="G88" t="s">
        <v>124</v>
      </c>
      <c r="H88" t="s">
        <v>66</v>
      </c>
      <c r="I88" s="31">
        <v>2671.1</v>
      </c>
      <c r="J88" t="s">
        <v>52</v>
      </c>
      <c r="L88" t="s">
        <v>100</v>
      </c>
      <c r="N88" s="2">
        <f t="shared" si="0"/>
        <v>-101689.67</v>
      </c>
      <c r="O88" t="s">
        <v>132</v>
      </c>
    </row>
    <row r="89" spans="1:17" x14ac:dyDescent="0.25">
      <c r="A89">
        <v>32</v>
      </c>
      <c r="B89" s="28">
        <v>43767</v>
      </c>
      <c r="E89" t="s">
        <v>67</v>
      </c>
      <c r="F89" t="s">
        <v>125</v>
      </c>
      <c r="G89" t="s">
        <v>124</v>
      </c>
      <c r="H89" t="s">
        <v>66</v>
      </c>
      <c r="I89" s="31">
        <v>1883</v>
      </c>
      <c r="J89" t="s">
        <v>52</v>
      </c>
      <c r="L89" t="s">
        <v>100</v>
      </c>
      <c r="N89" s="2">
        <f t="shared" si="0"/>
        <v>-101689.67</v>
      </c>
      <c r="O89" t="s">
        <v>132</v>
      </c>
    </row>
    <row r="90" spans="1:17" x14ac:dyDescent="0.25">
      <c r="A90">
        <v>33</v>
      </c>
      <c r="B90" s="28">
        <v>43767</v>
      </c>
      <c r="E90" t="s">
        <v>67</v>
      </c>
      <c r="F90" t="s">
        <v>126</v>
      </c>
      <c r="G90" t="s">
        <v>124</v>
      </c>
      <c r="H90" t="s">
        <v>66</v>
      </c>
      <c r="I90" s="31">
        <v>1665</v>
      </c>
      <c r="J90" t="s">
        <v>52</v>
      </c>
      <c r="L90" t="s">
        <v>100</v>
      </c>
      <c r="N90" s="2">
        <f t="shared" si="0"/>
        <v>-101689.67</v>
      </c>
      <c r="O90" t="s">
        <v>132</v>
      </c>
    </row>
    <row r="91" spans="1:17" x14ac:dyDescent="0.25">
      <c r="A91">
        <v>34</v>
      </c>
      <c r="B91" s="28">
        <v>43767</v>
      </c>
      <c r="E91" t="s">
        <v>67</v>
      </c>
      <c r="F91" t="s">
        <v>68</v>
      </c>
      <c r="G91" t="s">
        <v>124</v>
      </c>
      <c r="H91" t="s">
        <v>66</v>
      </c>
      <c r="I91" s="31">
        <v>2446.4</v>
      </c>
      <c r="J91" t="s">
        <v>52</v>
      </c>
      <c r="L91" t="s">
        <v>100</v>
      </c>
      <c r="N91" s="2">
        <f t="shared" si="0"/>
        <v>-101689.67</v>
      </c>
      <c r="O91" t="s">
        <v>132</v>
      </c>
    </row>
    <row r="92" spans="1:17" x14ac:dyDescent="0.25">
      <c r="A92">
        <v>35</v>
      </c>
      <c r="B92" s="119">
        <v>43767</v>
      </c>
      <c r="C92" s="32"/>
      <c r="D92" s="32"/>
      <c r="E92" s="32" t="s">
        <v>67</v>
      </c>
      <c r="F92" s="32" t="s">
        <v>68</v>
      </c>
      <c r="G92" s="32" t="s">
        <v>127</v>
      </c>
      <c r="H92" s="32" t="s">
        <v>60</v>
      </c>
      <c r="I92" s="30">
        <v>750</v>
      </c>
      <c r="J92" s="32" t="s">
        <v>91</v>
      </c>
      <c r="K92" s="32" t="s">
        <v>92</v>
      </c>
      <c r="L92" s="32" t="s">
        <v>62</v>
      </c>
      <c r="N92" s="2">
        <f t="shared" si="0"/>
        <v>-101689.67</v>
      </c>
      <c r="Q92" t="s">
        <v>150</v>
      </c>
    </row>
    <row r="93" spans="1:17" x14ac:dyDescent="0.25">
      <c r="A93">
        <v>36</v>
      </c>
      <c r="B93" s="120">
        <v>43767</v>
      </c>
      <c r="C93" s="121"/>
      <c r="D93" s="121"/>
      <c r="E93" s="121" t="s">
        <v>67</v>
      </c>
      <c r="F93" s="121" t="s">
        <v>64</v>
      </c>
      <c r="G93" s="121" t="s">
        <v>127</v>
      </c>
      <c r="H93" s="121" t="s">
        <v>60</v>
      </c>
      <c r="I93" s="31">
        <v>500</v>
      </c>
      <c r="J93" s="121" t="s">
        <v>91</v>
      </c>
      <c r="K93" s="121" t="s">
        <v>92</v>
      </c>
      <c r="L93" s="121" t="s">
        <v>62</v>
      </c>
      <c r="N93" s="2">
        <f t="shared" si="0"/>
        <v>-101689.67</v>
      </c>
      <c r="Q93" t="s">
        <v>150</v>
      </c>
    </row>
    <row r="94" spans="1:17" x14ac:dyDescent="0.25">
      <c r="A94">
        <v>37</v>
      </c>
      <c r="B94" s="120">
        <v>43769</v>
      </c>
      <c r="C94" s="121"/>
      <c r="D94" s="121"/>
      <c r="E94" s="121" t="s">
        <v>67</v>
      </c>
      <c r="F94" s="121" t="s">
        <v>64</v>
      </c>
      <c r="G94" s="121" t="s">
        <v>158</v>
      </c>
      <c r="H94" s="121" t="s">
        <v>66</v>
      </c>
      <c r="I94" s="31"/>
      <c r="J94" s="121" t="s">
        <v>52</v>
      </c>
      <c r="K94" s="121"/>
      <c r="L94" s="121" t="s">
        <v>62</v>
      </c>
      <c r="M94" s="2">
        <v>-5900</v>
      </c>
      <c r="N94" s="2"/>
    </row>
    <row r="95" spans="1:17" x14ac:dyDescent="0.25">
      <c r="A95">
        <v>38</v>
      </c>
      <c r="B95" s="120">
        <v>43769</v>
      </c>
      <c r="C95" s="121"/>
      <c r="D95" s="121"/>
      <c r="E95" s="121" t="s">
        <v>67</v>
      </c>
      <c r="F95" s="121" t="s">
        <v>64</v>
      </c>
      <c r="G95" s="121" t="s">
        <v>128</v>
      </c>
      <c r="H95" s="121" t="s">
        <v>66</v>
      </c>
      <c r="I95" s="31">
        <v>5900</v>
      </c>
      <c r="J95" s="121" t="s">
        <v>52</v>
      </c>
      <c r="K95" s="121"/>
      <c r="L95" s="121" t="s">
        <v>62</v>
      </c>
      <c r="M95" s="2"/>
      <c r="N95" s="2">
        <f>N93-IF(AND(J95="Hotově",K95="Hamerák"),I95+M95)</f>
        <v>-101689.67</v>
      </c>
      <c r="O95" t="s">
        <v>130</v>
      </c>
    </row>
    <row r="96" spans="1:17" x14ac:dyDescent="0.25">
      <c r="A96">
        <v>39</v>
      </c>
      <c r="B96" s="119">
        <v>43781</v>
      </c>
      <c r="C96" s="32"/>
      <c r="D96" s="32"/>
      <c r="E96" s="32" t="s">
        <v>67</v>
      </c>
      <c r="F96" s="32" t="s">
        <v>125</v>
      </c>
      <c r="G96" s="32" t="s">
        <v>127</v>
      </c>
      <c r="H96" s="32" t="s">
        <v>60</v>
      </c>
      <c r="I96" s="30">
        <v>651</v>
      </c>
      <c r="J96" s="32" t="s">
        <v>91</v>
      </c>
      <c r="K96" s="32" t="s">
        <v>92</v>
      </c>
      <c r="L96" s="32" t="s">
        <v>62</v>
      </c>
    </row>
    <row r="97" spans="1:14" x14ac:dyDescent="0.25">
      <c r="A97">
        <v>40</v>
      </c>
      <c r="B97" s="119">
        <v>43781</v>
      </c>
      <c r="C97" s="32"/>
      <c r="D97" s="32"/>
      <c r="E97" s="32" t="s">
        <v>67</v>
      </c>
      <c r="F97" s="32" t="s">
        <v>152</v>
      </c>
      <c r="G97" s="32" t="s">
        <v>127</v>
      </c>
      <c r="H97" s="32" t="s">
        <v>60</v>
      </c>
      <c r="I97" s="30">
        <v>957</v>
      </c>
      <c r="J97" s="32" t="s">
        <v>91</v>
      </c>
      <c r="K97" s="32" t="s">
        <v>92</v>
      </c>
      <c r="L97" s="32" t="s">
        <v>62</v>
      </c>
    </row>
    <row r="98" spans="1:14" x14ac:dyDescent="0.25">
      <c r="A98">
        <v>41</v>
      </c>
      <c r="B98" s="120">
        <v>43840</v>
      </c>
      <c r="C98" s="121"/>
      <c r="D98" s="121"/>
      <c r="E98" s="121" t="s">
        <v>6</v>
      </c>
      <c r="F98" s="121" t="s">
        <v>64</v>
      </c>
      <c r="G98" s="121" t="s">
        <v>159</v>
      </c>
      <c r="H98" s="121" t="s">
        <v>60</v>
      </c>
      <c r="I98" s="31"/>
      <c r="J98" s="121" t="s">
        <v>52</v>
      </c>
      <c r="K98" s="121"/>
      <c r="L98" s="121" t="s">
        <v>62</v>
      </c>
      <c r="M98" s="2">
        <v>-6100</v>
      </c>
    </row>
    <row r="99" spans="1:14" x14ac:dyDescent="0.25">
      <c r="A99">
        <v>42</v>
      </c>
      <c r="B99" s="120">
        <v>43840</v>
      </c>
      <c r="C99" s="121"/>
      <c r="D99" s="121"/>
      <c r="E99" s="121" t="s">
        <v>6</v>
      </c>
      <c r="F99" s="121" t="s">
        <v>64</v>
      </c>
      <c r="G99" s="121" t="s">
        <v>153</v>
      </c>
      <c r="H99" s="121" t="s">
        <v>60</v>
      </c>
      <c r="I99" s="31">
        <v>6100</v>
      </c>
      <c r="J99" s="121" t="s">
        <v>52</v>
      </c>
      <c r="K99" s="121"/>
      <c r="L99" s="121" t="s">
        <v>62</v>
      </c>
      <c r="M99" s="2"/>
    </row>
    <row r="100" spans="1:14" x14ac:dyDescent="0.25">
      <c r="A100">
        <v>43</v>
      </c>
      <c r="B100" s="119">
        <v>43747</v>
      </c>
      <c r="C100" s="32"/>
      <c r="D100" s="32"/>
      <c r="E100" s="32" t="s">
        <v>94</v>
      </c>
      <c r="F100" s="32" t="s">
        <v>58</v>
      </c>
      <c r="G100" s="32" t="s">
        <v>156</v>
      </c>
      <c r="H100" s="32" t="s">
        <v>60</v>
      </c>
      <c r="I100" s="30">
        <v>4389</v>
      </c>
      <c r="J100" s="32" t="s">
        <v>61</v>
      </c>
      <c r="K100" s="32" t="s">
        <v>157</v>
      </c>
      <c r="L100" s="32" t="s">
        <v>62</v>
      </c>
    </row>
    <row r="101" spans="1:14" x14ac:dyDescent="0.25">
      <c r="B101" s="28"/>
    </row>
    <row r="102" spans="1:14" x14ac:dyDescent="0.25">
      <c r="B102" s="28"/>
      <c r="G102" t="s">
        <v>116</v>
      </c>
      <c r="N102">
        <f>5000+9037</f>
        <v>14037</v>
      </c>
    </row>
    <row r="104" spans="1:14" ht="21" x14ac:dyDescent="0.35">
      <c r="B104" s="1" t="s">
        <v>101</v>
      </c>
    </row>
    <row r="105" spans="1:14" x14ac:dyDescent="0.25">
      <c r="B105" t="s">
        <v>102</v>
      </c>
      <c r="E105" s="2">
        <f>SUM(I2:I166)+SUM(M2:M166)</f>
        <v>484371.18999999994</v>
      </c>
      <c r="F105" s="32" t="s">
        <v>151</v>
      </c>
      <c r="G105" s="32"/>
      <c r="H105" s="32"/>
      <c r="I105" s="32"/>
      <c r="J105" s="32"/>
    </row>
    <row r="106" spans="1:14" x14ac:dyDescent="0.25">
      <c r="B106" t="s">
        <v>104</v>
      </c>
      <c r="E106" s="2">
        <f>'Příjmy old'!H49</f>
        <v>248960</v>
      </c>
    </row>
    <row r="107" spans="1:14" x14ac:dyDescent="0.25">
      <c r="B107" t="s">
        <v>103</v>
      </c>
      <c r="E107" s="2">
        <f>'Příjmy old'!H49-E105</f>
        <v>-235411.18999999994</v>
      </c>
    </row>
    <row r="110" spans="1:14" x14ac:dyDescent="0.25">
      <c r="B110" t="s">
        <v>154</v>
      </c>
      <c r="E110" s="2">
        <v>181202</v>
      </c>
    </row>
    <row r="111" spans="1:14" x14ac:dyDescent="0.25">
      <c r="B111" t="s">
        <v>155</v>
      </c>
      <c r="E111" s="2">
        <f>E106</f>
        <v>248960</v>
      </c>
    </row>
    <row r="112" spans="1:14" x14ac:dyDescent="0.25">
      <c r="E112" s="24">
        <f>E111-E110</f>
        <v>67758</v>
      </c>
    </row>
  </sheetData>
  <autoFilter ref="A1:Q107" xr:uid="{00000000-0009-0000-0000-000005000000}"/>
  <pageMargins left="0.7" right="0.7" top="0.78740157499999996" bottom="0.78740157499999996" header="0.3" footer="0.3"/>
  <pageSetup paperSize="9" scale="3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Q27"/>
  <sheetViews>
    <sheetView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2" max="2" width="10" customWidth="1"/>
    <col min="5" max="5" width="11.5703125" bestFit="1" customWidth="1"/>
    <col min="7" max="7" width="38.5703125" customWidth="1"/>
    <col min="10" max="10" width="8.42578125" customWidth="1"/>
    <col min="11" max="11" width="9.5703125" customWidth="1"/>
    <col min="12" max="12" width="10.28515625" bestFit="1" customWidth="1"/>
    <col min="14" max="14" width="11.7109375" customWidth="1"/>
    <col min="15" max="15" width="45.42578125" customWidth="1"/>
    <col min="16" max="16" width="16" customWidth="1"/>
    <col min="17" max="17" width="20.7109375" bestFit="1" customWidth="1"/>
  </cols>
  <sheetData>
    <row r="1" spans="1:17" x14ac:dyDescent="0.25">
      <c r="A1" s="27" t="s">
        <v>134</v>
      </c>
      <c r="B1" s="27" t="s">
        <v>48</v>
      </c>
      <c r="C1" s="27" t="s">
        <v>49</v>
      </c>
      <c r="D1" s="27" t="s">
        <v>235</v>
      </c>
      <c r="E1" s="27" t="s">
        <v>50</v>
      </c>
      <c r="F1" s="27" t="s">
        <v>244</v>
      </c>
      <c r="G1" s="27" t="s">
        <v>51</v>
      </c>
      <c r="H1" s="27" t="s">
        <v>238</v>
      </c>
      <c r="I1" s="27" t="s">
        <v>53</v>
      </c>
      <c r="J1" s="27" t="s">
        <v>55</v>
      </c>
      <c r="K1" s="27" t="s">
        <v>75</v>
      </c>
      <c r="L1" s="27" t="s">
        <v>54</v>
      </c>
      <c r="M1" s="27" t="s">
        <v>56</v>
      </c>
      <c r="N1" s="27" t="s">
        <v>77</v>
      </c>
      <c r="O1" s="27" t="s">
        <v>140</v>
      </c>
      <c r="P1" s="27" t="s">
        <v>138</v>
      </c>
      <c r="Q1" s="27" t="s">
        <v>141</v>
      </c>
    </row>
    <row r="2" spans="1:17" x14ac:dyDescent="0.25">
      <c r="B2" s="28"/>
      <c r="C2" s="26"/>
      <c r="D2" s="26"/>
      <c r="I2" s="2"/>
      <c r="M2" s="2"/>
      <c r="N2" s="2"/>
    </row>
    <row r="3" spans="1:17" x14ac:dyDescent="0.25">
      <c r="B3" s="28"/>
      <c r="C3" s="26"/>
      <c r="D3" s="26"/>
      <c r="I3" s="2"/>
      <c r="M3" s="2"/>
      <c r="N3" s="2"/>
    </row>
    <row r="4" spans="1:17" x14ac:dyDescent="0.25">
      <c r="B4" s="28"/>
      <c r="C4" s="26"/>
      <c r="D4" s="26"/>
      <c r="G4" t="s">
        <v>345</v>
      </c>
      <c r="I4" s="2">
        <v>11005</v>
      </c>
      <c r="M4" s="2"/>
      <c r="N4" s="2"/>
    </row>
    <row r="5" spans="1:17" x14ac:dyDescent="0.25">
      <c r="B5" s="28"/>
      <c r="C5" s="26"/>
      <c r="D5" s="26"/>
      <c r="I5" s="2"/>
      <c r="M5" s="2"/>
      <c r="N5" s="2"/>
    </row>
    <row r="6" spans="1:17" s="133" customFormat="1" x14ac:dyDescent="0.25">
      <c r="A6" s="133">
        <v>10</v>
      </c>
      <c r="B6" s="134">
        <v>44836</v>
      </c>
      <c r="C6" s="135">
        <v>0.5</v>
      </c>
      <c r="D6" s="135" t="s">
        <v>42</v>
      </c>
      <c r="E6" s="133" t="s">
        <v>63</v>
      </c>
      <c r="F6" s="133" t="s">
        <v>267</v>
      </c>
      <c r="G6" s="133" t="s">
        <v>268</v>
      </c>
      <c r="H6" s="141" t="s">
        <v>66</v>
      </c>
      <c r="I6" s="136">
        <v>50100</v>
      </c>
      <c r="J6" s="133" t="s">
        <v>61</v>
      </c>
      <c r="K6" s="133" t="s">
        <v>76</v>
      </c>
      <c r="L6" s="133" t="s">
        <v>62</v>
      </c>
      <c r="M6" s="136"/>
      <c r="N6" s="136"/>
    </row>
    <row r="7" spans="1:17" s="133" customFormat="1" x14ac:dyDescent="0.25">
      <c r="A7" s="133">
        <v>11</v>
      </c>
      <c r="B7" s="142">
        <v>44858</v>
      </c>
      <c r="C7" s="143">
        <v>0.77083333333333337</v>
      </c>
      <c r="D7" s="143" t="s">
        <v>236</v>
      </c>
      <c r="E7" s="144" t="s">
        <v>67</v>
      </c>
      <c r="F7" s="144" t="s">
        <v>278</v>
      </c>
      <c r="G7" s="144" t="s">
        <v>88</v>
      </c>
      <c r="H7" s="144" t="s">
        <v>60</v>
      </c>
      <c r="I7" s="145">
        <v>102000</v>
      </c>
      <c r="J7" s="144" t="s">
        <v>61</v>
      </c>
      <c r="K7" s="144" t="s">
        <v>76</v>
      </c>
      <c r="L7" s="144" t="s">
        <v>62</v>
      </c>
      <c r="M7" s="136"/>
      <c r="N7" s="136"/>
      <c r="O7" s="146"/>
    </row>
    <row r="8" spans="1:17" x14ac:dyDescent="0.25">
      <c r="B8" s="28"/>
      <c r="C8" s="26"/>
      <c r="D8" s="26"/>
      <c r="M8" s="2"/>
      <c r="N8" s="2"/>
    </row>
    <row r="9" spans="1:17" x14ac:dyDescent="0.25">
      <c r="B9" s="28"/>
      <c r="C9" s="26"/>
      <c r="D9" s="26"/>
      <c r="M9" s="2"/>
      <c r="N9" s="2"/>
    </row>
    <row r="11" spans="1:17" x14ac:dyDescent="0.25">
      <c r="G11" t="s">
        <v>327</v>
      </c>
      <c r="I11" s="2">
        <f>SUM(I2:I10)</f>
        <v>163105</v>
      </c>
    </row>
    <row r="14" spans="1:17" x14ac:dyDescent="0.25">
      <c r="G14" t="s">
        <v>346</v>
      </c>
      <c r="I14">
        <v>151497</v>
      </c>
    </row>
    <row r="15" spans="1:17" x14ac:dyDescent="0.25">
      <c r="I15">
        <v>-10000</v>
      </c>
      <c r="J15" t="s">
        <v>347</v>
      </c>
    </row>
    <row r="16" spans="1:17" x14ac:dyDescent="0.25">
      <c r="I16">
        <v>-102000</v>
      </c>
      <c r="J16" t="s">
        <v>348</v>
      </c>
    </row>
    <row r="17" spans="1:14" x14ac:dyDescent="0.25">
      <c r="I17">
        <f>SUM(I14:I16)</f>
        <v>39497</v>
      </c>
      <c r="J17" t="s">
        <v>349</v>
      </c>
    </row>
    <row r="19" spans="1:14" x14ac:dyDescent="0.25">
      <c r="A19">
        <v>1</v>
      </c>
      <c r="B19" s="28">
        <v>44471</v>
      </c>
      <c r="C19" s="26">
        <v>0.70833333333333337</v>
      </c>
      <c r="D19" s="26" t="s">
        <v>236</v>
      </c>
      <c r="E19" t="s">
        <v>67</v>
      </c>
      <c r="F19" t="s">
        <v>68</v>
      </c>
      <c r="G19" t="s">
        <v>237</v>
      </c>
      <c r="H19" t="s">
        <v>66</v>
      </c>
      <c r="I19" s="2">
        <v>2070</v>
      </c>
      <c r="J19" t="s">
        <v>61</v>
      </c>
      <c r="K19" t="s">
        <v>76</v>
      </c>
      <c r="M19" s="2"/>
      <c r="N19" s="2"/>
    </row>
    <row r="20" spans="1:14" x14ac:dyDescent="0.25">
      <c r="A20">
        <v>2</v>
      </c>
      <c r="B20" s="28">
        <v>44471</v>
      </c>
      <c r="C20" s="26">
        <v>0.70833333333333337</v>
      </c>
      <c r="D20" s="26" t="s">
        <v>42</v>
      </c>
      <c r="E20" t="s">
        <v>122</v>
      </c>
      <c r="F20" t="s">
        <v>68</v>
      </c>
      <c r="G20" t="s">
        <v>239</v>
      </c>
      <c r="H20" t="s">
        <v>66</v>
      </c>
      <c r="I20" s="2">
        <v>99</v>
      </c>
      <c r="J20" t="s">
        <v>61</v>
      </c>
      <c r="K20" t="s">
        <v>76</v>
      </c>
      <c r="M20" s="2"/>
      <c r="N20" s="2"/>
    </row>
    <row r="21" spans="1:14" x14ac:dyDescent="0.25">
      <c r="A21">
        <v>3</v>
      </c>
      <c r="B21" s="28">
        <v>44471</v>
      </c>
      <c r="C21" s="26">
        <v>0.77083333333333337</v>
      </c>
      <c r="D21" s="26" t="s">
        <v>42</v>
      </c>
      <c r="E21" t="s">
        <v>122</v>
      </c>
      <c r="F21" t="s">
        <v>126</v>
      </c>
      <c r="G21" t="s">
        <v>240</v>
      </c>
      <c r="H21" t="s">
        <v>66</v>
      </c>
      <c r="I21" s="2">
        <v>55</v>
      </c>
      <c r="J21" t="s">
        <v>61</v>
      </c>
      <c r="K21" t="s">
        <v>76</v>
      </c>
      <c r="M21" s="2"/>
      <c r="N21" s="2"/>
    </row>
    <row r="22" spans="1:14" x14ac:dyDescent="0.25">
      <c r="A22">
        <v>4</v>
      </c>
      <c r="B22" s="28">
        <v>44471</v>
      </c>
      <c r="C22" s="26">
        <v>0.83333333333333337</v>
      </c>
      <c r="D22" s="26" t="s">
        <v>42</v>
      </c>
      <c r="E22" t="s">
        <v>79</v>
      </c>
      <c r="F22" t="s">
        <v>241</v>
      </c>
      <c r="G22" t="s">
        <v>79</v>
      </c>
      <c r="H22" t="s">
        <v>66</v>
      </c>
      <c r="I22" s="2">
        <v>39.799999999999997</v>
      </c>
      <c r="J22" t="s">
        <v>61</v>
      </c>
      <c r="K22" t="s">
        <v>76</v>
      </c>
      <c r="M22" s="2"/>
      <c r="N22" s="2"/>
    </row>
    <row r="23" spans="1:14" x14ac:dyDescent="0.25">
      <c r="A23">
        <v>5</v>
      </c>
      <c r="B23" s="28">
        <v>44471</v>
      </c>
      <c r="C23" s="26">
        <v>0.83333333333333337</v>
      </c>
      <c r="D23" s="26" t="s">
        <v>42</v>
      </c>
      <c r="E23" t="s">
        <v>79</v>
      </c>
      <c r="F23" t="s">
        <v>241</v>
      </c>
      <c r="G23" t="s">
        <v>79</v>
      </c>
      <c r="H23" t="s">
        <v>66</v>
      </c>
      <c r="I23" s="2">
        <v>99</v>
      </c>
      <c r="J23" t="s">
        <v>61</v>
      </c>
      <c r="K23" t="s">
        <v>76</v>
      </c>
      <c r="M23" s="2"/>
      <c r="N23" s="2"/>
    </row>
    <row r="24" spans="1:14" x14ac:dyDescent="0.25">
      <c r="A24">
        <v>6</v>
      </c>
      <c r="B24" s="28">
        <v>44471</v>
      </c>
      <c r="C24" s="26">
        <v>0.83333333333333337</v>
      </c>
      <c r="D24" s="26" t="s">
        <v>42</v>
      </c>
      <c r="E24" t="s">
        <v>79</v>
      </c>
      <c r="F24" t="s">
        <v>241</v>
      </c>
      <c r="G24" t="s">
        <v>79</v>
      </c>
      <c r="H24" t="s">
        <v>60</v>
      </c>
      <c r="I24" s="2">
        <v>1422</v>
      </c>
      <c r="J24" t="s">
        <v>61</v>
      </c>
      <c r="K24" t="s">
        <v>76</v>
      </c>
      <c r="M24" s="2"/>
      <c r="N24" s="2"/>
    </row>
    <row r="25" spans="1:14" x14ac:dyDescent="0.25">
      <c r="A25">
        <v>7</v>
      </c>
      <c r="B25" s="28">
        <v>44472</v>
      </c>
      <c r="C25" s="26">
        <v>0.5</v>
      </c>
      <c r="D25" s="26" t="s">
        <v>42</v>
      </c>
      <c r="E25" t="s">
        <v>79</v>
      </c>
      <c r="F25" t="s">
        <v>64</v>
      </c>
      <c r="G25" t="s">
        <v>242</v>
      </c>
      <c r="H25" t="s">
        <v>60</v>
      </c>
      <c r="I25" s="2">
        <v>5000</v>
      </c>
      <c r="J25" t="s">
        <v>61</v>
      </c>
      <c r="K25" t="s">
        <v>76</v>
      </c>
      <c r="M25" s="2"/>
      <c r="N25" s="2"/>
    </row>
    <row r="26" spans="1:14" x14ac:dyDescent="0.25">
      <c r="A26">
        <v>8</v>
      </c>
      <c r="B26" s="28">
        <v>44472</v>
      </c>
      <c r="C26" s="26">
        <v>0.5</v>
      </c>
      <c r="D26" s="26" t="s">
        <v>42</v>
      </c>
      <c r="E26" t="s">
        <v>79</v>
      </c>
      <c r="F26" t="s">
        <v>64</v>
      </c>
      <c r="G26" t="s">
        <v>80</v>
      </c>
      <c r="H26" t="s">
        <v>60</v>
      </c>
      <c r="I26" s="2">
        <v>1600</v>
      </c>
      <c r="J26" t="s">
        <v>61</v>
      </c>
      <c r="K26" t="s">
        <v>76</v>
      </c>
      <c r="M26" s="2"/>
      <c r="N26" s="2"/>
    </row>
    <row r="27" spans="1:14" x14ac:dyDescent="0.25">
      <c r="A27">
        <v>9</v>
      </c>
      <c r="B27" s="28">
        <v>44472</v>
      </c>
      <c r="C27" s="26">
        <v>0.5</v>
      </c>
      <c r="D27" s="26" t="s">
        <v>42</v>
      </c>
      <c r="E27" t="s">
        <v>94</v>
      </c>
      <c r="F27" t="s">
        <v>64</v>
      </c>
      <c r="G27" t="s">
        <v>243</v>
      </c>
      <c r="H27" t="s">
        <v>60</v>
      </c>
      <c r="I27" s="2">
        <v>400</v>
      </c>
      <c r="J27" t="s">
        <v>61</v>
      </c>
      <c r="K27" t="s">
        <v>76</v>
      </c>
      <c r="M27" s="2"/>
      <c r="N27" s="2"/>
    </row>
  </sheetData>
  <autoFilter ref="A1:Q9" xr:uid="{00000000-0009-0000-0000-000006000000}"/>
  <pageMargins left="0.7" right="0.7" top="0.78740157499999996" bottom="0.78740157499999996" header="0.3" footer="0.3"/>
  <pageSetup paperSize="9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Q29"/>
  <sheetViews>
    <sheetView workbookViewId="0">
      <pane ySplit="1" topLeftCell="A2" activePane="bottomLeft" state="frozen"/>
      <selection pane="bottomLeft" activeCell="K25" sqref="K25"/>
    </sheetView>
  </sheetViews>
  <sheetFormatPr defaultRowHeight="15" x14ac:dyDescent="0.25"/>
  <cols>
    <col min="2" max="2" width="10" customWidth="1"/>
    <col min="5" max="5" width="11.5703125" bestFit="1" customWidth="1"/>
    <col min="7" max="7" width="34.140625" bestFit="1" customWidth="1"/>
    <col min="10" max="10" width="8.42578125" customWidth="1"/>
    <col min="11" max="11" width="9.5703125" customWidth="1"/>
    <col min="12" max="12" width="10.28515625" bestFit="1" customWidth="1"/>
    <col min="14" max="14" width="11.7109375" customWidth="1"/>
    <col min="15" max="15" width="45.42578125" customWidth="1"/>
    <col min="16" max="16" width="16" customWidth="1"/>
    <col min="17" max="17" width="20.7109375" bestFit="1" customWidth="1"/>
  </cols>
  <sheetData>
    <row r="1" spans="1:17" x14ac:dyDescent="0.25">
      <c r="A1" s="27" t="s">
        <v>134</v>
      </c>
      <c r="B1" s="27" t="s">
        <v>48</v>
      </c>
      <c r="C1" s="27" t="s">
        <v>49</v>
      </c>
      <c r="D1" s="27" t="s">
        <v>235</v>
      </c>
      <c r="E1" s="27" t="s">
        <v>50</v>
      </c>
      <c r="F1" s="27" t="s">
        <v>244</v>
      </c>
      <c r="G1" s="27" t="s">
        <v>51</v>
      </c>
      <c r="H1" s="27" t="s">
        <v>238</v>
      </c>
      <c r="I1" s="27" t="s">
        <v>53</v>
      </c>
      <c r="J1" s="27" t="s">
        <v>55</v>
      </c>
      <c r="K1" s="27" t="s">
        <v>75</v>
      </c>
      <c r="L1" s="27" t="s">
        <v>54</v>
      </c>
      <c r="M1" s="27" t="s">
        <v>56</v>
      </c>
      <c r="N1" s="27" t="s">
        <v>77</v>
      </c>
      <c r="O1" s="27" t="s">
        <v>140</v>
      </c>
      <c r="P1" s="27" t="s">
        <v>138</v>
      </c>
      <c r="Q1" s="27" t="s">
        <v>141</v>
      </c>
    </row>
    <row r="2" spans="1:17" x14ac:dyDescent="0.25">
      <c r="A2">
        <v>1</v>
      </c>
      <c r="B2" s="28">
        <v>44471</v>
      </c>
      <c r="C2" s="26">
        <v>0.70833333333333337</v>
      </c>
      <c r="D2" s="26" t="s">
        <v>236</v>
      </c>
      <c r="E2" t="s">
        <v>67</v>
      </c>
      <c r="F2" t="s">
        <v>68</v>
      </c>
      <c r="G2" t="s">
        <v>237</v>
      </c>
      <c r="H2" t="s">
        <v>66</v>
      </c>
      <c r="I2" s="2">
        <v>2070</v>
      </c>
      <c r="J2" t="s">
        <v>61</v>
      </c>
      <c r="K2" t="s">
        <v>76</v>
      </c>
      <c r="L2" t="s">
        <v>62</v>
      </c>
      <c r="M2" s="2"/>
      <c r="N2" s="2"/>
      <c r="P2" s="121" t="s">
        <v>301</v>
      </c>
    </row>
    <row r="3" spans="1:17" x14ac:dyDescent="0.25">
      <c r="A3">
        <v>2</v>
      </c>
      <c r="B3" s="28">
        <v>44471</v>
      </c>
      <c r="C3" s="26">
        <v>0.70833333333333337</v>
      </c>
      <c r="D3" s="26" t="s">
        <v>42</v>
      </c>
      <c r="E3" t="s">
        <v>122</v>
      </c>
      <c r="F3" t="s">
        <v>68</v>
      </c>
      <c r="G3" t="s">
        <v>239</v>
      </c>
      <c r="H3" t="s">
        <v>66</v>
      </c>
      <c r="I3" s="2">
        <v>99</v>
      </c>
      <c r="J3" t="s">
        <v>61</v>
      </c>
      <c r="K3" t="s">
        <v>76</v>
      </c>
      <c r="L3" t="s">
        <v>62</v>
      </c>
      <c r="M3" s="2"/>
      <c r="N3" s="2"/>
      <c r="P3" s="121" t="s">
        <v>300</v>
      </c>
    </row>
    <row r="4" spans="1:17" x14ac:dyDescent="0.25">
      <c r="A4">
        <v>3</v>
      </c>
      <c r="B4" s="28">
        <v>44471</v>
      </c>
      <c r="C4" s="26">
        <v>0.77083333333333337</v>
      </c>
      <c r="D4" s="26" t="s">
        <v>42</v>
      </c>
      <c r="E4" t="s">
        <v>122</v>
      </c>
      <c r="F4" t="s">
        <v>126</v>
      </c>
      <c r="G4" t="s">
        <v>240</v>
      </c>
      <c r="H4" t="s">
        <v>66</v>
      </c>
      <c r="I4" s="2">
        <v>55</v>
      </c>
      <c r="J4" t="s">
        <v>61</v>
      </c>
      <c r="K4" t="s">
        <v>76</v>
      </c>
      <c r="L4" t="s">
        <v>62</v>
      </c>
      <c r="M4" s="2"/>
      <c r="N4" s="2"/>
      <c r="P4" s="121" t="s">
        <v>300</v>
      </c>
    </row>
    <row r="5" spans="1:17" x14ac:dyDescent="0.25">
      <c r="A5">
        <v>4</v>
      </c>
      <c r="B5" s="28">
        <v>44471</v>
      </c>
      <c r="C5" s="26">
        <v>0.83333333333333337</v>
      </c>
      <c r="D5" s="26" t="s">
        <v>42</v>
      </c>
      <c r="E5" t="s">
        <v>79</v>
      </c>
      <c r="F5" t="s">
        <v>241</v>
      </c>
      <c r="G5" t="s">
        <v>79</v>
      </c>
      <c r="H5" t="s">
        <v>66</v>
      </c>
      <c r="I5" s="2">
        <v>39.799999999999997</v>
      </c>
      <c r="J5" t="s">
        <v>61</v>
      </c>
      <c r="K5" t="s">
        <v>76</v>
      </c>
      <c r="L5" t="s">
        <v>62</v>
      </c>
      <c r="M5" s="2"/>
      <c r="N5" s="2"/>
      <c r="P5" s="121" t="s">
        <v>299</v>
      </c>
    </row>
    <row r="6" spans="1:17" x14ac:dyDescent="0.25">
      <c r="A6">
        <v>5</v>
      </c>
      <c r="B6" s="28">
        <v>44471</v>
      </c>
      <c r="C6" s="26">
        <v>0.83333333333333337</v>
      </c>
      <c r="D6" s="26" t="s">
        <v>42</v>
      </c>
      <c r="E6" t="s">
        <v>79</v>
      </c>
      <c r="F6" t="s">
        <v>241</v>
      </c>
      <c r="G6" t="s">
        <v>79</v>
      </c>
      <c r="H6" t="s">
        <v>66</v>
      </c>
      <c r="I6" s="2">
        <v>99</v>
      </c>
      <c r="J6" t="s">
        <v>61</v>
      </c>
      <c r="K6" t="s">
        <v>76</v>
      </c>
      <c r="L6" t="s">
        <v>62</v>
      </c>
      <c r="M6" s="2"/>
      <c r="N6" s="2"/>
      <c r="P6" s="121" t="s">
        <v>299</v>
      </c>
    </row>
    <row r="7" spans="1:17" x14ac:dyDescent="0.25">
      <c r="A7">
        <v>2</v>
      </c>
      <c r="B7" s="28">
        <v>44449</v>
      </c>
      <c r="C7" s="26">
        <v>0.54513888888888895</v>
      </c>
      <c r="D7" s="26" t="s">
        <v>166</v>
      </c>
      <c r="E7" t="s">
        <v>166</v>
      </c>
      <c r="F7" t="s">
        <v>245</v>
      </c>
      <c r="G7" t="s">
        <v>246</v>
      </c>
      <c r="H7" t="s">
        <v>66</v>
      </c>
      <c r="I7" s="2">
        <v>18452.5</v>
      </c>
      <c r="J7" t="s">
        <v>247</v>
      </c>
      <c r="K7" t="s">
        <v>98</v>
      </c>
      <c r="L7" t="s">
        <v>62</v>
      </c>
      <c r="M7" s="2"/>
      <c r="N7" s="2"/>
      <c r="P7" s="121" t="s">
        <v>303</v>
      </c>
    </row>
    <row r="8" spans="1:17" x14ac:dyDescent="0.25">
      <c r="A8">
        <v>3</v>
      </c>
      <c r="B8" s="28">
        <v>44446</v>
      </c>
      <c r="C8" s="26">
        <v>0.82291666666666663</v>
      </c>
      <c r="D8" s="26" t="s">
        <v>42</v>
      </c>
      <c r="E8" t="s">
        <v>122</v>
      </c>
      <c r="F8" t="s">
        <v>251</v>
      </c>
      <c r="G8" t="s">
        <v>252</v>
      </c>
      <c r="H8" t="s">
        <v>66</v>
      </c>
      <c r="I8" s="2">
        <v>1292</v>
      </c>
      <c r="J8" t="s">
        <v>247</v>
      </c>
      <c r="K8" t="s">
        <v>253</v>
      </c>
      <c r="L8" t="s">
        <v>62</v>
      </c>
      <c r="M8" s="2"/>
      <c r="N8" s="2"/>
      <c r="P8" s="121" t="s">
        <v>304</v>
      </c>
    </row>
    <row r="9" spans="1:17" x14ac:dyDescent="0.25">
      <c r="A9">
        <v>6</v>
      </c>
      <c r="B9" s="28">
        <v>44468</v>
      </c>
      <c r="C9" s="26">
        <v>0.79166666666666663</v>
      </c>
      <c r="D9" s="26" t="s">
        <v>42</v>
      </c>
      <c r="E9" t="s">
        <v>258</v>
      </c>
      <c r="F9" t="s">
        <v>259</v>
      </c>
      <c r="G9" t="s">
        <v>260</v>
      </c>
      <c r="H9" t="s">
        <v>66</v>
      </c>
      <c r="I9" s="2">
        <v>809</v>
      </c>
      <c r="L9" s="32" t="s">
        <v>261</v>
      </c>
      <c r="M9" s="2"/>
      <c r="N9" s="2"/>
      <c r="P9" s="121" t="s">
        <v>301</v>
      </c>
    </row>
    <row r="10" spans="1:17" x14ac:dyDescent="0.25">
      <c r="A10">
        <v>7</v>
      </c>
      <c r="B10" s="28">
        <v>44469</v>
      </c>
      <c r="C10" s="26">
        <v>0.625</v>
      </c>
      <c r="D10" s="26" t="s">
        <v>42</v>
      </c>
      <c r="E10" t="s">
        <v>258</v>
      </c>
      <c r="F10" t="s">
        <v>259</v>
      </c>
      <c r="G10" t="s">
        <v>262</v>
      </c>
      <c r="H10" t="s">
        <v>66</v>
      </c>
      <c r="I10" s="2">
        <v>768</v>
      </c>
      <c r="L10" s="32" t="s">
        <v>261</v>
      </c>
      <c r="M10" s="2"/>
      <c r="N10" s="2"/>
      <c r="P10" s="121" t="s">
        <v>302</v>
      </c>
    </row>
    <row r="11" spans="1:17" x14ac:dyDescent="0.25">
      <c r="A11">
        <v>9</v>
      </c>
      <c r="B11" s="28">
        <v>44477</v>
      </c>
      <c r="C11" s="26"/>
      <c r="D11" s="26" t="s">
        <v>42</v>
      </c>
      <c r="E11" t="s">
        <v>6</v>
      </c>
      <c r="F11" t="s">
        <v>263</v>
      </c>
      <c r="G11" t="s">
        <v>266</v>
      </c>
      <c r="H11" t="s">
        <v>66</v>
      </c>
      <c r="I11" s="31">
        <v>7025</v>
      </c>
      <c r="L11" t="s">
        <v>62</v>
      </c>
      <c r="M11" s="2"/>
      <c r="N11" s="2"/>
      <c r="P11" s="121" t="s">
        <v>298</v>
      </c>
    </row>
    <row r="12" spans="1:17" x14ac:dyDescent="0.25">
      <c r="A12">
        <v>1</v>
      </c>
      <c r="B12" s="28"/>
      <c r="C12" s="26"/>
      <c r="D12" s="26" t="s">
        <v>42</v>
      </c>
      <c r="E12" t="s">
        <v>57</v>
      </c>
      <c r="F12" t="s">
        <v>99</v>
      </c>
      <c r="G12" t="s">
        <v>248</v>
      </c>
      <c r="H12" t="s">
        <v>66</v>
      </c>
      <c r="I12" s="31">
        <v>14520</v>
      </c>
      <c r="J12" t="s">
        <v>247</v>
      </c>
      <c r="K12" t="s">
        <v>98</v>
      </c>
      <c r="L12" t="s">
        <v>249</v>
      </c>
      <c r="M12" s="2"/>
      <c r="N12" s="2"/>
      <c r="O12" t="s">
        <v>250</v>
      </c>
      <c r="P12" s="121" t="s">
        <v>297</v>
      </c>
    </row>
    <row r="13" spans="1:17" x14ac:dyDescent="0.25">
      <c r="B13" s="28">
        <v>43767</v>
      </c>
      <c r="E13" t="s">
        <v>67</v>
      </c>
      <c r="F13" t="s">
        <v>286</v>
      </c>
      <c r="G13" t="s">
        <v>124</v>
      </c>
      <c r="H13" t="s">
        <v>66</v>
      </c>
      <c r="I13" s="31">
        <v>603</v>
      </c>
      <c r="J13" t="s">
        <v>52</v>
      </c>
      <c r="L13" t="s">
        <v>100</v>
      </c>
      <c r="P13" s="121" t="s">
        <v>296</v>
      </c>
    </row>
    <row r="14" spans="1:17" x14ac:dyDescent="0.25">
      <c r="B14" s="28">
        <v>43767</v>
      </c>
      <c r="E14" t="s">
        <v>67</v>
      </c>
      <c r="F14" t="s">
        <v>287</v>
      </c>
      <c r="G14" t="s">
        <v>124</v>
      </c>
      <c r="H14" t="s">
        <v>66</v>
      </c>
      <c r="I14" s="31">
        <v>539</v>
      </c>
      <c r="J14" t="s">
        <v>52</v>
      </c>
      <c r="L14" t="s">
        <v>100</v>
      </c>
      <c r="P14" s="121" t="s">
        <v>295</v>
      </c>
    </row>
    <row r="15" spans="1:17" x14ac:dyDescent="0.25">
      <c r="E15" t="s">
        <v>290</v>
      </c>
      <c r="F15" t="s">
        <v>289</v>
      </c>
      <c r="G15" t="s">
        <v>288</v>
      </c>
      <c r="H15" t="s">
        <v>66</v>
      </c>
      <c r="I15" s="2">
        <v>19540</v>
      </c>
      <c r="P15" s="121" t="s">
        <v>294</v>
      </c>
    </row>
    <row r="16" spans="1:17" x14ac:dyDescent="0.25">
      <c r="E16" t="s">
        <v>290</v>
      </c>
      <c r="F16" t="s">
        <v>289</v>
      </c>
      <c r="G16" t="s">
        <v>292</v>
      </c>
      <c r="H16" t="s">
        <v>66</v>
      </c>
      <c r="I16" s="2">
        <v>3354</v>
      </c>
      <c r="P16" s="121" t="s">
        <v>293</v>
      </c>
    </row>
    <row r="17" spans="1:16" x14ac:dyDescent="0.25">
      <c r="B17" s="28"/>
      <c r="C17" s="26"/>
      <c r="D17" s="26"/>
      <c r="E17" t="s">
        <v>305</v>
      </c>
      <c r="F17" t="s">
        <v>98</v>
      </c>
      <c r="G17" t="s">
        <v>306</v>
      </c>
      <c r="H17" t="s">
        <v>66</v>
      </c>
      <c r="I17" s="2">
        <v>3296</v>
      </c>
      <c r="P17" s="121" t="s">
        <v>307</v>
      </c>
    </row>
    <row r="18" spans="1:16" x14ac:dyDescent="0.25">
      <c r="E18" t="s">
        <v>305</v>
      </c>
      <c r="F18" t="s">
        <v>98</v>
      </c>
      <c r="G18" t="s">
        <v>306</v>
      </c>
      <c r="H18" t="s">
        <v>66</v>
      </c>
      <c r="I18" s="2">
        <v>6103</v>
      </c>
      <c r="P18" s="121" t="s">
        <v>307</v>
      </c>
    </row>
    <row r="19" spans="1:16" x14ac:dyDescent="0.25">
      <c r="A19">
        <v>10</v>
      </c>
      <c r="B19" s="28">
        <v>44472</v>
      </c>
      <c r="C19" s="26">
        <v>0.54166666666666663</v>
      </c>
      <c r="D19" s="26" t="s">
        <v>42</v>
      </c>
      <c r="E19" t="s">
        <v>63</v>
      </c>
      <c r="F19" t="s">
        <v>267</v>
      </c>
      <c r="G19" t="s">
        <v>268</v>
      </c>
      <c r="H19" t="s">
        <v>66</v>
      </c>
      <c r="I19" s="2">
        <v>44380</v>
      </c>
      <c r="J19" t="s">
        <v>61</v>
      </c>
      <c r="K19" t="s">
        <v>76</v>
      </c>
      <c r="L19" t="s">
        <v>62</v>
      </c>
      <c r="M19" s="2"/>
      <c r="N19" s="2"/>
      <c r="P19" t="s">
        <v>311</v>
      </c>
    </row>
    <row r="20" spans="1:16" x14ac:dyDescent="0.25">
      <c r="I20" s="2"/>
    </row>
    <row r="26" spans="1:16" x14ac:dyDescent="0.25">
      <c r="I26" s="2">
        <f>SUM(I2:I25)</f>
        <v>123044.3</v>
      </c>
    </row>
    <row r="27" spans="1:16" x14ac:dyDescent="0.25">
      <c r="H27" s="129" t="s">
        <v>310</v>
      </c>
      <c r="I27" s="2">
        <f>I26-I28</f>
        <v>11732.300000000003</v>
      </c>
    </row>
    <row r="28" spans="1:16" x14ac:dyDescent="0.25">
      <c r="I28" s="2">
        <v>111312</v>
      </c>
    </row>
    <row r="29" spans="1:16" ht="18.75" x14ac:dyDescent="0.25">
      <c r="G29" t="s">
        <v>309</v>
      </c>
      <c r="I29" s="128" t="s">
        <v>308</v>
      </c>
    </row>
  </sheetData>
  <autoFilter ref="A1:Q8" xr:uid="{00000000-0009-0000-0000-000007000000}"/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R29"/>
  <sheetViews>
    <sheetView workbookViewId="0">
      <pane ySplit="1" topLeftCell="A5" activePane="bottomLeft" state="frozen"/>
      <selection pane="bottomLeft" activeCell="I14" sqref="I14"/>
    </sheetView>
  </sheetViews>
  <sheetFormatPr defaultRowHeight="15" x14ac:dyDescent="0.25"/>
  <cols>
    <col min="1" max="1" width="18.85546875" bestFit="1" customWidth="1"/>
    <col min="3" max="3" width="10" customWidth="1"/>
    <col min="6" max="6" width="11.5703125" bestFit="1" customWidth="1"/>
    <col min="8" max="8" width="23.7109375" customWidth="1"/>
    <col min="11" max="11" width="8.42578125" customWidth="1"/>
    <col min="12" max="12" width="9.5703125" customWidth="1"/>
    <col min="13" max="13" width="10.28515625" bestFit="1" customWidth="1"/>
    <col min="15" max="15" width="11.7109375" customWidth="1"/>
    <col min="16" max="16" width="45.42578125" customWidth="1"/>
    <col min="17" max="17" width="16" customWidth="1"/>
    <col min="18" max="18" width="20.7109375" bestFit="1" customWidth="1"/>
  </cols>
  <sheetData>
    <row r="1" spans="1:18" x14ac:dyDescent="0.25">
      <c r="A1" t="s">
        <v>312</v>
      </c>
      <c r="B1" s="27" t="s">
        <v>134</v>
      </c>
      <c r="C1" s="27" t="s">
        <v>48</v>
      </c>
      <c r="D1" s="27" t="s">
        <v>49</v>
      </c>
      <c r="E1" s="27" t="s">
        <v>235</v>
      </c>
      <c r="F1" s="27" t="s">
        <v>50</v>
      </c>
      <c r="G1" s="27" t="s">
        <v>244</v>
      </c>
      <c r="H1" s="27" t="s">
        <v>51</v>
      </c>
      <c r="I1" s="27" t="s">
        <v>238</v>
      </c>
      <c r="J1" s="27" t="s">
        <v>53</v>
      </c>
      <c r="K1" s="27" t="s">
        <v>55</v>
      </c>
      <c r="L1" s="27" t="s">
        <v>75</v>
      </c>
      <c r="M1" s="27" t="s">
        <v>54</v>
      </c>
      <c r="N1" s="27" t="s">
        <v>56</v>
      </c>
      <c r="O1" s="27" t="s">
        <v>77</v>
      </c>
      <c r="P1" s="27" t="s">
        <v>140</v>
      </c>
      <c r="Q1" s="27" t="s">
        <v>138</v>
      </c>
      <c r="R1" s="27" t="s">
        <v>141</v>
      </c>
    </row>
    <row r="2" spans="1:18" x14ac:dyDescent="0.25">
      <c r="A2" t="s">
        <v>317</v>
      </c>
      <c r="B2">
        <v>1</v>
      </c>
      <c r="C2" s="28">
        <v>44471</v>
      </c>
      <c r="D2" s="26">
        <v>0.70833333333333337</v>
      </c>
      <c r="E2" s="26" t="s">
        <v>236</v>
      </c>
      <c r="F2" t="s">
        <v>67</v>
      </c>
      <c r="G2" t="s">
        <v>68</v>
      </c>
      <c r="H2" t="s">
        <v>237</v>
      </c>
      <c r="I2" t="s">
        <v>66</v>
      </c>
      <c r="J2" s="2">
        <v>2070</v>
      </c>
      <c r="K2" t="s">
        <v>61</v>
      </c>
      <c r="L2" t="s">
        <v>76</v>
      </c>
      <c r="M2" t="s">
        <v>62</v>
      </c>
      <c r="N2" s="2"/>
      <c r="O2" s="2"/>
      <c r="Q2" s="121" t="s">
        <v>301</v>
      </c>
    </row>
    <row r="3" spans="1:18" x14ac:dyDescent="0.25">
      <c r="A3" t="s">
        <v>317</v>
      </c>
      <c r="B3">
        <v>2</v>
      </c>
      <c r="C3" s="28">
        <v>44471</v>
      </c>
      <c r="D3" s="26">
        <v>0.70833333333333337</v>
      </c>
      <c r="E3" s="26" t="s">
        <v>42</v>
      </c>
      <c r="F3" t="s">
        <v>122</v>
      </c>
      <c r="G3" t="s">
        <v>68</v>
      </c>
      <c r="H3" t="s">
        <v>239</v>
      </c>
      <c r="I3" t="s">
        <v>66</v>
      </c>
      <c r="J3" s="2">
        <v>99</v>
      </c>
      <c r="K3" t="s">
        <v>61</v>
      </c>
      <c r="L3" t="s">
        <v>76</v>
      </c>
      <c r="M3" t="s">
        <v>62</v>
      </c>
      <c r="N3" s="2"/>
      <c r="O3" s="2"/>
      <c r="Q3" s="121" t="s">
        <v>300</v>
      </c>
    </row>
    <row r="4" spans="1:18" x14ac:dyDescent="0.25">
      <c r="A4" t="s">
        <v>317</v>
      </c>
      <c r="B4">
        <v>3</v>
      </c>
      <c r="C4" s="28">
        <v>44471</v>
      </c>
      <c r="D4" s="26">
        <v>0.77083333333333337</v>
      </c>
      <c r="E4" s="26" t="s">
        <v>42</v>
      </c>
      <c r="F4" t="s">
        <v>122</v>
      </c>
      <c r="G4" t="s">
        <v>126</v>
      </c>
      <c r="H4" t="s">
        <v>240</v>
      </c>
      <c r="I4" t="s">
        <v>66</v>
      </c>
      <c r="J4" s="2">
        <v>55</v>
      </c>
      <c r="K4" t="s">
        <v>61</v>
      </c>
      <c r="L4" t="s">
        <v>76</v>
      </c>
      <c r="M4" t="s">
        <v>62</v>
      </c>
      <c r="N4" s="2"/>
      <c r="O4" s="2"/>
      <c r="Q4" s="121" t="s">
        <v>300</v>
      </c>
    </row>
    <row r="5" spans="1:18" x14ac:dyDescent="0.25">
      <c r="A5" s="131" t="s">
        <v>319</v>
      </c>
      <c r="B5">
        <v>4</v>
      </c>
      <c r="C5" s="28">
        <v>44471</v>
      </c>
      <c r="D5" s="26">
        <v>0.83333333333333337</v>
      </c>
      <c r="E5" s="26" t="s">
        <v>42</v>
      </c>
      <c r="F5" t="s">
        <v>79</v>
      </c>
      <c r="G5" t="s">
        <v>241</v>
      </c>
      <c r="H5" t="s">
        <v>79</v>
      </c>
      <c r="I5" t="s">
        <v>66</v>
      </c>
      <c r="J5" s="2">
        <v>39.799999999999997</v>
      </c>
      <c r="K5" t="s">
        <v>61</v>
      </c>
      <c r="L5" t="s">
        <v>76</v>
      </c>
      <c r="M5" t="s">
        <v>62</v>
      </c>
      <c r="N5" s="2"/>
      <c r="O5" s="2"/>
      <c r="Q5" s="121" t="s">
        <v>299</v>
      </c>
    </row>
    <row r="6" spans="1:18" x14ac:dyDescent="0.25">
      <c r="A6" s="131" t="s">
        <v>319</v>
      </c>
      <c r="B6">
        <v>5</v>
      </c>
      <c r="C6" s="28">
        <v>44471</v>
      </c>
      <c r="D6" s="26">
        <v>0.83333333333333337</v>
      </c>
      <c r="E6" s="26" t="s">
        <v>42</v>
      </c>
      <c r="F6" t="s">
        <v>79</v>
      </c>
      <c r="G6" t="s">
        <v>241</v>
      </c>
      <c r="H6" t="s">
        <v>79</v>
      </c>
      <c r="I6" t="s">
        <v>66</v>
      </c>
      <c r="J6" s="2">
        <v>99</v>
      </c>
      <c r="K6" t="s">
        <v>61</v>
      </c>
      <c r="L6" t="s">
        <v>76</v>
      </c>
      <c r="M6" t="s">
        <v>62</v>
      </c>
      <c r="N6" s="2"/>
      <c r="O6" s="2"/>
      <c r="Q6" s="121" t="s">
        <v>299</v>
      </c>
    </row>
    <row r="7" spans="1:18" x14ac:dyDescent="0.25">
      <c r="A7" t="s">
        <v>317</v>
      </c>
      <c r="B7">
        <v>2</v>
      </c>
      <c r="C7" s="28">
        <v>44449</v>
      </c>
      <c r="D7" s="26">
        <v>0.54513888888888895</v>
      </c>
      <c r="E7" s="26" t="s">
        <v>166</v>
      </c>
      <c r="F7" t="s">
        <v>166</v>
      </c>
      <c r="G7" t="s">
        <v>245</v>
      </c>
      <c r="H7" t="s">
        <v>246</v>
      </c>
      <c r="I7" t="s">
        <v>66</v>
      </c>
      <c r="J7" s="30">
        <v>18452.5</v>
      </c>
      <c r="K7" t="s">
        <v>247</v>
      </c>
      <c r="L7" t="s">
        <v>98</v>
      </c>
      <c r="M7" t="s">
        <v>62</v>
      </c>
      <c r="N7" s="2"/>
      <c r="O7" s="2"/>
      <c r="Q7" s="121" t="s">
        <v>303</v>
      </c>
    </row>
    <row r="8" spans="1:18" x14ac:dyDescent="0.25">
      <c r="A8" t="s">
        <v>317</v>
      </c>
      <c r="B8">
        <v>3</v>
      </c>
      <c r="C8" s="28">
        <v>44446</v>
      </c>
      <c r="D8" s="26">
        <v>0.82291666666666663</v>
      </c>
      <c r="E8" s="26" t="s">
        <v>42</v>
      </c>
      <c r="F8" t="s">
        <v>122</v>
      </c>
      <c r="G8" t="s">
        <v>251</v>
      </c>
      <c r="H8" t="s">
        <v>252</v>
      </c>
      <c r="I8" t="s">
        <v>66</v>
      </c>
      <c r="J8" s="30">
        <v>1292</v>
      </c>
      <c r="K8" t="s">
        <v>247</v>
      </c>
      <c r="L8" t="s">
        <v>253</v>
      </c>
      <c r="M8" t="s">
        <v>62</v>
      </c>
      <c r="N8" s="2"/>
      <c r="O8" s="2"/>
      <c r="Q8" s="121" t="s">
        <v>304</v>
      </c>
    </row>
    <row r="9" spans="1:18" x14ac:dyDescent="0.25">
      <c r="A9" t="s">
        <v>317</v>
      </c>
      <c r="B9">
        <v>6</v>
      </c>
      <c r="C9" s="28">
        <v>44468</v>
      </c>
      <c r="D9" s="26">
        <v>0.79166666666666663</v>
      </c>
      <c r="E9" s="26" t="s">
        <v>42</v>
      </c>
      <c r="F9" t="s">
        <v>258</v>
      </c>
      <c r="G9" t="s">
        <v>259</v>
      </c>
      <c r="H9" t="s">
        <v>260</v>
      </c>
      <c r="I9" t="s">
        <v>66</v>
      </c>
      <c r="J9" s="2">
        <v>809</v>
      </c>
      <c r="M9" s="32" t="s">
        <v>261</v>
      </c>
      <c r="N9" s="2"/>
      <c r="O9" s="2"/>
      <c r="Q9" s="121" t="s">
        <v>301</v>
      </c>
    </row>
    <row r="10" spans="1:18" x14ac:dyDescent="0.25">
      <c r="A10" t="s">
        <v>317</v>
      </c>
      <c r="B10">
        <v>7</v>
      </c>
      <c r="C10" s="28">
        <v>44469</v>
      </c>
      <c r="D10" s="26">
        <v>0.625</v>
      </c>
      <c r="E10" s="26" t="s">
        <v>42</v>
      </c>
      <c r="F10" t="s">
        <v>258</v>
      </c>
      <c r="G10" t="s">
        <v>259</v>
      </c>
      <c r="H10" t="s">
        <v>262</v>
      </c>
      <c r="I10" t="s">
        <v>66</v>
      </c>
      <c r="J10" s="2">
        <v>768</v>
      </c>
      <c r="M10" s="32" t="s">
        <v>261</v>
      </c>
      <c r="N10" s="2"/>
      <c r="O10" s="2"/>
      <c r="Q10" s="121" t="s">
        <v>302</v>
      </c>
    </row>
    <row r="11" spans="1:18" x14ac:dyDescent="0.25">
      <c r="A11" t="s">
        <v>317</v>
      </c>
      <c r="B11">
        <v>9</v>
      </c>
      <c r="C11" s="28">
        <v>44477</v>
      </c>
      <c r="D11" s="26"/>
      <c r="E11" s="26" t="s">
        <v>42</v>
      </c>
      <c r="F11" t="s">
        <v>6</v>
      </c>
      <c r="G11" t="s">
        <v>263</v>
      </c>
      <c r="H11" t="s">
        <v>266</v>
      </c>
      <c r="I11" t="s">
        <v>66</v>
      </c>
      <c r="J11" s="30">
        <v>7025</v>
      </c>
      <c r="M11" t="s">
        <v>62</v>
      </c>
      <c r="N11" s="2"/>
      <c r="O11" s="2"/>
      <c r="Q11" s="121" t="s">
        <v>298</v>
      </c>
    </row>
    <row r="12" spans="1:18" x14ac:dyDescent="0.25">
      <c r="A12" s="131" t="s">
        <v>319</v>
      </c>
      <c r="B12">
        <v>1</v>
      </c>
      <c r="C12" s="28"/>
      <c r="D12" s="26"/>
      <c r="E12" s="26" t="s">
        <v>42</v>
      </c>
      <c r="F12" t="s">
        <v>57</v>
      </c>
      <c r="G12" t="s">
        <v>99</v>
      </c>
      <c r="H12" t="s">
        <v>248</v>
      </c>
      <c r="I12" t="s">
        <v>66</v>
      </c>
      <c r="J12" s="35">
        <v>14520</v>
      </c>
      <c r="K12" t="s">
        <v>247</v>
      </c>
      <c r="L12" t="s">
        <v>98</v>
      </c>
      <c r="M12" t="s">
        <v>249</v>
      </c>
      <c r="N12" s="2"/>
      <c r="O12" s="2"/>
      <c r="Q12" s="121" t="s">
        <v>297</v>
      </c>
    </row>
    <row r="13" spans="1:18" x14ac:dyDescent="0.25">
      <c r="A13" s="131" t="s">
        <v>315</v>
      </c>
      <c r="C13" s="28">
        <v>43767</v>
      </c>
      <c r="F13" t="s">
        <v>67</v>
      </c>
      <c r="G13" t="s">
        <v>286</v>
      </c>
      <c r="H13" t="s">
        <v>124</v>
      </c>
      <c r="I13" t="s">
        <v>66</v>
      </c>
      <c r="J13" s="132">
        <v>603</v>
      </c>
      <c r="K13" t="s">
        <v>52</v>
      </c>
      <c r="M13" t="s">
        <v>100</v>
      </c>
      <c r="Q13" s="121" t="s">
        <v>296</v>
      </c>
    </row>
    <row r="14" spans="1:18" x14ac:dyDescent="0.25">
      <c r="A14" s="131" t="s">
        <v>315</v>
      </c>
      <c r="C14" s="28">
        <v>43767</v>
      </c>
      <c r="F14" t="s">
        <v>67</v>
      </c>
      <c r="G14" t="s">
        <v>287</v>
      </c>
      <c r="H14" t="s">
        <v>124</v>
      </c>
      <c r="I14" t="s">
        <v>66</v>
      </c>
      <c r="J14" s="132">
        <v>539</v>
      </c>
      <c r="K14" t="s">
        <v>52</v>
      </c>
      <c r="M14" t="s">
        <v>100</v>
      </c>
      <c r="Q14" s="121" t="s">
        <v>295</v>
      </c>
    </row>
    <row r="15" spans="1:18" x14ac:dyDescent="0.25">
      <c r="A15" t="s">
        <v>317</v>
      </c>
      <c r="F15" t="s">
        <v>290</v>
      </c>
      <c r="G15" t="s">
        <v>289</v>
      </c>
      <c r="H15" t="s">
        <v>288</v>
      </c>
      <c r="I15" t="s">
        <v>66</v>
      </c>
      <c r="J15" s="30">
        <v>19540</v>
      </c>
      <c r="Q15" s="121" t="s">
        <v>294</v>
      </c>
    </row>
    <row r="16" spans="1:18" x14ac:dyDescent="0.25">
      <c r="A16" t="s">
        <v>317</v>
      </c>
      <c r="F16" t="s">
        <v>290</v>
      </c>
      <c r="G16" t="s">
        <v>289</v>
      </c>
      <c r="H16" t="s">
        <v>292</v>
      </c>
      <c r="I16" t="s">
        <v>66</v>
      </c>
      <c r="J16" s="30">
        <v>3354</v>
      </c>
      <c r="Q16" s="121" t="s">
        <v>293</v>
      </c>
    </row>
    <row r="17" spans="1:17" x14ac:dyDescent="0.25">
      <c r="A17" s="131" t="s">
        <v>319</v>
      </c>
      <c r="C17" s="28"/>
      <c r="D17" s="26"/>
      <c r="E17" s="26"/>
      <c r="F17" t="s">
        <v>318</v>
      </c>
      <c r="G17" t="s">
        <v>98</v>
      </c>
      <c r="H17" t="s">
        <v>306</v>
      </c>
      <c r="I17" t="s">
        <v>66</v>
      </c>
      <c r="J17" s="35">
        <v>3296</v>
      </c>
      <c r="Q17" s="121" t="s">
        <v>307</v>
      </c>
    </row>
    <row r="18" spans="1:17" x14ac:dyDescent="0.25">
      <c r="A18" s="131" t="s">
        <v>319</v>
      </c>
      <c r="F18" t="s">
        <v>318</v>
      </c>
      <c r="G18" t="s">
        <v>98</v>
      </c>
      <c r="H18" t="s">
        <v>306</v>
      </c>
      <c r="I18" t="s">
        <v>66</v>
      </c>
      <c r="J18" s="35">
        <v>6103</v>
      </c>
      <c r="Q18" s="121" t="s">
        <v>307</v>
      </c>
    </row>
    <row r="19" spans="1:17" x14ac:dyDescent="0.25">
      <c r="A19" s="131" t="s">
        <v>319</v>
      </c>
      <c r="B19">
        <v>10</v>
      </c>
      <c r="C19" s="28">
        <v>44472</v>
      </c>
      <c r="D19" s="26">
        <v>0.54166666666666663</v>
      </c>
      <c r="E19" s="26" t="s">
        <v>42</v>
      </c>
      <c r="F19" t="s">
        <v>63</v>
      </c>
      <c r="G19" t="s">
        <v>267</v>
      </c>
      <c r="H19" t="s">
        <v>268</v>
      </c>
      <c r="I19" t="s">
        <v>66</v>
      </c>
      <c r="J19" s="35">
        <v>44380</v>
      </c>
      <c r="K19" t="s">
        <v>61</v>
      </c>
      <c r="L19" t="s">
        <v>76</v>
      </c>
      <c r="M19" t="s">
        <v>62</v>
      </c>
      <c r="N19" s="2"/>
      <c r="O19" s="2"/>
      <c r="Q19" s="121" t="s">
        <v>311</v>
      </c>
    </row>
    <row r="20" spans="1:17" x14ac:dyDescent="0.25">
      <c r="J20" s="2"/>
    </row>
    <row r="22" spans="1:17" x14ac:dyDescent="0.25">
      <c r="A22" s="130"/>
    </row>
    <row r="23" spans="1:17" x14ac:dyDescent="0.25">
      <c r="A23" s="131" t="s">
        <v>314</v>
      </c>
    </row>
    <row r="24" spans="1:17" x14ac:dyDescent="0.25">
      <c r="A24" s="131" t="s">
        <v>315</v>
      </c>
    </row>
    <row r="25" spans="1:17" x14ac:dyDescent="0.25">
      <c r="A25" s="131" t="s">
        <v>316</v>
      </c>
    </row>
    <row r="26" spans="1:17" x14ac:dyDescent="0.25">
      <c r="A26" s="131" t="s">
        <v>132</v>
      </c>
      <c r="J26" s="2">
        <f>SUM(J2:J25)</f>
        <v>123044.3</v>
      </c>
    </row>
    <row r="27" spans="1:17" x14ac:dyDescent="0.25">
      <c r="A27" s="131" t="s">
        <v>319</v>
      </c>
      <c r="I27" s="129" t="s">
        <v>310</v>
      </c>
      <c r="J27" s="2">
        <f>J26-J28</f>
        <v>11732.300000000003</v>
      </c>
    </row>
    <row r="28" spans="1:17" x14ac:dyDescent="0.25">
      <c r="A28" s="131" t="s">
        <v>313</v>
      </c>
      <c r="J28" s="2">
        <v>111312</v>
      </c>
    </row>
    <row r="29" spans="1:17" ht="18.75" x14ac:dyDescent="0.25">
      <c r="H29" t="s">
        <v>309</v>
      </c>
      <c r="J29" s="128" t="s">
        <v>308</v>
      </c>
    </row>
  </sheetData>
  <autoFilter ref="A1:R19" xr:uid="{00000000-0009-0000-0000-000008000000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X127"/>
  <sheetViews>
    <sheetView workbookViewId="0">
      <selection activeCell="I2" sqref="I2"/>
    </sheetView>
  </sheetViews>
  <sheetFormatPr defaultRowHeight="15" x14ac:dyDescent="0.25"/>
  <cols>
    <col min="1" max="1" width="1.7109375" customWidth="1"/>
    <col min="2" max="2" width="18.140625" bestFit="1" customWidth="1"/>
    <col min="3" max="3" width="5.5703125" bestFit="1" customWidth="1"/>
    <col min="4" max="5" width="12.5703125" bestFit="1" customWidth="1"/>
    <col min="6" max="6" width="8.28515625" bestFit="1" customWidth="1"/>
    <col min="7" max="7" width="9.7109375" bestFit="1" customWidth="1"/>
    <col min="9" max="9" width="13.7109375" bestFit="1" customWidth="1"/>
    <col min="10" max="10" width="12.28515625" bestFit="1" customWidth="1"/>
    <col min="11" max="11" width="12.140625" bestFit="1" customWidth="1"/>
    <col min="12" max="12" width="14.42578125" bestFit="1" customWidth="1"/>
    <col min="13" max="13" width="14.28515625" bestFit="1" customWidth="1"/>
    <col min="14" max="14" width="15.28515625" bestFit="1" customWidth="1"/>
    <col min="15" max="15" width="12.5703125" bestFit="1" customWidth="1"/>
    <col min="16" max="16" width="11.5703125" bestFit="1" customWidth="1"/>
    <col min="17" max="17" width="9.5703125" bestFit="1" customWidth="1"/>
    <col min="18" max="19" width="9" bestFit="1" customWidth="1"/>
    <col min="20" max="20" width="11.7109375" bestFit="1" customWidth="1"/>
    <col min="21" max="22" width="11.140625" bestFit="1" customWidth="1"/>
    <col min="23" max="23" width="8.28515625" bestFit="1" customWidth="1"/>
    <col min="24" max="24" width="11.5703125" customWidth="1"/>
  </cols>
  <sheetData>
    <row r="1" spans="2:24" x14ac:dyDescent="0.25">
      <c r="I1" s="103" t="s">
        <v>214</v>
      </c>
      <c r="J1" s="104" t="s">
        <v>193</v>
      </c>
      <c r="K1" s="104" t="s">
        <v>194</v>
      </c>
      <c r="L1" s="104" t="s">
        <v>195</v>
      </c>
      <c r="M1" s="110" t="s">
        <v>196</v>
      </c>
      <c r="N1" s="103" t="s">
        <v>221</v>
      </c>
      <c r="O1" s="105" t="s">
        <v>222</v>
      </c>
      <c r="P1" s="103" t="s">
        <v>227</v>
      </c>
      <c r="Q1" s="104" t="s">
        <v>234</v>
      </c>
      <c r="R1" s="104" t="s">
        <v>229</v>
      </c>
      <c r="S1" s="104" t="s">
        <v>230</v>
      </c>
      <c r="T1" s="104" t="s">
        <v>233</v>
      </c>
      <c r="U1" s="104" t="s">
        <v>231</v>
      </c>
      <c r="V1" s="104" t="s">
        <v>232</v>
      </c>
      <c r="W1" s="104" t="s">
        <v>184</v>
      </c>
      <c r="X1" s="105" t="s">
        <v>185</v>
      </c>
    </row>
    <row r="2" spans="2:24" ht="15.75" thickBot="1" x14ac:dyDescent="0.3">
      <c r="I2" s="106">
        <f>SUM(J2:M2)</f>
        <v>169610</v>
      </c>
      <c r="J2" s="107">
        <f t="shared" ref="J2:O2" si="0">SUM(J3:J986)</f>
        <v>38400</v>
      </c>
      <c r="K2" s="107">
        <f t="shared" si="0"/>
        <v>51560</v>
      </c>
      <c r="L2" s="107">
        <f t="shared" si="0"/>
        <v>68900</v>
      </c>
      <c r="M2" s="111">
        <f t="shared" si="0"/>
        <v>10750</v>
      </c>
      <c r="N2" s="106">
        <f t="shared" si="0"/>
        <v>169767</v>
      </c>
      <c r="O2" s="25">
        <f t="shared" si="0"/>
        <v>157</v>
      </c>
      <c r="P2" s="106">
        <f t="shared" ref="P2:X2" si="1">SUM(P3:P986)</f>
        <v>256</v>
      </c>
      <c r="Q2" s="107">
        <f t="shared" si="1"/>
        <v>138</v>
      </c>
      <c r="R2" s="107">
        <f t="shared" si="1"/>
        <v>143</v>
      </c>
      <c r="S2" s="107">
        <f t="shared" si="1"/>
        <v>138</v>
      </c>
      <c r="T2" s="107">
        <f t="shared" si="1"/>
        <v>205</v>
      </c>
      <c r="U2" s="107">
        <f t="shared" si="1"/>
        <v>112</v>
      </c>
      <c r="V2" s="107">
        <f t="shared" si="1"/>
        <v>74</v>
      </c>
      <c r="W2" s="107">
        <f t="shared" si="1"/>
        <v>150</v>
      </c>
      <c r="X2" s="25">
        <f t="shared" si="1"/>
        <v>65</v>
      </c>
    </row>
    <row r="3" spans="2:24" ht="15.75" thickBot="1" x14ac:dyDescent="0.3">
      <c r="B3" s="89" t="s">
        <v>182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2:24" x14ac:dyDescent="0.25">
      <c r="B4" s="93" t="s">
        <v>199</v>
      </c>
      <c r="C4" s="80"/>
      <c r="D4" s="80" t="s">
        <v>187</v>
      </c>
      <c r="E4" s="186" t="s">
        <v>64</v>
      </c>
      <c r="F4" s="187"/>
      <c r="G4" s="80" t="s">
        <v>191</v>
      </c>
      <c r="H4" s="186" t="s">
        <v>192</v>
      </c>
      <c r="I4" s="188"/>
      <c r="J4" s="79"/>
      <c r="K4" s="80"/>
      <c r="L4" s="80"/>
      <c r="M4" s="81"/>
      <c r="N4" s="79"/>
      <c r="O4" s="81"/>
      <c r="P4" s="79"/>
      <c r="Q4" s="80"/>
      <c r="R4" s="80"/>
      <c r="S4" s="80"/>
      <c r="T4" s="80"/>
      <c r="U4" s="80"/>
      <c r="V4" s="80"/>
      <c r="W4" s="80"/>
      <c r="X4" s="81"/>
    </row>
    <row r="5" spans="2:24" x14ac:dyDescent="0.25">
      <c r="B5" s="83"/>
      <c r="C5" s="82"/>
      <c r="D5" s="82"/>
      <c r="E5" s="82"/>
      <c r="F5" s="82"/>
      <c r="G5" s="82"/>
      <c r="H5" s="82"/>
      <c r="I5" s="84"/>
      <c r="J5" s="83"/>
      <c r="K5" s="82"/>
      <c r="L5" s="82"/>
      <c r="M5" s="84"/>
      <c r="N5" s="83"/>
      <c r="O5" s="84"/>
      <c r="P5" s="83"/>
      <c r="Q5" s="82"/>
      <c r="R5" s="82"/>
      <c r="S5" s="82"/>
      <c r="T5" s="82"/>
      <c r="U5" s="82"/>
      <c r="V5" s="82"/>
      <c r="W5" s="82"/>
      <c r="X5" s="84"/>
    </row>
    <row r="6" spans="2:24" x14ac:dyDescent="0.25">
      <c r="B6" s="83" t="s">
        <v>189</v>
      </c>
      <c r="C6" s="82" t="s">
        <v>173</v>
      </c>
      <c r="D6" s="82" t="s">
        <v>12</v>
      </c>
      <c r="E6" s="82" t="s">
        <v>10</v>
      </c>
      <c r="F6" s="82" t="s">
        <v>16</v>
      </c>
      <c r="G6" s="82" t="s">
        <v>11</v>
      </c>
      <c r="H6" s="82" t="s">
        <v>188</v>
      </c>
      <c r="I6" s="84" t="s">
        <v>190</v>
      </c>
      <c r="J6" s="83"/>
      <c r="K6" s="82"/>
      <c r="L6" s="82"/>
      <c r="M6" s="84"/>
      <c r="N6" s="83"/>
      <c r="O6" s="84"/>
      <c r="P6" s="83"/>
      <c r="Q6" s="82"/>
      <c r="R6" s="82"/>
      <c r="S6" s="82"/>
      <c r="T6" s="82"/>
      <c r="U6" s="82"/>
      <c r="V6" s="82"/>
      <c r="W6" s="82"/>
      <c r="X6" s="84"/>
    </row>
    <row r="7" spans="2:24" x14ac:dyDescent="0.25">
      <c r="B7" s="83" t="s">
        <v>183</v>
      </c>
      <c r="C7" s="85"/>
      <c r="D7" s="78">
        <v>10000</v>
      </c>
      <c r="E7" s="78"/>
      <c r="F7" s="78"/>
      <c r="G7" s="78">
        <v>57950</v>
      </c>
      <c r="H7" s="86">
        <f>G7+F7-E7-D7</f>
        <v>47950</v>
      </c>
      <c r="I7" s="87">
        <f>H7</f>
        <v>47950</v>
      </c>
      <c r="J7" s="83"/>
      <c r="K7" s="82"/>
      <c r="L7" s="82"/>
      <c r="M7" s="84"/>
      <c r="N7" s="91">
        <f>I7</f>
        <v>47950</v>
      </c>
      <c r="O7" s="84"/>
      <c r="P7" s="83"/>
      <c r="Q7" s="82"/>
      <c r="R7" s="82"/>
      <c r="S7" s="82"/>
      <c r="T7" s="82"/>
      <c r="U7" s="82"/>
      <c r="V7" s="82"/>
      <c r="W7" s="82"/>
      <c r="X7" s="84"/>
    </row>
    <row r="8" spans="2:24" x14ac:dyDescent="0.25">
      <c r="B8" s="83" t="s">
        <v>19</v>
      </c>
      <c r="C8" s="85">
        <f>VLOOKUP(B8,Přehled!$A$3:$B$15,2,FALSE)</f>
        <v>150</v>
      </c>
      <c r="D8" s="78">
        <v>500</v>
      </c>
      <c r="E8" s="78"/>
      <c r="F8" s="78"/>
      <c r="G8" s="78">
        <v>244</v>
      </c>
      <c r="H8" s="86">
        <f>G8+F8-E8-D8</f>
        <v>-256</v>
      </c>
      <c r="I8" s="87">
        <f>H8*C8</f>
        <v>-38400</v>
      </c>
      <c r="J8" s="91">
        <f>-I8</f>
        <v>38400</v>
      </c>
      <c r="K8" s="82"/>
      <c r="L8" s="82"/>
      <c r="M8" s="84"/>
      <c r="N8" s="83"/>
      <c r="O8" s="84"/>
      <c r="P8" s="91">
        <f>-$H8</f>
        <v>256</v>
      </c>
      <c r="Q8" s="82"/>
      <c r="R8" s="82"/>
      <c r="S8" s="82"/>
      <c r="T8" s="82"/>
      <c r="U8" s="82"/>
      <c r="V8" s="82"/>
      <c r="W8" s="82"/>
      <c r="X8" s="84"/>
    </row>
    <row r="9" spans="2:24" x14ac:dyDescent="0.25">
      <c r="B9" s="83" t="s">
        <v>35</v>
      </c>
      <c r="C9" s="85">
        <f>VLOOKUP(B9,Přehled!$A$3:$B$15,2,FALSE)</f>
        <v>150</v>
      </c>
      <c r="D9" s="78">
        <v>500</v>
      </c>
      <c r="E9" s="78"/>
      <c r="F9" s="78">
        <v>6</v>
      </c>
      <c r="G9" s="78">
        <v>191</v>
      </c>
      <c r="H9" s="86">
        <f>G9+F9-E9-D9-H8</f>
        <v>-47</v>
      </c>
      <c r="I9" s="87">
        <f>H9*C9</f>
        <v>-7050</v>
      </c>
      <c r="J9" s="83"/>
      <c r="K9" s="86">
        <f>-I9</f>
        <v>7050</v>
      </c>
      <c r="L9" s="82"/>
      <c r="M9" s="84"/>
      <c r="N9" s="83"/>
      <c r="O9" s="84"/>
      <c r="P9" s="83"/>
      <c r="Q9" s="86">
        <f>-$H9</f>
        <v>47</v>
      </c>
      <c r="R9" s="82"/>
      <c r="S9" s="82"/>
      <c r="T9" s="82"/>
      <c r="U9" s="82"/>
      <c r="V9" s="82"/>
      <c r="W9" s="82"/>
      <c r="X9" s="84"/>
    </row>
    <row r="10" spans="2:24" x14ac:dyDescent="0.25">
      <c r="B10" s="83" t="s">
        <v>36</v>
      </c>
      <c r="C10" s="85">
        <f>VLOOKUP(B10,Přehled!$A$3:$B$15,2,FALSE)</f>
        <v>100</v>
      </c>
      <c r="D10" s="78">
        <v>50</v>
      </c>
      <c r="E10" s="78"/>
      <c r="F10" s="78"/>
      <c r="G10" s="78">
        <v>25</v>
      </c>
      <c r="H10" s="86">
        <f>G10+F10-E10-D10</f>
        <v>-25</v>
      </c>
      <c r="I10" s="87">
        <f>H10*C10</f>
        <v>-2500</v>
      </c>
      <c r="J10" s="83"/>
      <c r="K10" s="86">
        <f>-I10</f>
        <v>2500</v>
      </c>
      <c r="L10" s="82"/>
      <c r="M10" s="84"/>
      <c r="N10" s="83"/>
      <c r="O10" s="84"/>
      <c r="P10" s="83"/>
      <c r="Q10" s="82"/>
      <c r="R10" s="86">
        <f>-$H10</f>
        <v>25</v>
      </c>
      <c r="S10" s="82"/>
      <c r="T10" s="82"/>
      <c r="U10" s="82"/>
      <c r="V10" s="82"/>
      <c r="W10" s="82"/>
      <c r="X10" s="84"/>
    </row>
    <row r="11" spans="2:24" x14ac:dyDescent="0.25">
      <c r="B11" s="83" t="s">
        <v>37</v>
      </c>
      <c r="C11" s="85">
        <f>VLOOKUP(B11,Přehled!$A$3:$B$15,2,FALSE)</f>
        <v>120</v>
      </c>
      <c r="D11" s="78"/>
      <c r="E11" s="78"/>
      <c r="F11" s="78"/>
      <c r="G11" s="78"/>
      <c r="H11" s="86">
        <f t="shared" ref="H11:H18" si="2">G11+F11-E11-D11</f>
        <v>0</v>
      </c>
      <c r="I11" s="87">
        <f t="shared" ref="I11:I18" si="3">H11*C11</f>
        <v>0</v>
      </c>
      <c r="J11" s="83"/>
      <c r="K11" s="86">
        <f>-I11</f>
        <v>0</v>
      </c>
      <c r="L11" s="82"/>
      <c r="M11" s="84"/>
      <c r="N11" s="83"/>
      <c r="O11" s="84"/>
      <c r="P11" s="83"/>
      <c r="Q11" s="82"/>
      <c r="R11" s="82"/>
      <c r="S11" s="86">
        <f>-$H11</f>
        <v>0</v>
      </c>
      <c r="T11" s="82"/>
      <c r="U11" s="82"/>
      <c r="V11" s="82"/>
      <c r="W11" s="82"/>
      <c r="X11" s="84"/>
    </row>
    <row r="12" spans="2:24" x14ac:dyDescent="0.25">
      <c r="B12" s="83" t="s">
        <v>32</v>
      </c>
      <c r="C12" s="85">
        <f>VLOOKUP(B12,Přehled!$A$3:$B$15,2,FALSE)</f>
        <v>200</v>
      </c>
      <c r="D12" s="78"/>
      <c r="E12" s="78"/>
      <c r="F12" s="78"/>
      <c r="G12" s="78"/>
      <c r="H12" s="86">
        <f t="shared" si="2"/>
        <v>0</v>
      </c>
      <c r="I12" s="87">
        <f t="shared" si="3"/>
        <v>0</v>
      </c>
      <c r="J12" s="83"/>
      <c r="K12" s="82"/>
      <c r="L12" s="86">
        <f>-I12</f>
        <v>0</v>
      </c>
      <c r="M12" s="84"/>
      <c r="N12" s="83"/>
      <c r="O12" s="84"/>
      <c r="P12" s="83"/>
      <c r="Q12" s="82"/>
      <c r="R12" s="82"/>
      <c r="S12" s="82"/>
      <c r="T12" s="86">
        <f>-$H12</f>
        <v>0</v>
      </c>
      <c r="U12" s="82"/>
      <c r="V12" s="82"/>
      <c r="W12" s="82"/>
      <c r="X12" s="84"/>
    </row>
    <row r="13" spans="2:24" x14ac:dyDescent="0.25">
      <c r="B13" s="83" t="s">
        <v>33</v>
      </c>
      <c r="C13" s="85">
        <f>VLOOKUP(B13,Přehled!$A$3:$B$15,2,FALSE)</f>
        <v>150</v>
      </c>
      <c r="D13" s="78"/>
      <c r="E13" s="78"/>
      <c r="F13" s="78"/>
      <c r="G13" s="78"/>
      <c r="H13" s="86">
        <f t="shared" si="2"/>
        <v>0</v>
      </c>
      <c r="I13" s="87">
        <f t="shared" si="3"/>
        <v>0</v>
      </c>
      <c r="J13" s="83"/>
      <c r="K13" s="82"/>
      <c r="L13" s="86">
        <f>-I13</f>
        <v>0</v>
      </c>
      <c r="M13" s="84"/>
      <c r="N13" s="83"/>
      <c r="O13" s="84"/>
      <c r="P13" s="83"/>
      <c r="Q13" s="82"/>
      <c r="R13" s="82"/>
      <c r="S13" s="82"/>
      <c r="T13" s="82"/>
      <c r="U13" s="86">
        <f>-$H13</f>
        <v>0</v>
      </c>
      <c r="V13" s="82"/>
      <c r="W13" s="82"/>
      <c r="X13" s="84"/>
    </row>
    <row r="14" spans="2:24" x14ac:dyDescent="0.25">
      <c r="B14" s="83" t="s">
        <v>34</v>
      </c>
      <c r="C14" s="85">
        <f>VLOOKUP(B14,Přehled!$A$3:$B$15,2,FALSE)</f>
        <v>150</v>
      </c>
      <c r="D14" s="78"/>
      <c r="E14" s="78"/>
      <c r="F14" s="78"/>
      <c r="G14" s="78"/>
      <c r="H14" s="86">
        <f t="shared" si="2"/>
        <v>0</v>
      </c>
      <c r="I14" s="87">
        <f t="shared" si="3"/>
        <v>0</v>
      </c>
      <c r="J14" s="83"/>
      <c r="K14" s="82"/>
      <c r="L14" s="86">
        <f>-I14</f>
        <v>0</v>
      </c>
      <c r="M14" s="84"/>
      <c r="N14" s="83"/>
      <c r="O14" s="84"/>
      <c r="P14" s="83"/>
      <c r="Q14" s="82"/>
      <c r="R14" s="82"/>
      <c r="S14" s="82"/>
      <c r="T14" s="82"/>
      <c r="U14" s="82"/>
      <c r="V14" s="86">
        <f>-$H14</f>
        <v>0</v>
      </c>
      <c r="W14" s="82"/>
      <c r="X14" s="84"/>
    </row>
    <row r="15" spans="2:24" x14ac:dyDescent="0.25">
      <c r="B15" s="83" t="s">
        <v>184</v>
      </c>
      <c r="C15" s="85">
        <f>VLOOKUP(B15,Přehled!$A$3:$B$15,2,FALSE)</f>
        <v>50</v>
      </c>
      <c r="D15" s="78"/>
      <c r="E15" s="78"/>
      <c r="F15" s="78"/>
      <c r="G15" s="78"/>
      <c r="H15" s="86">
        <f t="shared" si="2"/>
        <v>0</v>
      </c>
      <c r="I15" s="87">
        <f t="shared" si="3"/>
        <v>0</v>
      </c>
      <c r="J15" s="83"/>
      <c r="K15" s="82"/>
      <c r="L15" s="82"/>
      <c r="M15" s="87">
        <f>-I15</f>
        <v>0</v>
      </c>
      <c r="N15" s="83"/>
      <c r="O15" s="84"/>
      <c r="P15" s="83"/>
      <c r="Q15" s="82"/>
      <c r="R15" s="82"/>
      <c r="S15" s="82"/>
      <c r="T15" s="82"/>
      <c r="U15" s="82"/>
      <c r="V15" s="82"/>
      <c r="W15" s="86">
        <f>-$H15</f>
        <v>0</v>
      </c>
      <c r="X15" s="84"/>
    </row>
    <row r="16" spans="2:24" x14ac:dyDescent="0.25">
      <c r="B16" s="83" t="s">
        <v>185</v>
      </c>
      <c r="C16" s="85">
        <f>VLOOKUP(B16,Přehled!$A$3:$B$15,2,FALSE)</f>
        <v>50</v>
      </c>
      <c r="D16" s="78"/>
      <c r="E16" s="78"/>
      <c r="F16" s="78"/>
      <c r="G16" s="78"/>
      <c r="H16" s="86">
        <f t="shared" si="2"/>
        <v>0</v>
      </c>
      <c r="I16" s="87">
        <f t="shared" si="3"/>
        <v>0</v>
      </c>
      <c r="J16" s="83"/>
      <c r="K16" s="82"/>
      <c r="L16" s="82"/>
      <c r="M16" s="87">
        <f>-I16</f>
        <v>0</v>
      </c>
      <c r="N16" s="83"/>
      <c r="O16" s="84"/>
      <c r="P16" s="83"/>
      <c r="Q16" s="82"/>
      <c r="R16" s="82"/>
      <c r="S16" s="82"/>
      <c r="T16" s="82"/>
      <c r="U16" s="82"/>
      <c r="V16" s="82"/>
      <c r="W16" s="82"/>
      <c r="X16" s="87">
        <f>-$H16</f>
        <v>0</v>
      </c>
    </row>
    <row r="17" spans="2:24" x14ac:dyDescent="0.25">
      <c r="B17" s="83"/>
      <c r="C17" s="85"/>
      <c r="D17" s="78"/>
      <c r="E17" s="78"/>
      <c r="F17" s="78"/>
      <c r="G17" s="78"/>
      <c r="H17" s="86">
        <f t="shared" si="2"/>
        <v>0</v>
      </c>
      <c r="I17" s="87">
        <f t="shared" si="3"/>
        <v>0</v>
      </c>
      <c r="J17" s="83"/>
      <c r="K17" s="82"/>
      <c r="L17" s="82"/>
      <c r="M17" s="84"/>
      <c r="N17" s="83"/>
      <c r="O17" s="84"/>
      <c r="P17" s="83"/>
      <c r="Q17" s="82"/>
      <c r="R17" s="82"/>
      <c r="S17" s="82"/>
      <c r="T17" s="82"/>
      <c r="U17" s="82"/>
      <c r="V17" s="82"/>
      <c r="W17" s="82"/>
      <c r="X17" s="84"/>
    </row>
    <row r="18" spans="2:24" x14ac:dyDescent="0.25">
      <c r="B18" s="83"/>
      <c r="C18" s="85"/>
      <c r="D18" s="78"/>
      <c r="E18" s="78"/>
      <c r="F18" s="78"/>
      <c r="G18" s="78"/>
      <c r="H18" s="86">
        <f t="shared" si="2"/>
        <v>0</v>
      </c>
      <c r="I18" s="87">
        <f t="shared" si="3"/>
        <v>0</v>
      </c>
      <c r="J18" s="83"/>
      <c r="K18" s="82"/>
      <c r="L18" s="82"/>
      <c r="M18" s="84"/>
      <c r="N18" s="83"/>
      <c r="O18" s="84"/>
      <c r="P18" s="83"/>
      <c r="Q18" s="82"/>
      <c r="R18" s="82"/>
      <c r="S18" s="82"/>
      <c r="T18" s="82"/>
      <c r="U18" s="82"/>
      <c r="V18" s="82"/>
      <c r="W18" s="82"/>
      <c r="X18" s="84"/>
    </row>
    <row r="19" spans="2:24" ht="15.75" thickBot="1" x14ac:dyDescent="0.3">
      <c r="B19" s="88" t="s">
        <v>201</v>
      </c>
      <c r="C19" s="94">
        <v>44471</v>
      </c>
      <c r="D19" s="89"/>
      <c r="E19" s="89" t="s">
        <v>202</v>
      </c>
      <c r="F19" s="94">
        <v>44477</v>
      </c>
      <c r="G19" s="89"/>
      <c r="H19" s="89" t="s">
        <v>17</v>
      </c>
      <c r="I19" s="90">
        <f>SUM(I7:I18)</f>
        <v>0</v>
      </c>
      <c r="J19" s="88"/>
      <c r="K19" s="89"/>
      <c r="L19" s="89"/>
      <c r="M19" s="92"/>
      <c r="N19" s="88"/>
      <c r="O19" s="90">
        <f>I19</f>
        <v>0</v>
      </c>
      <c r="P19" s="88"/>
      <c r="Q19" s="89"/>
      <c r="R19" s="89"/>
      <c r="S19" s="89"/>
      <c r="T19" s="89"/>
      <c r="U19" s="89"/>
      <c r="V19" s="89"/>
      <c r="W19" s="89"/>
      <c r="X19" s="92"/>
    </row>
    <row r="21" spans="2:24" ht="15.75" thickBot="1" x14ac:dyDescent="0.3">
      <c r="B21" s="89" t="s">
        <v>197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</row>
    <row r="22" spans="2:24" x14ac:dyDescent="0.25">
      <c r="B22" s="93" t="s">
        <v>198</v>
      </c>
      <c r="C22" s="80"/>
      <c r="D22" s="80" t="s">
        <v>187</v>
      </c>
      <c r="E22" s="186" t="s">
        <v>200</v>
      </c>
      <c r="F22" s="187"/>
      <c r="G22" s="80" t="s">
        <v>191</v>
      </c>
      <c r="H22" s="186" t="s">
        <v>169</v>
      </c>
      <c r="I22" s="188"/>
      <c r="J22" s="79"/>
      <c r="K22" s="80"/>
      <c r="L22" s="80"/>
      <c r="M22" s="81"/>
      <c r="N22" s="79"/>
      <c r="O22" s="81"/>
      <c r="P22" s="79"/>
      <c r="Q22" s="80"/>
      <c r="R22" s="80"/>
      <c r="S22" s="80"/>
      <c r="T22" s="80"/>
      <c r="U22" s="80"/>
      <c r="V22" s="80"/>
      <c r="W22" s="80"/>
      <c r="X22" s="81"/>
    </row>
    <row r="23" spans="2:24" x14ac:dyDescent="0.25">
      <c r="B23" s="83"/>
      <c r="C23" s="82"/>
      <c r="D23" s="82"/>
      <c r="E23" s="82"/>
      <c r="F23" s="82"/>
      <c r="G23" s="82"/>
      <c r="H23" s="82"/>
      <c r="I23" s="84"/>
      <c r="J23" s="83"/>
      <c r="K23" s="82"/>
      <c r="L23" s="82"/>
      <c r="M23" s="84"/>
      <c r="N23" s="83"/>
      <c r="O23" s="84"/>
      <c r="P23" s="83"/>
      <c r="Q23" s="82"/>
      <c r="R23" s="82"/>
      <c r="S23" s="82"/>
      <c r="T23" s="82"/>
      <c r="U23" s="82"/>
      <c r="V23" s="82"/>
      <c r="W23" s="82"/>
      <c r="X23" s="84"/>
    </row>
    <row r="24" spans="2:24" x14ac:dyDescent="0.25">
      <c r="B24" s="83" t="s">
        <v>189</v>
      </c>
      <c r="C24" s="82" t="s">
        <v>173</v>
      </c>
      <c r="D24" s="82" t="s">
        <v>12</v>
      </c>
      <c r="E24" s="82" t="s">
        <v>10</v>
      </c>
      <c r="F24" s="82" t="s">
        <v>16</v>
      </c>
      <c r="G24" s="82" t="s">
        <v>11</v>
      </c>
      <c r="H24" s="82" t="s">
        <v>188</v>
      </c>
      <c r="I24" s="84" t="s">
        <v>190</v>
      </c>
      <c r="J24" s="83"/>
      <c r="K24" s="82"/>
      <c r="L24" s="82"/>
      <c r="M24" s="84"/>
      <c r="N24" s="83"/>
      <c r="O24" s="84"/>
      <c r="P24" s="83"/>
      <c r="Q24" s="82"/>
      <c r="R24" s="82"/>
      <c r="S24" s="82"/>
      <c r="T24" s="82"/>
      <c r="U24" s="82"/>
      <c r="V24" s="82"/>
      <c r="W24" s="82"/>
      <c r="X24" s="84"/>
    </row>
    <row r="25" spans="2:24" x14ac:dyDescent="0.25">
      <c r="B25" s="83" t="s">
        <v>183</v>
      </c>
      <c r="C25" s="85"/>
      <c r="D25" s="78">
        <v>5000</v>
      </c>
      <c r="E25" s="78"/>
      <c r="F25" s="78"/>
      <c r="G25" s="78">
        <f>43250+1200</f>
        <v>44450</v>
      </c>
      <c r="H25" s="86">
        <f>G25+F25-E25-D25</f>
        <v>39450</v>
      </c>
      <c r="I25" s="87">
        <f>H25</f>
        <v>39450</v>
      </c>
      <c r="J25" s="83"/>
      <c r="K25" s="82"/>
      <c r="L25" s="82"/>
      <c r="M25" s="84"/>
      <c r="N25" s="91">
        <f>I25</f>
        <v>39450</v>
      </c>
      <c r="O25" s="84"/>
      <c r="P25" s="83"/>
      <c r="Q25" s="82"/>
      <c r="R25" s="82"/>
      <c r="S25" s="82"/>
      <c r="T25" s="82"/>
      <c r="U25" s="82"/>
      <c r="V25" s="82"/>
      <c r="W25" s="82"/>
      <c r="X25" s="84"/>
    </row>
    <row r="26" spans="2:24" x14ac:dyDescent="0.25">
      <c r="B26" s="83" t="s">
        <v>19</v>
      </c>
      <c r="C26" s="85">
        <f>VLOOKUP(B26,Přehled!$A$3:$B$15,2,FALSE)</f>
        <v>150</v>
      </c>
      <c r="D26" s="78">
        <v>0</v>
      </c>
      <c r="E26" s="78"/>
      <c r="F26" s="78"/>
      <c r="G26" s="78"/>
      <c r="H26" s="86">
        <f>G26+F26-E26-D26</f>
        <v>0</v>
      </c>
      <c r="I26" s="87">
        <f>H26*C26</f>
        <v>0</v>
      </c>
      <c r="J26" s="91">
        <f>-I26</f>
        <v>0</v>
      </c>
      <c r="K26" s="82"/>
      <c r="L26" s="82"/>
      <c r="M26" s="84"/>
      <c r="N26" s="83"/>
      <c r="O26" s="84"/>
      <c r="P26" s="91">
        <f>-$H26</f>
        <v>0</v>
      </c>
      <c r="Q26" s="82"/>
      <c r="R26" s="82"/>
      <c r="S26" s="82"/>
      <c r="T26" s="82"/>
      <c r="U26" s="82"/>
      <c r="V26" s="82"/>
      <c r="W26" s="82"/>
      <c r="X26" s="84"/>
    </row>
    <row r="27" spans="2:24" x14ac:dyDescent="0.25">
      <c r="B27" s="83" t="s">
        <v>35</v>
      </c>
      <c r="C27" s="85">
        <f>VLOOKUP(B27,Přehled!$A$3:$B$15,2,FALSE)</f>
        <v>150</v>
      </c>
      <c r="D27" s="78">
        <v>0</v>
      </c>
      <c r="E27" s="78"/>
      <c r="F27" s="78"/>
      <c r="G27" s="78"/>
      <c r="H27" s="86">
        <f>G27+F27-E27-D27-H26</f>
        <v>0</v>
      </c>
      <c r="I27" s="87">
        <f>H27*C27</f>
        <v>0</v>
      </c>
      <c r="J27" s="83"/>
      <c r="K27" s="86">
        <f>-I27</f>
        <v>0</v>
      </c>
      <c r="L27" s="82"/>
      <c r="M27" s="84"/>
      <c r="N27" s="83"/>
      <c r="O27" s="84"/>
      <c r="P27" s="83"/>
      <c r="Q27" s="86">
        <f>-$H27</f>
        <v>0</v>
      </c>
      <c r="R27" s="82"/>
      <c r="S27" s="82"/>
      <c r="T27" s="82"/>
      <c r="U27" s="82"/>
      <c r="V27" s="82"/>
      <c r="W27" s="82"/>
      <c r="X27" s="84"/>
    </row>
    <row r="28" spans="2:24" x14ac:dyDescent="0.25">
      <c r="B28" s="83" t="s">
        <v>36</v>
      </c>
      <c r="C28" s="85">
        <f>VLOOKUP(B28,Přehled!$A$3:$B$15,2,FALSE)</f>
        <v>100</v>
      </c>
      <c r="D28" s="78">
        <v>0</v>
      </c>
      <c r="E28" s="78"/>
      <c r="F28" s="78"/>
      <c r="G28" s="78"/>
      <c r="H28" s="86">
        <f>G28+F28-E28-D28</f>
        <v>0</v>
      </c>
      <c r="I28" s="87">
        <f>H28*C28</f>
        <v>0</v>
      </c>
      <c r="J28" s="83"/>
      <c r="K28" s="86">
        <f>-I28</f>
        <v>0</v>
      </c>
      <c r="L28" s="82"/>
      <c r="M28" s="84"/>
      <c r="N28" s="83"/>
      <c r="O28" s="84"/>
      <c r="P28" s="83"/>
      <c r="Q28" s="82"/>
      <c r="R28" s="86">
        <f>-$H28</f>
        <v>0</v>
      </c>
      <c r="S28" s="82"/>
      <c r="T28" s="82"/>
      <c r="U28" s="82"/>
      <c r="V28" s="82"/>
      <c r="W28" s="82"/>
      <c r="X28" s="84"/>
    </row>
    <row r="29" spans="2:24" x14ac:dyDescent="0.25">
      <c r="B29" s="83" t="s">
        <v>37</v>
      </c>
      <c r="C29" s="85">
        <f>VLOOKUP(B29,Přehled!$A$3:$B$15,2,FALSE)</f>
        <v>120</v>
      </c>
      <c r="D29" s="78">
        <v>0</v>
      </c>
      <c r="E29" s="78"/>
      <c r="F29" s="78"/>
      <c r="G29" s="78"/>
      <c r="H29" s="86">
        <f t="shared" ref="H29:H36" si="4">G29+F29-E29-D29</f>
        <v>0</v>
      </c>
      <c r="I29" s="87">
        <f t="shared" ref="I29:I36" si="5">H29*C29</f>
        <v>0</v>
      </c>
      <c r="J29" s="83"/>
      <c r="K29" s="86">
        <f>-I29</f>
        <v>0</v>
      </c>
      <c r="L29" s="82"/>
      <c r="M29" s="84"/>
      <c r="N29" s="83"/>
      <c r="O29" s="84"/>
      <c r="P29" s="83"/>
      <c r="Q29" s="82"/>
      <c r="R29" s="82"/>
      <c r="S29" s="86">
        <f>-$H29</f>
        <v>0</v>
      </c>
      <c r="T29" s="82"/>
      <c r="U29" s="82"/>
      <c r="V29" s="82"/>
      <c r="W29" s="82"/>
      <c r="X29" s="84"/>
    </row>
    <row r="30" spans="2:24" x14ac:dyDescent="0.25">
      <c r="B30" s="83" t="s">
        <v>32</v>
      </c>
      <c r="C30" s="85">
        <f>VLOOKUP(B30,Přehled!$A$3:$B$15,2,FALSE)</f>
        <v>200</v>
      </c>
      <c r="D30" s="78">
        <v>300</v>
      </c>
      <c r="E30" s="78"/>
      <c r="F30" s="78"/>
      <c r="G30" s="78">
        <v>151</v>
      </c>
      <c r="H30" s="86">
        <f t="shared" si="4"/>
        <v>-149</v>
      </c>
      <c r="I30" s="87">
        <f t="shared" si="5"/>
        <v>-29800</v>
      </c>
      <c r="J30" s="83"/>
      <c r="K30" s="82"/>
      <c r="L30" s="86">
        <f>-I30</f>
        <v>29800</v>
      </c>
      <c r="M30" s="84"/>
      <c r="N30" s="83"/>
      <c r="O30" s="84"/>
      <c r="P30" s="83"/>
      <c r="Q30" s="82"/>
      <c r="R30" s="82"/>
      <c r="S30" s="82"/>
      <c r="T30" s="86">
        <f>-$H30</f>
        <v>149</v>
      </c>
      <c r="U30" s="82"/>
      <c r="V30" s="82"/>
      <c r="W30" s="82"/>
      <c r="X30" s="84"/>
    </row>
    <row r="31" spans="2:24" x14ac:dyDescent="0.25">
      <c r="B31" s="83" t="s">
        <v>33</v>
      </c>
      <c r="C31" s="85">
        <f>VLOOKUP(B31,Přehled!$A$3:$B$15,2,FALSE)</f>
        <v>150</v>
      </c>
      <c r="D31" s="78">
        <v>200</v>
      </c>
      <c r="E31" s="78"/>
      <c r="F31" s="78"/>
      <c r="G31" s="78">
        <v>136</v>
      </c>
      <c r="H31" s="86">
        <f t="shared" si="4"/>
        <v>-64</v>
      </c>
      <c r="I31" s="87">
        <f t="shared" si="5"/>
        <v>-9600</v>
      </c>
      <c r="J31" s="83"/>
      <c r="K31" s="82"/>
      <c r="L31" s="86">
        <f>-I31</f>
        <v>9600</v>
      </c>
      <c r="M31" s="84"/>
      <c r="N31" s="83"/>
      <c r="O31" s="84"/>
      <c r="P31" s="83"/>
      <c r="Q31" s="82"/>
      <c r="R31" s="82"/>
      <c r="S31" s="82"/>
      <c r="T31" s="82"/>
      <c r="U31" s="86">
        <f>-$H31</f>
        <v>64</v>
      </c>
      <c r="V31" s="82"/>
      <c r="W31" s="82"/>
      <c r="X31" s="84"/>
    </row>
    <row r="32" spans="2:24" x14ac:dyDescent="0.25">
      <c r="B32" s="83" t="s">
        <v>34</v>
      </c>
      <c r="C32" s="85">
        <f>VLOOKUP(B32,Přehled!$A$3:$B$15,2,FALSE)</f>
        <v>150</v>
      </c>
      <c r="D32" s="78"/>
      <c r="E32" s="78"/>
      <c r="F32" s="78"/>
      <c r="G32" s="78"/>
      <c r="H32" s="86">
        <f t="shared" si="4"/>
        <v>0</v>
      </c>
      <c r="I32" s="87">
        <f t="shared" si="5"/>
        <v>0</v>
      </c>
      <c r="J32" s="83"/>
      <c r="K32" s="82"/>
      <c r="L32" s="86">
        <f>-I32</f>
        <v>0</v>
      </c>
      <c r="M32" s="84"/>
      <c r="N32" s="83"/>
      <c r="O32" s="84"/>
      <c r="P32" s="83"/>
      <c r="Q32" s="82"/>
      <c r="R32" s="82"/>
      <c r="S32" s="82"/>
      <c r="T32" s="82"/>
      <c r="U32" s="82"/>
      <c r="V32" s="86">
        <f>-$H32</f>
        <v>0</v>
      </c>
      <c r="W32" s="82"/>
      <c r="X32" s="84"/>
    </row>
    <row r="33" spans="2:24" x14ac:dyDescent="0.25">
      <c r="B33" s="83" t="s">
        <v>184</v>
      </c>
      <c r="C33" s="85">
        <f>VLOOKUP(B33,Přehled!$A$3:$B$15,2,FALSE)</f>
        <v>50</v>
      </c>
      <c r="D33" s="78"/>
      <c r="E33" s="78"/>
      <c r="F33" s="78"/>
      <c r="G33" s="78"/>
      <c r="H33" s="86">
        <f t="shared" si="4"/>
        <v>0</v>
      </c>
      <c r="I33" s="87">
        <f t="shared" si="5"/>
        <v>0</v>
      </c>
      <c r="J33" s="83"/>
      <c r="K33" s="82"/>
      <c r="L33" s="82"/>
      <c r="M33" s="87">
        <f>-I33</f>
        <v>0</v>
      </c>
      <c r="N33" s="83"/>
      <c r="O33" s="84"/>
      <c r="P33" s="83"/>
      <c r="Q33" s="82"/>
      <c r="R33" s="82"/>
      <c r="S33" s="82"/>
      <c r="T33" s="82"/>
      <c r="U33" s="82"/>
      <c r="V33" s="82"/>
      <c r="W33" s="86">
        <f>-$H33</f>
        <v>0</v>
      </c>
      <c r="X33" s="84"/>
    </row>
    <row r="34" spans="2:24" x14ac:dyDescent="0.25">
      <c r="B34" s="83" t="s">
        <v>185</v>
      </c>
      <c r="C34" s="85">
        <f>VLOOKUP(B34,Přehled!$A$3:$B$15,2,FALSE)</f>
        <v>50</v>
      </c>
      <c r="D34" s="78"/>
      <c r="E34" s="78"/>
      <c r="F34" s="78"/>
      <c r="G34" s="78"/>
      <c r="H34" s="86">
        <f t="shared" si="4"/>
        <v>0</v>
      </c>
      <c r="I34" s="87">
        <f t="shared" si="5"/>
        <v>0</v>
      </c>
      <c r="J34" s="83"/>
      <c r="K34" s="82"/>
      <c r="L34" s="82"/>
      <c r="M34" s="87">
        <f>-I34</f>
        <v>0</v>
      </c>
      <c r="N34" s="83"/>
      <c r="O34" s="84"/>
      <c r="P34" s="83"/>
      <c r="Q34" s="82"/>
      <c r="R34" s="82"/>
      <c r="S34" s="82"/>
      <c r="T34" s="82"/>
      <c r="U34" s="82"/>
      <c r="V34" s="82"/>
      <c r="W34" s="82"/>
      <c r="X34" s="87">
        <f>-$H34</f>
        <v>0</v>
      </c>
    </row>
    <row r="35" spans="2:24" x14ac:dyDescent="0.25">
      <c r="B35" s="83"/>
      <c r="C35" s="85"/>
      <c r="D35" s="78"/>
      <c r="E35" s="78"/>
      <c r="F35" s="78"/>
      <c r="G35" s="78"/>
      <c r="H35" s="86">
        <f t="shared" si="4"/>
        <v>0</v>
      </c>
      <c r="I35" s="87">
        <f t="shared" si="5"/>
        <v>0</v>
      </c>
      <c r="J35" s="83"/>
      <c r="K35" s="82"/>
      <c r="L35" s="82"/>
      <c r="M35" s="84"/>
      <c r="N35" s="83"/>
      <c r="O35" s="84"/>
      <c r="P35" s="83"/>
      <c r="Q35" s="82"/>
      <c r="R35" s="82"/>
      <c r="S35" s="82"/>
      <c r="T35" s="82"/>
      <c r="U35" s="82"/>
      <c r="V35" s="82"/>
      <c r="W35" s="82"/>
      <c r="X35" s="84"/>
    </row>
    <row r="36" spans="2:24" x14ac:dyDescent="0.25">
      <c r="B36" s="83"/>
      <c r="C36" s="85"/>
      <c r="D36" s="78"/>
      <c r="E36" s="78"/>
      <c r="F36" s="78"/>
      <c r="G36" s="78"/>
      <c r="H36" s="86">
        <f t="shared" si="4"/>
        <v>0</v>
      </c>
      <c r="I36" s="87">
        <f t="shared" si="5"/>
        <v>0</v>
      </c>
      <c r="J36" s="83"/>
      <c r="K36" s="82"/>
      <c r="L36" s="82"/>
      <c r="M36" s="84"/>
      <c r="N36" s="83"/>
      <c r="O36" s="84"/>
      <c r="P36" s="83"/>
      <c r="Q36" s="82"/>
      <c r="R36" s="82"/>
      <c r="S36" s="82"/>
      <c r="T36" s="82"/>
      <c r="U36" s="82"/>
      <c r="V36" s="82"/>
      <c r="W36" s="82"/>
      <c r="X36" s="84"/>
    </row>
    <row r="37" spans="2:24" ht="15.75" thickBot="1" x14ac:dyDescent="0.3">
      <c r="B37" s="88" t="s">
        <v>201</v>
      </c>
      <c r="C37" s="94">
        <v>44471</v>
      </c>
      <c r="D37" s="89"/>
      <c r="E37" s="89" t="s">
        <v>202</v>
      </c>
      <c r="F37" s="94">
        <v>44477</v>
      </c>
      <c r="G37" s="89"/>
      <c r="H37" s="89" t="s">
        <v>17</v>
      </c>
      <c r="I37" s="90">
        <f>SUM(I25:I36)</f>
        <v>50</v>
      </c>
      <c r="J37" s="88"/>
      <c r="K37" s="89"/>
      <c r="L37" s="89"/>
      <c r="M37" s="92"/>
      <c r="N37" s="88"/>
      <c r="O37" s="90">
        <f>I37</f>
        <v>50</v>
      </c>
      <c r="P37" s="88"/>
      <c r="Q37" s="89"/>
      <c r="R37" s="89"/>
      <c r="S37" s="89"/>
      <c r="T37" s="89"/>
      <c r="U37" s="89"/>
      <c r="V37" s="89"/>
      <c r="W37" s="89"/>
      <c r="X37" s="92"/>
    </row>
    <row r="39" spans="2:24" ht="15.75" thickBot="1" x14ac:dyDescent="0.3">
      <c r="B39" s="89" t="s">
        <v>203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</row>
    <row r="40" spans="2:24" x14ac:dyDescent="0.25">
      <c r="B40" s="93" t="s">
        <v>206</v>
      </c>
      <c r="C40" s="80"/>
      <c r="D40" s="80" t="s">
        <v>187</v>
      </c>
      <c r="E40" s="186" t="s">
        <v>209</v>
      </c>
      <c r="F40" s="187"/>
      <c r="G40" s="80" t="s">
        <v>191</v>
      </c>
      <c r="H40" s="189" t="s">
        <v>208</v>
      </c>
      <c r="I40" s="190"/>
      <c r="J40" s="79"/>
      <c r="K40" s="80"/>
      <c r="L40" s="80"/>
      <c r="M40" s="81"/>
      <c r="N40" s="79"/>
      <c r="O40" s="81"/>
      <c r="P40" s="79"/>
      <c r="Q40" s="80"/>
      <c r="R40" s="80"/>
      <c r="S40" s="80"/>
      <c r="T40" s="80"/>
      <c r="U40" s="80"/>
      <c r="V40" s="80"/>
      <c r="W40" s="80"/>
      <c r="X40" s="81"/>
    </row>
    <row r="41" spans="2:24" x14ac:dyDescent="0.25">
      <c r="B41" s="83"/>
      <c r="C41" s="82"/>
      <c r="D41" s="82"/>
      <c r="E41" s="82"/>
      <c r="F41" s="82"/>
      <c r="G41" s="82"/>
      <c r="H41" s="82"/>
      <c r="I41" s="84"/>
      <c r="J41" s="83"/>
      <c r="K41" s="82"/>
      <c r="L41" s="82"/>
      <c r="M41" s="84"/>
      <c r="N41" s="83"/>
      <c r="O41" s="84"/>
      <c r="P41" s="83"/>
      <c r="Q41" s="82"/>
      <c r="R41" s="82"/>
      <c r="S41" s="82"/>
      <c r="T41" s="82"/>
      <c r="U41" s="82"/>
      <c r="V41" s="82"/>
      <c r="W41" s="82"/>
      <c r="X41" s="84"/>
    </row>
    <row r="42" spans="2:24" x14ac:dyDescent="0.25">
      <c r="B42" s="83" t="s">
        <v>189</v>
      </c>
      <c r="C42" s="82" t="s">
        <v>173</v>
      </c>
      <c r="D42" s="82" t="s">
        <v>12</v>
      </c>
      <c r="E42" s="82" t="s">
        <v>10</v>
      </c>
      <c r="F42" s="82" t="s">
        <v>16</v>
      </c>
      <c r="G42" s="82" t="s">
        <v>11</v>
      </c>
      <c r="H42" s="82" t="s">
        <v>188</v>
      </c>
      <c r="I42" s="84" t="s">
        <v>190</v>
      </c>
      <c r="J42" s="83"/>
      <c r="K42" s="82"/>
      <c r="L42" s="82"/>
      <c r="M42" s="84"/>
      <c r="N42" s="83"/>
      <c r="O42" s="84"/>
      <c r="P42" s="83"/>
      <c r="Q42" s="82"/>
      <c r="R42" s="82"/>
      <c r="S42" s="82"/>
      <c r="T42" s="82"/>
      <c r="U42" s="82"/>
      <c r="V42" s="82"/>
      <c r="W42" s="82"/>
      <c r="X42" s="84"/>
    </row>
    <row r="43" spans="2:24" x14ac:dyDescent="0.25">
      <c r="B43" s="83" t="s">
        <v>183</v>
      </c>
      <c r="C43" s="85"/>
      <c r="D43" s="78">
        <v>5000</v>
      </c>
      <c r="E43" s="78"/>
      <c r="F43" s="78"/>
      <c r="G43" s="78">
        <v>12750</v>
      </c>
      <c r="H43" s="86">
        <f>G43+F43-E43-D43</f>
        <v>7750</v>
      </c>
      <c r="I43" s="87">
        <f>H43</f>
        <v>7750</v>
      </c>
      <c r="J43" s="83"/>
      <c r="K43" s="82"/>
      <c r="L43" s="82"/>
      <c r="M43" s="84"/>
      <c r="N43" s="91">
        <f>I43</f>
        <v>7750</v>
      </c>
      <c r="O43" s="84"/>
      <c r="P43" s="83"/>
      <c r="Q43" s="82"/>
      <c r="R43" s="82"/>
      <c r="S43" s="82"/>
      <c r="T43" s="82"/>
      <c r="U43" s="82"/>
      <c r="V43" s="82"/>
      <c r="W43" s="82"/>
      <c r="X43" s="84"/>
    </row>
    <row r="44" spans="2:24" x14ac:dyDescent="0.25">
      <c r="B44" s="83" t="s">
        <v>19</v>
      </c>
      <c r="C44" s="85">
        <f>VLOOKUP(B44,Přehled!$A$3:$B$15,2,FALSE)</f>
        <v>150</v>
      </c>
      <c r="D44" s="78">
        <v>0</v>
      </c>
      <c r="E44" s="78"/>
      <c r="F44" s="78"/>
      <c r="G44" s="78">
        <v>0</v>
      </c>
      <c r="H44" s="86">
        <f>G44+F44-E44-D44</f>
        <v>0</v>
      </c>
      <c r="I44" s="87">
        <f>H44*C44</f>
        <v>0</v>
      </c>
      <c r="J44" s="91">
        <f>-I44</f>
        <v>0</v>
      </c>
      <c r="K44" s="82"/>
      <c r="L44" s="82"/>
      <c r="M44" s="84"/>
      <c r="N44" s="83"/>
      <c r="O44" s="84"/>
      <c r="P44" s="91">
        <f>-$H44</f>
        <v>0</v>
      </c>
      <c r="Q44" s="82"/>
      <c r="R44" s="82"/>
      <c r="S44" s="82"/>
      <c r="T44" s="82"/>
      <c r="U44" s="82"/>
      <c r="V44" s="82"/>
      <c r="W44" s="82"/>
      <c r="X44" s="84"/>
    </row>
    <row r="45" spans="2:24" x14ac:dyDescent="0.25">
      <c r="B45" s="83" t="s">
        <v>35</v>
      </c>
      <c r="C45" s="85">
        <f>VLOOKUP(B45,Přehled!$A$3:$B$15,2,FALSE)</f>
        <v>150</v>
      </c>
      <c r="D45" s="78">
        <v>0</v>
      </c>
      <c r="E45" s="78"/>
      <c r="F45" s="78"/>
      <c r="G45" s="78">
        <v>0</v>
      </c>
      <c r="H45" s="86">
        <f>G45+F45-E45-D45-H44</f>
        <v>0</v>
      </c>
      <c r="I45" s="87">
        <f>H45*C45</f>
        <v>0</v>
      </c>
      <c r="J45" s="83"/>
      <c r="K45" s="86">
        <f>-I45</f>
        <v>0</v>
      </c>
      <c r="L45" s="82"/>
      <c r="M45" s="84"/>
      <c r="N45" s="83"/>
      <c r="O45" s="84"/>
      <c r="P45" s="83"/>
      <c r="Q45" s="86">
        <f>-$H45</f>
        <v>0</v>
      </c>
      <c r="R45" s="82"/>
      <c r="S45" s="82"/>
      <c r="T45" s="82"/>
      <c r="U45" s="82"/>
      <c r="V45" s="82"/>
      <c r="W45" s="82"/>
      <c r="X45" s="84"/>
    </row>
    <row r="46" spans="2:24" x14ac:dyDescent="0.25">
      <c r="B46" s="83" t="s">
        <v>36</v>
      </c>
      <c r="C46" s="85">
        <f>VLOOKUP(B46,Přehled!$A$3:$B$15,2,FALSE)</f>
        <v>100</v>
      </c>
      <c r="D46" s="78">
        <v>0</v>
      </c>
      <c r="E46" s="78"/>
      <c r="F46" s="78"/>
      <c r="G46" s="78">
        <v>0</v>
      </c>
      <c r="H46" s="86">
        <f>G46+F46-E46-D46</f>
        <v>0</v>
      </c>
      <c r="I46" s="87">
        <f>H46*C46</f>
        <v>0</v>
      </c>
      <c r="J46" s="83"/>
      <c r="K46" s="86">
        <f>-I46</f>
        <v>0</v>
      </c>
      <c r="L46" s="82"/>
      <c r="M46" s="84"/>
      <c r="N46" s="83"/>
      <c r="O46" s="84"/>
      <c r="P46" s="83"/>
      <c r="Q46" s="82"/>
      <c r="R46" s="86">
        <f>-$H46</f>
        <v>0</v>
      </c>
      <c r="S46" s="82"/>
      <c r="T46" s="82"/>
      <c r="U46" s="82"/>
      <c r="V46" s="82"/>
      <c r="W46" s="82"/>
      <c r="X46" s="84"/>
    </row>
    <row r="47" spans="2:24" x14ac:dyDescent="0.25">
      <c r="B47" s="83" t="s">
        <v>37</v>
      </c>
      <c r="C47" s="85">
        <f>VLOOKUP(B47,Přehled!$A$3:$B$15,2,FALSE)</f>
        <v>120</v>
      </c>
      <c r="D47" s="78">
        <v>0</v>
      </c>
      <c r="E47" s="78"/>
      <c r="F47" s="78"/>
      <c r="G47" s="78">
        <v>0</v>
      </c>
      <c r="H47" s="86">
        <f t="shared" ref="H47:H54" si="6">G47+F47-E47-D47</f>
        <v>0</v>
      </c>
      <c r="I47" s="87">
        <f t="shared" ref="I47:I54" si="7">H47*C47</f>
        <v>0</v>
      </c>
      <c r="J47" s="83"/>
      <c r="K47" s="86">
        <f>-I47</f>
        <v>0</v>
      </c>
      <c r="L47" s="82"/>
      <c r="M47" s="84"/>
      <c r="N47" s="83"/>
      <c r="O47" s="84"/>
      <c r="P47" s="83"/>
      <c r="Q47" s="82"/>
      <c r="R47" s="82"/>
      <c r="S47" s="86">
        <f>-$H47</f>
        <v>0</v>
      </c>
      <c r="T47" s="82"/>
      <c r="U47" s="82"/>
      <c r="V47" s="82"/>
      <c r="W47" s="82"/>
      <c r="X47" s="84"/>
    </row>
    <row r="48" spans="2:24" x14ac:dyDescent="0.25">
      <c r="B48" s="83" t="s">
        <v>32</v>
      </c>
      <c r="C48" s="85">
        <f>VLOOKUP(B48,Přehled!$A$3:$B$15,2,FALSE)</f>
        <v>200</v>
      </c>
      <c r="D48" s="78">
        <v>0</v>
      </c>
      <c r="E48" s="78"/>
      <c r="F48" s="78"/>
      <c r="G48" s="78">
        <v>0</v>
      </c>
      <c r="H48" s="86">
        <f t="shared" si="6"/>
        <v>0</v>
      </c>
      <c r="I48" s="87">
        <f t="shared" si="7"/>
        <v>0</v>
      </c>
      <c r="J48" s="83"/>
      <c r="K48" s="82"/>
      <c r="L48" s="86">
        <f>-I48</f>
        <v>0</v>
      </c>
      <c r="M48" s="84"/>
      <c r="N48" s="83"/>
      <c r="O48" s="84"/>
      <c r="P48" s="83"/>
      <c r="Q48" s="82"/>
      <c r="R48" s="82"/>
      <c r="S48" s="82"/>
      <c r="T48" s="86">
        <f>-$H48</f>
        <v>0</v>
      </c>
      <c r="U48" s="82"/>
      <c r="V48" s="82"/>
      <c r="W48" s="82"/>
      <c r="X48" s="84"/>
    </row>
    <row r="49" spans="2:24" x14ac:dyDescent="0.25">
      <c r="B49" s="83" t="s">
        <v>33</v>
      </c>
      <c r="C49" s="85">
        <f>VLOOKUP(B49,Přehled!$A$3:$B$15,2,FALSE)</f>
        <v>150</v>
      </c>
      <c r="D49" s="78">
        <v>0</v>
      </c>
      <c r="E49" s="78"/>
      <c r="F49" s="78"/>
      <c r="G49" s="78">
        <v>0</v>
      </c>
      <c r="H49" s="86">
        <f t="shared" si="6"/>
        <v>0</v>
      </c>
      <c r="I49" s="87">
        <f t="shared" si="7"/>
        <v>0</v>
      </c>
      <c r="J49" s="83"/>
      <c r="K49" s="82"/>
      <c r="L49" s="86">
        <f>-I49</f>
        <v>0</v>
      </c>
      <c r="M49" s="84"/>
      <c r="N49" s="83"/>
      <c r="O49" s="84"/>
      <c r="P49" s="83"/>
      <c r="Q49" s="82"/>
      <c r="R49" s="82"/>
      <c r="S49" s="82"/>
      <c r="T49" s="82"/>
      <c r="U49" s="86">
        <f>-$H49</f>
        <v>0</v>
      </c>
      <c r="V49" s="82"/>
      <c r="W49" s="82"/>
      <c r="X49" s="84"/>
    </row>
    <row r="50" spans="2:24" x14ac:dyDescent="0.25">
      <c r="B50" s="83" t="s">
        <v>34</v>
      </c>
      <c r="C50" s="85">
        <f>VLOOKUP(B50,Přehled!$A$3:$B$15,2,FALSE)</f>
        <v>150</v>
      </c>
      <c r="D50" s="78">
        <v>0</v>
      </c>
      <c r="E50" s="78"/>
      <c r="F50" s="78"/>
      <c r="G50" s="78">
        <v>0</v>
      </c>
      <c r="H50" s="86">
        <f t="shared" si="6"/>
        <v>0</v>
      </c>
      <c r="I50" s="87">
        <f t="shared" si="7"/>
        <v>0</v>
      </c>
      <c r="J50" s="83"/>
      <c r="K50" s="82"/>
      <c r="L50" s="86">
        <f>-I50</f>
        <v>0</v>
      </c>
      <c r="M50" s="84"/>
      <c r="N50" s="83"/>
      <c r="O50" s="84"/>
      <c r="P50" s="83"/>
      <c r="Q50" s="82"/>
      <c r="R50" s="82"/>
      <c r="S50" s="82"/>
      <c r="T50" s="82"/>
      <c r="U50" s="82"/>
      <c r="V50" s="86">
        <f>-$H50</f>
        <v>0</v>
      </c>
      <c r="W50" s="82"/>
      <c r="X50" s="84"/>
    </row>
    <row r="51" spans="2:24" x14ac:dyDescent="0.25">
      <c r="B51" s="83" t="s">
        <v>184</v>
      </c>
      <c r="C51" s="85">
        <f>VLOOKUP(B51,Přehled!$A$3:$B$15,2,FALSE)</f>
        <v>50</v>
      </c>
      <c r="D51" s="78">
        <v>143</v>
      </c>
      <c r="E51" s="78"/>
      <c r="F51" s="78">
        <v>3</v>
      </c>
      <c r="G51" s="78">
        <v>73</v>
      </c>
      <c r="H51" s="86">
        <f t="shared" si="6"/>
        <v>-67</v>
      </c>
      <c r="I51" s="87">
        <f t="shared" si="7"/>
        <v>-3350</v>
      </c>
      <c r="J51" s="83"/>
      <c r="K51" s="82"/>
      <c r="L51" s="82"/>
      <c r="M51" s="87">
        <f>-I51</f>
        <v>3350</v>
      </c>
      <c r="N51" s="83"/>
      <c r="O51" s="84"/>
      <c r="P51" s="83"/>
      <c r="Q51" s="82"/>
      <c r="R51" s="82"/>
      <c r="S51" s="82"/>
      <c r="T51" s="82"/>
      <c r="U51" s="82"/>
      <c r="V51" s="82"/>
      <c r="W51" s="86">
        <f>-$H51</f>
        <v>67</v>
      </c>
      <c r="X51" s="84"/>
    </row>
    <row r="52" spans="2:24" x14ac:dyDescent="0.25">
      <c r="B52" s="83" t="s">
        <v>185</v>
      </c>
      <c r="C52" s="85">
        <f>VLOOKUP(B52,Přehled!$A$3:$B$15,2,FALSE)</f>
        <v>50</v>
      </c>
      <c r="D52" s="78">
        <v>400</v>
      </c>
      <c r="E52" s="78"/>
      <c r="F52" s="78"/>
      <c r="G52" s="78">
        <v>312</v>
      </c>
      <c r="H52" s="86">
        <f t="shared" si="6"/>
        <v>-88</v>
      </c>
      <c r="I52" s="87">
        <f t="shared" si="7"/>
        <v>-4400</v>
      </c>
      <c r="J52" s="83"/>
      <c r="K52" s="82"/>
      <c r="L52" s="82"/>
      <c r="M52" s="87">
        <f>-I52</f>
        <v>4400</v>
      </c>
      <c r="N52" s="83"/>
      <c r="O52" s="84"/>
      <c r="P52" s="83"/>
      <c r="Q52" s="82"/>
      <c r="R52" s="82"/>
      <c r="S52" s="82"/>
      <c r="T52" s="82"/>
      <c r="U52" s="82"/>
      <c r="V52" s="82"/>
      <c r="W52" s="82"/>
      <c r="X52" s="87">
        <f>-$H52</f>
        <v>88</v>
      </c>
    </row>
    <row r="53" spans="2:24" x14ac:dyDescent="0.25">
      <c r="B53" s="83"/>
      <c r="C53" s="85"/>
      <c r="D53" s="78"/>
      <c r="E53" s="78"/>
      <c r="F53" s="78"/>
      <c r="G53" s="78"/>
      <c r="H53" s="86">
        <f t="shared" si="6"/>
        <v>0</v>
      </c>
      <c r="I53" s="87">
        <f t="shared" si="7"/>
        <v>0</v>
      </c>
      <c r="J53" s="83"/>
      <c r="K53" s="82"/>
      <c r="L53" s="82"/>
      <c r="M53" s="84"/>
      <c r="N53" s="83"/>
      <c r="O53" s="84"/>
      <c r="P53" s="83"/>
      <c r="Q53" s="82"/>
      <c r="R53" s="82"/>
      <c r="S53" s="82"/>
      <c r="T53" s="82"/>
      <c r="U53" s="82"/>
      <c r="V53" s="82"/>
      <c r="W53" s="82"/>
      <c r="X53" s="84"/>
    </row>
    <row r="54" spans="2:24" x14ac:dyDescent="0.25">
      <c r="B54" s="83"/>
      <c r="C54" s="85"/>
      <c r="D54" s="78"/>
      <c r="E54" s="78"/>
      <c r="F54" s="78"/>
      <c r="G54" s="78"/>
      <c r="H54" s="86">
        <f t="shared" si="6"/>
        <v>0</v>
      </c>
      <c r="I54" s="87">
        <f t="shared" si="7"/>
        <v>0</v>
      </c>
      <c r="J54" s="83"/>
      <c r="K54" s="82"/>
      <c r="L54" s="82"/>
      <c r="M54" s="84"/>
      <c r="N54" s="83"/>
      <c r="O54" s="84"/>
      <c r="P54" s="83"/>
      <c r="Q54" s="82"/>
      <c r="R54" s="82"/>
      <c r="S54" s="82"/>
      <c r="T54" s="82"/>
      <c r="U54" s="82"/>
      <c r="V54" s="82"/>
      <c r="W54" s="82"/>
      <c r="X54" s="84"/>
    </row>
    <row r="55" spans="2:24" ht="15.75" thickBot="1" x14ac:dyDescent="0.3">
      <c r="B55" s="88" t="s">
        <v>201</v>
      </c>
      <c r="C55" s="94">
        <v>44471</v>
      </c>
      <c r="D55" s="89"/>
      <c r="E55" s="89" t="s">
        <v>202</v>
      </c>
      <c r="F55" s="94">
        <v>44477</v>
      </c>
      <c r="G55" s="89"/>
      <c r="H55" s="89" t="s">
        <v>17</v>
      </c>
      <c r="I55" s="90">
        <f>SUM(I43:I54)</f>
        <v>0</v>
      </c>
      <c r="J55" s="88"/>
      <c r="K55" s="89"/>
      <c r="L55" s="89"/>
      <c r="M55" s="92"/>
      <c r="N55" s="88"/>
      <c r="O55" s="90">
        <f>I55</f>
        <v>0</v>
      </c>
      <c r="P55" s="88"/>
      <c r="Q55" s="89"/>
      <c r="R55" s="89"/>
      <c r="S55" s="89"/>
      <c r="T55" s="89"/>
      <c r="U55" s="89"/>
      <c r="V55" s="89"/>
      <c r="W55" s="89"/>
      <c r="X55" s="92"/>
    </row>
    <row r="57" spans="2:24" ht="15.75" thickBot="1" x14ac:dyDescent="0.3">
      <c r="B57" s="89" t="s">
        <v>205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</row>
    <row r="58" spans="2:24" x14ac:dyDescent="0.25">
      <c r="B58" s="93" t="s">
        <v>204</v>
      </c>
      <c r="C58" s="80"/>
      <c r="D58" s="80" t="s">
        <v>187</v>
      </c>
      <c r="E58" s="186" t="s">
        <v>45</v>
      </c>
      <c r="F58" s="187"/>
      <c r="G58" s="80" t="s">
        <v>191</v>
      </c>
      <c r="H58" s="186" t="s">
        <v>207</v>
      </c>
      <c r="I58" s="188"/>
      <c r="J58" s="79"/>
      <c r="K58" s="80"/>
      <c r="L58" s="80"/>
      <c r="M58" s="81"/>
      <c r="N58" s="79"/>
      <c r="O58" s="81"/>
      <c r="P58" s="79"/>
      <c r="Q58" s="80"/>
      <c r="R58" s="80"/>
      <c r="S58" s="80"/>
      <c r="T58" s="80"/>
      <c r="U58" s="80"/>
      <c r="V58" s="80"/>
      <c r="W58" s="80"/>
      <c r="X58" s="81"/>
    </row>
    <row r="59" spans="2:24" x14ac:dyDescent="0.25">
      <c r="B59" s="83"/>
      <c r="C59" s="82"/>
      <c r="D59" s="82"/>
      <c r="E59" s="82"/>
      <c r="F59" s="82"/>
      <c r="G59" s="82"/>
      <c r="H59" s="82"/>
      <c r="I59" s="84"/>
      <c r="J59" s="83"/>
      <c r="K59" s="82"/>
      <c r="L59" s="82"/>
      <c r="M59" s="84"/>
      <c r="N59" s="83"/>
      <c r="O59" s="84"/>
      <c r="P59" s="83"/>
      <c r="Q59" s="82"/>
      <c r="R59" s="82"/>
      <c r="S59" s="82"/>
      <c r="T59" s="82"/>
      <c r="U59" s="82"/>
      <c r="V59" s="82"/>
      <c r="W59" s="82"/>
      <c r="X59" s="84"/>
    </row>
    <row r="60" spans="2:24" x14ac:dyDescent="0.25">
      <c r="B60" s="83" t="s">
        <v>189</v>
      </c>
      <c r="C60" s="82" t="s">
        <v>173</v>
      </c>
      <c r="D60" s="82" t="s">
        <v>12</v>
      </c>
      <c r="E60" s="82" t="s">
        <v>10</v>
      </c>
      <c r="F60" s="82" t="s">
        <v>16</v>
      </c>
      <c r="G60" s="82" t="s">
        <v>11</v>
      </c>
      <c r="H60" s="82" t="s">
        <v>188</v>
      </c>
      <c r="I60" s="84" t="s">
        <v>190</v>
      </c>
      <c r="J60" s="83"/>
      <c r="K60" s="82"/>
      <c r="L60" s="82"/>
      <c r="M60" s="84"/>
      <c r="N60" s="83"/>
      <c r="O60" s="84"/>
      <c r="P60" s="83"/>
      <c r="Q60" s="82"/>
      <c r="R60" s="82"/>
      <c r="S60" s="82"/>
      <c r="T60" s="82"/>
      <c r="U60" s="82"/>
      <c r="V60" s="82"/>
      <c r="W60" s="82"/>
      <c r="X60" s="84"/>
    </row>
    <row r="61" spans="2:24" x14ac:dyDescent="0.25">
      <c r="B61" s="83" t="s">
        <v>183</v>
      </c>
      <c r="C61" s="85"/>
      <c r="D61" s="78">
        <v>10000</v>
      </c>
      <c r="E61" s="78"/>
      <c r="F61" s="78"/>
      <c r="G61" s="78">
        <f>51850+2070</f>
        <v>53920</v>
      </c>
      <c r="H61" s="86">
        <f>G61+F61-E61-D61</f>
        <v>43920</v>
      </c>
      <c r="I61" s="87">
        <f>H61</f>
        <v>43920</v>
      </c>
      <c r="J61" s="83"/>
      <c r="K61" s="82"/>
      <c r="L61" s="82"/>
      <c r="M61" s="84"/>
      <c r="N61" s="91">
        <f>I61</f>
        <v>43920</v>
      </c>
      <c r="O61" s="84"/>
      <c r="P61" s="83"/>
      <c r="Q61" s="82"/>
      <c r="R61" s="82"/>
      <c r="S61" s="82"/>
      <c r="T61" s="82"/>
      <c r="U61" s="82"/>
      <c r="V61" s="82"/>
      <c r="W61" s="82"/>
      <c r="X61" s="84"/>
    </row>
    <row r="62" spans="2:24" x14ac:dyDescent="0.25">
      <c r="B62" s="83" t="s">
        <v>19</v>
      </c>
      <c r="C62" s="85">
        <f>VLOOKUP(B62,Přehled!$A$3:$B$15,2,FALSE)</f>
        <v>150</v>
      </c>
      <c r="D62" s="78">
        <v>0</v>
      </c>
      <c r="E62" s="78"/>
      <c r="F62" s="78"/>
      <c r="G62" s="78">
        <v>0</v>
      </c>
      <c r="H62" s="86">
        <f>G62+F62-E62-D62</f>
        <v>0</v>
      </c>
      <c r="I62" s="87">
        <f>H62*C62</f>
        <v>0</v>
      </c>
      <c r="J62" s="91">
        <f>-I62</f>
        <v>0</v>
      </c>
      <c r="K62" s="82"/>
      <c r="L62" s="82"/>
      <c r="M62" s="84"/>
      <c r="N62" s="83"/>
      <c r="O62" s="84"/>
      <c r="P62" s="91">
        <f>-$H62</f>
        <v>0</v>
      </c>
      <c r="Q62" s="82"/>
      <c r="R62" s="82"/>
      <c r="S62" s="82"/>
      <c r="T62" s="82"/>
      <c r="U62" s="82"/>
      <c r="V62" s="82"/>
      <c r="W62" s="82"/>
      <c r="X62" s="84"/>
    </row>
    <row r="63" spans="2:24" x14ac:dyDescent="0.25">
      <c r="B63" s="83" t="s">
        <v>35</v>
      </c>
      <c r="C63" s="85">
        <f>VLOOKUP(B63,Přehled!$A$3:$B$15,2,FALSE)</f>
        <v>150</v>
      </c>
      <c r="D63" s="78">
        <v>200</v>
      </c>
      <c r="E63" s="78"/>
      <c r="F63" s="78">
        <v>2</v>
      </c>
      <c r="G63" s="78">
        <v>107</v>
      </c>
      <c r="H63" s="86">
        <f>G63+F63-E63-D63-H62</f>
        <v>-91</v>
      </c>
      <c r="I63" s="87">
        <f>H63*C63</f>
        <v>-13650</v>
      </c>
      <c r="J63" s="83"/>
      <c r="K63" s="86">
        <f>-I63</f>
        <v>13650</v>
      </c>
      <c r="L63" s="82"/>
      <c r="M63" s="84"/>
      <c r="N63" s="83"/>
      <c r="O63" s="84"/>
      <c r="P63" s="83"/>
      <c r="Q63" s="86">
        <f>-$H63</f>
        <v>91</v>
      </c>
      <c r="R63" s="82"/>
      <c r="S63" s="82"/>
      <c r="T63" s="82"/>
      <c r="U63" s="82"/>
      <c r="V63" s="82"/>
      <c r="W63" s="82"/>
      <c r="X63" s="84"/>
    </row>
    <row r="64" spans="2:24" x14ac:dyDescent="0.25">
      <c r="B64" s="83" t="s">
        <v>36</v>
      </c>
      <c r="C64" s="85">
        <f>VLOOKUP(B64,Přehled!$A$3:$B$15,2,FALSE)</f>
        <v>100</v>
      </c>
      <c r="D64" s="78">
        <v>200</v>
      </c>
      <c r="E64" s="78"/>
      <c r="F64" s="78">
        <v>1</v>
      </c>
      <c r="G64" s="78">
        <v>81</v>
      </c>
      <c r="H64" s="86">
        <f>G64+F64-E64-D64</f>
        <v>-118</v>
      </c>
      <c r="I64" s="87">
        <f>H64*C64</f>
        <v>-11800</v>
      </c>
      <c r="J64" s="83"/>
      <c r="K64" s="86">
        <f>-I64</f>
        <v>11800</v>
      </c>
      <c r="L64" s="82"/>
      <c r="M64" s="84"/>
      <c r="N64" s="83"/>
      <c r="O64" s="84"/>
      <c r="P64" s="83"/>
      <c r="Q64" s="82"/>
      <c r="R64" s="86">
        <f>-$H64</f>
        <v>118</v>
      </c>
      <c r="S64" s="82"/>
      <c r="T64" s="82"/>
      <c r="U64" s="82"/>
      <c r="V64" s="82"/>
      <c r="W64" s="82"/>
      <c r="X64" s="84"/>
    </row>
    <row r="65" spans="2:24" x14ac:dyDescent="0.25">
      <c r="B65" s="83" t="s">
        <v>37</v>
      </c>
      <c r="C65" s="85">
        <f>VLOOKUP(B65,Přehled!$A$3:$B$15,2,FALSE)</f>
        <v>120</v>
      </c>
      <c r="D65" s="78"/>
      <c r="E65" s="78"/>
      <c r="F65" s="78"/>
      <c r="G65" s="78"/>
      <c r="H65" s="86">
        <f t="shared" ref="H65:H72" si="8">G65+F65-E65-D65</f>
        <v>0</v>
      </c>
      <c r="I65" s="87">
        <f t="shared" ref="I65:I72" si="9">H65*C65</f>
        <v>0</v>
      </c>
      <c r="J65" s="83"/>
      <c r="K65" s="86">
        <f>-I65</f>
        <v>0</v>
      </c>
      <c r="L65" s="82"/>
      <c r="M65" s="84"/>
      <c r="N65" s="83"/>
      <c r="O65" s="84"/>
      <c r="P65" s="83"/>
      <c r="Q65" s="82"/>
      <c r="R65" s="82"/>
      <c r="S65" s="86">
        <f>-$H65</f>
        <v>0</v>
      </c>
      <c r="T65" s="82"/>
      <c r="U65" s="82"/>
      <c r="V65" s="82"/>
      <c r="W65" s="82"/>
      <c r="X65" s="84"/>
    </row>
    <row r="66" spans="2:24" x14ac:dyDescent="0.25">
      <c r="B66" s="83" t="s">
        <v>32</v>
      </c>
      <c r="C66" s="85">
        <f>VLOOKUP(B66,Přehled!$A$3:$B$15,2,FALSE)</f>
        <v>200</v>
      </c>
      <c r="D66" s="78">
        <v>200</v>
      </c>
      <c r="E66" s="78"/>
      <c r="F66" s="78"/>
      <c r="G66" s="78">
        <v>144</v>
      </c>
      <c r="H66" s="86">
        <f t="shared" si="8"/>
        <v>-56</v>
      </c>
      <c r="I66" s="87">
        <f t="shared" si="9"/>
        <v>-11200</v>
      </c>
      <c r="J66" s="83"/>
      <c r="K66" s="82"/>
      <c r="L66" s="86">
        <f>-I66</f>
        <v>11200</v>
      </c>
      <c r="M66" s="84"/>
      <c r="N66" s="83"/>
      <c r="O66" s="84"/>
      <c r="P66" s="83"/>
      <c r="Q66" s="82"/>
      <c r="R66" s="82"/>
      <c r="S66" s="82"/>
      <c r="T66" s="86">
        <f>-$H66</f>
        <v>56</v>
      </c>
      <c r="U66" s="82"/>
      <c r="V66" s="82"/>
      <c r="W66" s="82"/>
      <c r="X66" s="84"/>
    </row>
    <row r="67" spans="2:24" x14ac:dyDescent="0.25">
      <c r="B67" s="83" t="s">
        <v>33</v>
      </c>
      <c r="C67" s="85">
        <f>VLOOKUP(B67,Přehled!$A$3:$B$15,2,FALSE)</f>
        <v>150</v>
      </c>
      <c r="D67" s="78">
        <v>200</v>
      </c>
      <c r="E67" s="78"/>
      <c r="F67" s="78"/>
      <c r="G67" s="78">
        <v>152</v>
      </c>
      <c r="H67" s="86">
        <f t="shared" si="8"/>
        <v>-48</v>
      </c>
      <c r="I67" s="87">
        <f t="shared" si="9"/>
        <v>-7200</v>
      </c>
      <c r="J67" s="83"/>
      <c r="K67" s="82"/>
      <c r="L67" s="86">
        <f>-I67</f>
        <v>7200</v>
      </c>
      <c r="M67" s="84"/>
      <c r="N67" s="83"/>
      <c r="O67" s="84"/>
      <c r="P67" s="83"/>
      <c r="Q67" s="82"/>
      <c r="R67" s="82"/>
      <c r="S67" s="82"/>
      <c r="T67" s="82"/>
      <c r="U67" s="86">
        <f>-$H67</f>
        <v>48</v>
      </c>
      <c r="V67" s="82"/>
      <c r="W67" s="82"/>
      <c r="X67" s="84"/>
    </row>
    <row r="68" spans="2:24" x14ac:dyDescent="0.25">
      <c r="B68" s="83" t="s">
        <v>34</v>
      </c>
      <c r="C68" s="85">
        <f>VLOOKUP(B68,Přehled!$A$3:$B$15,2,FALSE)</f>
        <v>150</v>
      </c>
      <c r="D68" s="78"/>
      <c r="E68" s="78"/>
      <c r="F68" s="78"/>
      <c r="G68" s="78"/>
      <c r="H68" s="86">
        <f t="shared" si="8"/>
        <v>0</v>
      </c>
      <c r="I68" s="87">
        <f t="shared" si="9"/>
        <v>0</v>
      </c>
      <c r="J68" s="83"/>
      <c r="K68" s="82"/>
      <c r="L68" s="86">
        <f>-I68</f>
        <v>0</v>
      </c>
      <c r="M68" s="84"/>
      <c r="N68" s="83"/>
      <c r="O68" s="84"/>
      <c r="P68" s="83"/>
      <c r="Q68" s="82"/>
      <c r="R68" s="82"/>
      <c r="S68" s="82"/>
      <c r="T68" s="82"/>
      <c r="U68" s="82"/>
      <c r="V68" s="86">
        <f>-$H68</f>
        <v>0</v>
      </c>
      <c r="W68" s="82"/>
      <c r="X68" s="84"/>
    </row>
    <row r="69" spans="2:24" x14ac:dyDescent="0.25">
      <c r="B69" s="83" t="s">
        <v>184</v>
      </c>
      <c r="C69" s="85">
        <f>VLOOKUP(B69,Přehled!$A$3:$B$15,2,FALSE)</f>
        <v>50</v>
      </c>
      <c r="D69" s="78"/>
      <c r="E69" s="78"/>
      <c r="F69" s="78"/>
      <c r="G69" s="78"/>
      <c r="H69" s="86">
        <f t="shared" si="8"/>
        <v>0</v>
      </c>
      <c r="I69" s="87">
        <f t="shared" si="9"/>
        <v>0</v>
      </c>
      <c r="J69" s="83"/>
      <c r="K69" s="82"/>
      <c r="L69" s="82"/>
      <c r="M69" s="87">
        <f>-I69</f>
        <v>0</v>
      </c>
      <c r="N69" s="83"/>
      <c r="O69" s="84"/>
      <c r="P69" s="83"/>
      <c r="Q69" s="82"/>
      <c r="R69" s="82"/>
      <c r="S69" s="82"/>
      <c r="T69" s="82"/>
      <c r="U69" s="82"/>
      <c r="V69" s="82"/>
      <c r="W69" s="86">
        <f>-$H69</f>
        <v>0</v>
      </c>
      <c r="X69" s="84"/>
    </row>
    <row r="70" spans="2:24" x14ac:dyDescent="0.25">
      <c r="B70" s="83" t="s">
        <v>185</v>
      </c>
      <c r="C70" s="85">
        <f>VLOOKUP(B70,Přehled!$A$3:$B$15,2,FALSE)</f>
        <v>50</v>
      </c>
      <c r="D70" s="78"/>
      <c r="E70" s="78"/>
      <c r="F70" s="78"/>
      <c r="G70" s="78"/>
      <c r="H70" s="86">
        <f t="shared" si="8"/>
        <v>0</v>
      </c>
      <c r="I70" s="87">
        <f t="shared" si="9"/>
        <v>0</v>
      </c>
      <c r="J70" s="83"/>
      <c r="K70" s="82"/>
      <c r="L70" s="82"/>
      <c r="M70" s="87">
        <f>-I70</f>
        <v>0</v>
      </c>
      <c r="N70" s="83"/>
      <c r="O70" s="84"/>
      <c r="P70" s="83"/>
      <c r="Q70" s="82"/>
      <c r="R70" s="82"/>
      <c r="S70" s="82"/>
      <c r="T70" s="82"/>
      <c r="U70" s="82"/>
      <c r="V70" s="82"/>
      <c r="W70" s="82"/>
      <c r="X70" s="87">
        <f>-$H70</f>
        <v>0</v>
      </c>
    </row>
    <row r="71" spans="2:24" x14ac:dyDescent="0.25">
      <c r="B71" s="83"/>
      <c r="C71" s="85"/>
      <c r="D71" s="78"/>
      <c r="E71" s="78"/>
      <c r="F71" s="78"/>
      <c r="G71" s="78"/>
      <c r="H71" s="86">
        <f t="shared" si="8"/>
        <v>0</v>
      </c>
      <c r="I71" s="87">
        <f t="shared" si="9"/>
        <v>0</v>
      </c>
      <c r="J71" s="83"/>
      <c r="K71" s="82"/>
      <c r="L71" s="82"/>
      <c r="M71" s="84"/>
      <c r="N71" s="83"/>
      <c r="O71" s="84"/>
      <c r="P71" s="83"/>
      <c r="Q71" s="82"/>
      <c r="R71" s="82"/>
      <c r="S71" s="82"/>
      <c r="T71" s="82"/>
      <c r="U71" s="82"/>
      <c r="V71" s="82"/>
      <c r="W71" s="82"/>
      <c r="X71" s="84"/>
    </row>
    <row r="72" spans="2:24" x14ac:dyDescent="0.25">
      <c r="B72" s="83"/>
      <c r="C72" s="85"/>
      <c r="D72" s="78"/>
      <c r="E72" s="78"/>
      <c r="F72" s="78"/>
      <c r="G72" s="78"/>
      <c r="H72" s="86">
        <f t="shared" si="8"/>
        <v>0</v>
      </c>
      <c r="I72" s="87">
        <f t="shared" si="9"/>
        <v>0</v>
      </c>
      <c r="J72" s="83"/>
      <c r="K72" s="82"/>
      <c r="L72" s="82"/>
      <c r="M72" s="84"/>
      <c r="N72" s="83"/>
      <c r="O72" s="84"/>
      <c r="P72" s="83"/>
      <c r="Q72" s="82"/>
      <c r="R72" s="82"/>
      <c r="S72" s="82"/>
      <c r="T72" s="82"/>
      <c r="U72" s="82"/>
      <c r="V72" s="82"/>
      <c r="W72" s="82"/>
      <c r="X72" s="84"/>
    </row>
    <row r="73" spans="2:24" ht="15.75" thickBot="1" x14ac:dyDescent="0.3">
      <c r="B73" s="88" t="s">
        <v>201</v>
      </c>
      <c r="C73" s="94">
        <v>44471</v>
      </c>
      <c r="D73" s="89"/>
      <c r="E73" s="89" t="s">
        <v>202</v>
      </c>
      <c r="F73" s="94">
        <v>44477</v>
      </c>
      <c r="G73" s="89"/>
      <c r="H73" s="89" t="s">
        <v>17</v>
      </c>
      <c r="I73" s="90">
        <f>SUM(I61:I72)</f>
        <v>70</v>
      </c>
      <c r="J73" s="88"/>
      <c r="K73" s="89"/>
      <c r="L73" s="89"/>
      <c r="M73" s="92"/>
      <c r="N73" s="88"/>
      <c r="O73" s="90">
        <f>I73</f>
        <v>70</v>
      </c>
      <c r="P73" s="88"/>
      <c r="Q73" s="89"/>
      <c r="R73" s="89"/>
      <c r="S73" s="89"/>
      <c r="T73" s="89"/>
      <c r="U73" s="89"/>
      <c r="V73" s="89"/>
      <c r="W73" s="89"/>
      <c r="X73" s="92"/>
    </row>
    <row r="75" spans="2:24" ht="15.75" thickBot="1" x14ac:dyDescent="0.3">
      <c r="B75" s="89" t="s">
        <v>210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</row>
    <row r="76" spans="2:24" x14ac:dyDescent="0.25">
      <c r="B76" s="93" t="s">
        <v>211</v>
      </c>
      <c r="C76" s="80"/>
      <c r="D76" s="80" t="s">
        <v>187</v>
      </c>
      <c r="E76" s="186" t="s">
        <v>212</v>
      </c>
      <c r="F76" s="187"/>
      <c r="G76" s="80" t="s">
        <v>191</v>
      </c>
      <c r="H76" s="186" t="s">
        <v>213</v>
      </c>
      <c r="I76" s="188"/>
      <c r="J76" s="79"/>
      <c r="K76" s="80"/>
      <c r="L76" s="80"/>
      <c r="M76" s="81"/>
      <c r="N76" s="79"/>
      <c r="O76" s="81"/>
      <c r="P76" s="79"/>
      <c r="Q76" s="80"/>
      <c r="R76" s="80"/>
      <c r="S76" s="80"/>
      <c r="T76" s="80"/>
      <c r="U76" s="80"/>
      <c r="V76" s="80"/>
      <c r="W76" s="80"/>
      <c r="X76" s="81"/>
    </row>
    <row r="77" spans="2:24" x14ac:dyDescent="0.25">
      <c r="B77" s="83"/>
      <c r="C77" s="82"/>
      <c r="D77" s="82"/>
      <c r="E77" s="82"/>
      <c r="F77" s="82"/>
      <c r="G77" s="82"/>
      <c r="H77" s="82"/>
      <c r="I77" s="84"/>
      <c r="J77" s="83"/>
      <c r="K77" s="82"/>
      <c r="L77" s="82"/>
      <c r="M77" s="84"/>
      <c r="N77" s="83"/>
      <c r="O77" s="84"/>
      <c r="P77" s="83"/>
      <c r="Q77" s="82"/>
      <c r="R77" s="82"/>
      <c r="S77" s="82"/>
      <c r="T77" s="82"/>
      <c r="U77" s="82"/>
      <c r="V77" s="82"/>
      <c r="W77" s="82"/>
      <c r="X77" s="84"/>
    </row>
    <row r="78" spans="2:24" x14ac:dyDescent="0.25">
      <c r="B78" s="83" t="s">
        <v>189</v>
      </c>
      <c r="C78" s="82" t="s">
        <v>173</v>
      </c>
      <c r="D78" s="82" t="s">
        <v>12</v>
      </c>
      <c r="E78" s="82" t="s">
        <v>10</v>
      </c>
      <c r="F78" s="82" t="s">
        <v>16</v>
      </c>
      <c r="G78" s="82" t="s">
        <v>11</v>
      </c>
      <c r="H78" s="82" t="s">
        <v>188</v>
      </c>
      <c r="I78" s="84" t="s">
        <v>190</v>
      </c>
      <c r="J78" s="83"/>
      <c r="K78" s="82"/>
      <c r="L78" s="82"/>
      <c r="M78" s="84"/>
      <c r="N78" s="83"/>
      <c r="O78" s="84"/>
      <c r="P78" s="83"/>
      <c r="Q78" s="82"/>
      <c r="R78" s="82"/>
      <c r="S78" s="82"/>
      <c r="T78" s="82"/>
      <c r="U78" s="82"/>
      <c r="V78" s="82"/>
      <c r="W78" s="82"/>
      <c r="X78" s="84"/>
    </row>
    <row r="79" spans="2:24" x14ac:dyDescent="0.25">
      <c r="B79" s="83" t="s">
        <v>183</v>
      </c>
      <c r="C79" s="85"/>
      <c r="D79" s="78">
        <v>15000</v>
      </c>
      <c r="E79" s="78"/>
      <c r="F79" s="78"/>
      <c r="G79" s="78">
        <v>18000</v>
      </c>
      <c r="H79" s="86">
        <f>G79+F79-E79-D79</f>
        <v>3000</v>
      </c>
      <c r="I79" s="87">
        <f>H79</f>
        <v>3000</v>
      </c>
      <c r="J79" s="83"/>
      <c r="K79" s="82"/>
      <c r="L79" s="82"/>
      <c r="M79" s="84"/>
      <c r="N79" s="91">
        <f>I79</f>
        <v>3000</v>
      </c>
      <c r="O79" s="84"/>
      <c r="P79" s="83"/>
      <c r="Q79" s="82"/>
      <c r="R79" s="82"/>
      <c r="S79" s="82"/>
      <c r="T79" s="82"/>
      <c r="U79" s="82"/>
      <c r="V79" s="82"/>
      <c r="W79" s="82"/>
      <c r="X79" s="84"/>
    </row>
    <row r="80" spans="2:24" x14ac:dyDescent="0.25">
      <c r="B80" s="83" t="s">
        <v>19</v>
      </c>
      <c r="C80" s="85">
        <f>VLOOKUP(B80,Přehled!$A$3:$B$15,2,FALSE)</f>
        <v>150</v>
      </c>
      <c r="D80" s="78">
        <v>0</v>
      </c>
      <c r="E80" s="78"/>
      <c r="F80" s="78"/>
      <c r="G80" s="78"/>
      <c r="H80" s="86">
        <f>G80+F80-E80-D80</f>
        <v>0</v>
      </c>
      <c r="I80" s="87">
        <f>H80*C80</f>
        <v>0</v>
      </c>
      <c r="J80" s="91">
        <f>-I80</f>
        <v>0</v>
      </c>
      <c r="K80" s="82"/>
      <c r="L80" s="82"/>
      <c r="M80" s="84"/>
      <c r="N80" s="83"/>
      <c r="O80" s="84"/>
      <c r="P80" s="91">
        <f>-$H80</f>
        <v>0</v>
      </c>
      <c r="Q80" s="82"/>
      <c r="R80" s="82"/>
      <c r="S80" s="82"/>
      <c r="T80" s="82"/>
      <c r="U80" s="82"/>
      <c r="V80" s="82"/>
      <c r="W80" s="82"/>
      <c r="X80" s="84"/>
    </row>
    <row r="81" spans="2:24" x14ac:dyDescent="0.25">
      <c r="B81" s="83" t="s">
        <v>35</v>
      </c>
      <c r="C81" s="85">
        <f>VLOOKUP(B81,Přehled!$A$3:$B$15,2,FALSE)</f>
        <v>150</v>
      </c>
      <c r="D81" s="78">
        <v>0</v>
      </c>
      <c r="E81" s="78"/>
      <c r="F81" s="78"/>
      <c r="G81" s="78"/>
      <c r="H81" s="86">
        <f>G81+F81-E81-D81-H80</f>
        <v>0</v>
      </c>
      <c r="I81" s="87">
        <f>H81*C81</f>
        <v>0</v>
      </c>
      <c r="J81" s="83"/>
      <c r="K81" s="86">
        <f>-I81</f>
        <v>0</v>
      </c>
      <c r="L81" s="82"/>
      <c r="M81" s="84"/>
      <c r="N81" s="83"/>
      <c r="O81" s="84"/>
      <c r="P81" s="83"/>
      <c r="Q81" s="86">
        <f>-$H81</f>
        <v>0</v>
      </c>
      <c r="R81" s="82"/>
      <c r="S81" s="82"/>
      <c r="T81" s="82"/>
      <c r="U81" s="82"/>
      <c r="V81" s="82"/>
      <c r="W81" s="82"/>
      <c r="X81" s="84"/>
    </row>
    <row r="82" spans="2:24" x14ac:dyDescent="0.25">
      <c r="B82" s="83" t="s">
        <v>36</v>
      </c>
      <c r="C82" s="85">
        <f>VLOOKUP(B82,Přehled!$A$3:$B$15,2,FALSE)</f>
        <v>100</v>
      </c>
      <c r="D82" s="78">
        <v>0</v>
      </c>
      <c r="E82" s="78"/>
      <c r="F82" s="78"/>
      <c r="G82" s="78"/>
      <c r="H82" s="86">
        <f>G82+F82-E82-D82</f>
        <v>0</v>
      </c>
      <c r="I82" s="87">
        <f>H82*C82</f>
        <v>0</v>
      </c>
      <c r="J82" s="83"/>
      <c r="K82" s="86">
        <f>-I82</f>
        <v>0</v>
      </c>
      <c r="L82" s="82"/>
      <c r="M82" s="84"/>
      <c r="N82" s="83"/>
      <c r="O82" s="84"/>
      <c r="P82" s="83"/>
      <c r="Q82" s="82"/>
      <c r="R82" s="86">
        <f>-$H82</f>
        <v>0</v>
      </c>
      <c r="S82" s="82"/>
      <c r="T82" s="82"/>
      <c r="U82" s="82"/>
      <c r="V82" s="82"/>
      <c r="W82" s="82"/>
      <c r="X82" s="84"/>
    </row>
    <row r="83" spans="2:24" x14ac:dyDescent="0.25">
      <c r="B83" s="83" t="s">
        <v>37</v>
      </c>
      <c r="C83" s="85">
        <f>VLOOKUP(B83,Přehled!$A$3:$B$15,2,FALSE)</f>
        <v>120</v>
      </c>
      <c r="D83" s="78"/>
      <c r="E83" s="78"/>
      <c r="F83" s="78"/>
      <c r="G83" s="78"/>
      <c r="H83" s="86">
        <f t="shared" ref="H83:H90" si="10">G83+F83-E83-D83</f>
        <v>0</v>
      </c>
      <c r="I83" s="87">
        <f t="shared" ref="I83:I90" si="11">H83*C83</f>
        <v>0</v>
      </c>
      <c r="J83" s="83"/>
      <c r="K83" s="86">
        <f>-I83</f>
        <v>0</v>
      </c>
      <c r="L83" s="82"/>
      <c r="M83" s="84"/>
      <c r="N83" s="83"/>
      <c r="O83" s="84"/>
      <c r="P83" s="83"/>
      <c r="Q83" s="82"/>
      <c r="R83" s="82"/>
      <c r="S83" s="86">
        <f>-$H83</f>
        <v>0</v>
      </c>
      <c r="T83" s="82"/>
      <c r="U83" s="82"/>
      <c r="V83" s="82"/>
      <c r="W83" s="82"/>
      <c r="X83" s="84"/>
    </row>
    <row r="84" spans="2:24" x14ac:dyDescent="0.25">
      <c r="B84" s="83" t="s">
        <v>32</v>
      </c>
      <c r="C84" s="85">
        <f>VLOOKUP(B84,Přehled!$A$3:$B$15,2,FALSE)</f>
        <v>200</v>
      </c>
      <c r="D84" s="78"/>
      <c r="E84" s="78"/>
      <c r="F84" s="78"/>
      <c r="G84" s="78"/>
      <c r="H84" s="86">
        <f t="shared" si="10"/>
        <v>0</v>
      </c>
      <c r="I84" s="87">
        <f t="shared" si="11"/>
        <v>0</v>
      </c>
      <c r="J84" s="83"/>
      <c r="K84" s="82"/>
      <c r="L84" s="86">
        <f>-I84</f>
        <v>0</v>
      </c>
      <c r="M84" s="84"/>
      <c r="N84" s="83"/>
      <c r="O84" s="84"/>
      <c r="P84" s="83"/>
      <c r="Q84" s="82"/>
      <c r="R84" s="82"/>
      <c r="S84" s="82"/>
      <c r="T84" s="86">
        <f>-$H84</f>
        <v>0</v>
      </c>
      <c r="U84" s="82"/>
      <c r="V84" s="82"/>
      <c r="W84" s="82"/>
      <c r="X84" s="84"/>
    </row>
    <row r="85" spans="2:24" x14ac:dyDescent="0.25">
      <c r="B85" s="83" t="s">
        <v>33</v>
      </c>
      <c r="C85" s="85">
        <f>VLOOKUP(B85,Přehled!$A$3:$B$15,2,FALSE)</f>
        <v>150</v>
      </c>
      <c r="D85" s="78"/>
      <c r="E85" s="78"/>
      <c r="F85" s="78"/>
      <c r="G85" s="78"/>
      <c r="H85" s="86">
        <f t="shared" si="10"/>
        <v>0</v>
      </c>
      <c r="I85" s="87">
        <f t="shared" si="11"/>
        <v>0</v>
      </c>
      <c r="J85" s="83"/>
      <c r="K85" s="82"/>
      <c r="L85" s="86">
        <f>-I85</f>
        <v>0</v>
      </c>
      <c r="M85" s="84"/>
      <c r="N85" s="83"/>
      <c r="O85" s="84"/>
      <c r="P85" s="83"/>
      <c r="Q85" s="82"/>
      <c r="R85" s="82"/>
      <c r="S85" s="82"/>
      <c r="T85" s="82"/>
      <c r="U85" s="86">
        <f>-$H85</f>
        <v>0</v>
      </c>
      <c r="V85" s="82"/>
      <c r="W85" s="82"/>
      <c r="X85" s="84"/>
    </row>
    <row r="86" spans="2:24" x14ac:dyDescent="0.25">
      <c r="B86" s="83" t="s">
        <v>34</v>
      </c>
      <c r="C86" s="85">
        <f>VLOOKUP(B86,Přehled!$A$3:$B$15,2,FALSE)</f>
        <v>150</v>
      </c>
      <c r="D86" s="78"/>
      <c r="E86" s="78"/>
      <c r="F86" s="78"/>
      <c r="G86" s="78"/>
      <c r="H86" s="86">
        <f t="shared" si="10"/>
        <v>0</v>
      </c>
      <c r="I86" s="87">
        <f t="shared" si="11"/>
        <v>0</v>
      </c>
      <c r="J86" s="83"/>
      <c r="K86" s="82"/>
      <c r="L86" s="86">
        <f>-I86</f>
        <v>0</v>
      </c>
      <c r="M86" s="84"/>
      <c r="N86" s="83"/>
      <c r="O86" s="84"/>
      <c r="P86" s="83"/>
      <c r="Q86" s="82"/>
      <c r="R86" s="82"/>
      <c r="S86" s="82"/>
      <c r="T86" s="82"/>
      <c r="U86" s="82"/>
      <c r="V86" s="86">
        <f>-$H86</f>
        <v>0</v>
      </c>
      <c r="W86" s="82"/>
      <c r="X86" s="84"/>
    </row>
    <row r="87" spans="2:24" x14ac:dyDescent="0.25">
      <c r="B87" s="83" t="s">
        <v>220</v>
      </c>
      <c r="C87" s="85">
        <f>VLOOKUP(B87,Přehled!$A$3:$B$15,2,FALSE)</f>
        <v>50</v>
      </c>
      <c r="D87" s="78">
        <v>250</v>
      </c>
      <c r="E87" s="78"/>
      <c r="F87" s="78"/>
      <c r="G87" s="78">
        <v>85</v>
      </c>
      <c r="H87" s="86">
        <f t="shared" si="10"/>
        <v>-165</v>
      </c>
      <c r="I87" s="87">
        <f t="shared" si="11"/>
        <v>-8250</v>
      </c>
      <c r="J87" s="83"/>
      <c r="K87" s="82"/>
      <c r="L87" s="82"/>
      <c r="M87" s="87">
        <f>-I87</f>
        <v>8250</v>
      </c>
      <c r="N87" s="83"/>
      <c r="O87" s="84"/>
      <c r="P87" s="83"/>
      <c r="Q87" s="82"/>
      <c r="R87" s="82"/>
      <c r="S87" s="82"/>
      <c r="T87" s="82"/>
      <c r="U87" s="82"/>
      <c r="V87" s="82"/>
      <c r="W87" s="86">
        <f>-$H87</f>
        <v>165</v>
      </c>
      <c r="X87" s="84"/>
    </row>
    <row r="88" spans="2:24" x14ac:dyDescent="0.25">
      <c r="B88" s="83" t="s">
        <v>219</v>
      </c>
      <c r="C88" s="85">
        <f>VLOOKUP(B88,Přehled!$A$3:$B$15,2,FALSE)</f>
        <v>50</v>
      </c>
      <c r="D88" s="78">
        <v>0</v>
      </c>
      <c r="E88" s="78"/>
      <c r="F88" s="78"/>
      <c r="G88" s="78">
        <v>82</v>
      </c>
      <c r="H88" s="86">
        <f t="shared" si="10"/>
        <v>82</v>
      </c>
      <c r="I88" s="87">
        <f t="shared" si="11"/>
        <v>4100</v>
      </c>
      <c r="J88" s="83"/>
      <c r="K88" s="82"/>
      <c r="L88" s="82"/>
      <c r="M88" s="87">
        <f>-I88</f>
        <v>-4100</v>
      </c>
      <c r="N88" s="83"/>
      <c r="O88" s="84"/>
      <c r="P88" s="83"/>
      <c r="Q88" s="82"/>
      <c r="R88" s="82"/>
      <c r="S88" s="82"/>
      <c r="T88" s="82"/>
      <c r="U88" s="82"/>
      <c r="V88" s="82"/>
      <c r="W88" s="86">
        <f>-$H88</f>
        <v>-82</v>
      </c>
      <c r="X88" s="87"/>
    </row>
    <row r="89" spans="2:24" x14ac:dyDescent="0.25">
      <c r="B89" s="83" t="s">
        <v>185</v>
      </c>
      <c r="C89" s="85">
        <f>VLOOKUP(B89,Přehled!$A$3:$B$15,2,FALSE)</f>
        <v>50</v>
      </c>
      <c r="D89" s="78">
        <v>0</v>
      </c>
      <c r="E89" s="78"/>
      <c r="F89" s="78"/>
      <c r="G89" s="78">
        <v>23</v>
      </c>
      <c r="H89" s="86">
        <f t="shared" si="10"/>
        <v>23</v>
      </c>
      <c r="I89" s="87">
        <f t="shared" si="11"/>
        <v>1150</v>
      </c>
      <c r="J89" s="83"/>
      <c r="K89" s="82"/>
      <c r="L89" s="82"/>
      <c r="M89" s="87">
        <f>-I89</f>
        <v>-1150</v>
      </c>
      <c r="N89" s="83"/>
      <c r="O89" s="84"/>
      <c r="P89" s="83"/>
      <c r="Q89" s="82"/>
      <c r="R89" s="82"/>
      <c r="S89" s="82"/>
      <c r="T89" s="82"/>
      <c r="U89" s="82"/>
      <c r="V89" s="82"/>
      <c r="W89" s="82"/>
      <c r="X89" s="87">
        <f>-$H89</f>
        <v>-23</v>
      </c>
    </row>
    <row r="90" spans="2:24" x14ac:dyDescent="0.25">
      <c r="B90" s="83"/>
      <c r="C90" s="85"/>
      <c r="D90" s="78"/>
      <c r="E90" s="78"/>
      <c r="F90" s="78"/>
      <c r="G90" s="78"/>
      <c r="H90" s="86">
        <f t="shared" si="10"/>
        <v>0</v>
      </c>
      <c r="I90" s="87">
        <f t="shared" si="11"/>
        <v>0</v>
      </c>
      <c r="J90" s="83"/>
      <c r="K90" s="82"/>
      <c r="L90" s="82"/>
      <c r="M90" s="84"/>
      <c r="N90" s="83"/>
      <c r="O90" s="84"/>
      <c r="P90" s="83"/>
      <c r="Q90" s="82"/>
      <c r="R90" s="82"/>
      <c r="S90" s="82"/>
      <c r="T90" s="82"/>
      <c r="U90" s="82"/>
      <c r="V90" s="82"/>
      <c r="W90" s="82"/>
      <c r="X90" s="84"/>
    </row>
    <row r="91" spans="2:24" ht="15.75" thickBot="1" x14ac:dyDescent="0.3">
      <c r="B91" s="88" t="s">
        <v>201</v>
      </c>
      <c r="C91" s="94">
        <v>44471</v>
      </c>
      <c r="D91" s="89"/>
      <c r="E91" s="89" t="s">
        <v>202</v>
      </c>
      <c r="F91" s="94">
        <v>44477</v>
      </c>
      <c r="G91" s="89"/>
      <c r="H91" s="89" t="s">
        <v>17</v>
      </c>
      <c r="I91" s="90">
        <f>SUM(I79:I90)</f>
        <v>0</v>
      </c>
      <c r="J91" s="88"/>
      <c r="K91" s="89"/>
      <c r="L91" s="89"/>
      <c r="M91" s="92"/>
      <c r="N91" s="88"/>
      <c r="O91" s="90">
        <f>I91</f>
        <v>0</v>
      </c>
      <c r="P91" s="88"/>
      <c r="Q91" s="89"/>
      <c r="R91" s="89"/>
      <c r="S91" s="89"/>
      <c r="T91" s="89"/>
      <c r="U91" s="89"/>
      <c r="V91" s="89"/>
      <c r="W91" s="89"/>
      <c r="X91" s="92"/>
    </row>
    <row r="93" spans="2:24" ht="15.75" thickBot="1" x14ac:dyDescent="0.3">
      <c r="B93" s="89" t="s">
        <v>215</v>
      </c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</row>
    <row r="94" spans="2:24" x14ac:dyDescent="0.25">
      <c r="B94" s="93" t="s">
        <v>218</v>
      </c>
      <c r="C94" s="80"/>
      <c r="D94" s="80" t="s">
        <v>187</v>
      </c>
      <c r="E94" s="186" t="s">
        <v>45</v>
      </c>
      <c r="F94" s="187"/>
      <c r="G94" s="80" t="s">
        <v>191</v>
      </c>
      <c r="H94" s="186" t="s">
        <v>207</v>
      </c>
      <c r="I94" s="188"/>
      <c r="J94" s="79"/>
      <c r="K94" s="80"/>
      <c r="L94" s="80"/>
      <c r="M94" s="81"/>
      <c r="N94" s="79"/>
      <c r="O94" s="81"/>
      <c r="P94" s="79"/>
      <c r="Q94" s="80"/>
      <c r="R94" s="80"/>
      <c r="S94" s="80"/>
      <c r="T94" s="80"/>
      <c r="U94" s="80"/>
      <c r="V94" s="80"/>
      <c r="W94" s="80"/>
      <c r="X94" s="81"/>
    </row>
    <row r="95" spans="2:24" x14ac:dyDescent="0.25">
      <c r="B95" s="83"/>
      <c r="C95" s="82"/>
      <c r="D95" s="82"/>
      <c r="E95" s="82"/>
      <c r="F95" s="82"/>
      <c r="G95" s="82"/>
      <c r="H95" s="82"/>
      <c r="I95" s="84"/>
      <c r="J95" s="83"/>
      <c r="K95" s="82"/>
      <c r="L95" s="82"/>
      <c r="M95" s="84"/>
      <c r="N95" s="83"/>
      <c r="O95" s="84"/>
      <c r="P95" s="83"/>
      <c r="Q95" s="82"/>
      <c r="R95" s="82"/>
      <c r="S95" s="82"/>
      <c r="T95" s="82"/>
      <c r="U95" s="82"/>
      <c r="V95" s="82"/>
      <c r="W95" s="82"/>
      <c r="X95" s="84"/>
    </row>
    <row r="96" spans="2:24" x14ac:dyDescent="0.25">
      <c r="B96" s="83" t="s">
        <v>189</v>
      </c>
      <c r="C96" s="82" t="s">
        <v>173</v>
      </c>
      <c r="D96" s="82" t="s">
        <v>12</v>
      </c>
      <c r="E96" s="82" t="s">
        <v>10</v>
      </c>
      <c r="F96" s="82" t="s">
        <v>16</v>
      </c>
      <c r="G96" s="82" t="s">
        <v>11</v>
      </c>
      <c r="H96" s="82" t="s">
        <v>188</v>
      </c>
      <c r="I96" s="84" t="s">
        <v>190</v>
      </c>
      <c r="J96" s="83"/>
      <c r="K96" s="82"/>
      <c r="L96" s="82"/>
      <c r="M96" s="84"/>
      <c r="N96" s="83"/>
      <c r="O96" s="84"/>
      <c r="P96" s="83"/>
      <c r="Q96" s="82"/>
      <c r="R96" s="82"/>
      <c r="S96" s="82"/>
      <c r="T96" s="82"/>
      <c r="U96" s="82"/>
      <c r="V96" s="82"/>
      <c r="W96" s="82"/>
      <c r="X96" s="84"/>
    </row>
    <row r="97" spans="2:24" x14ac:dyDescent="0.25">
      <c r="B97" s="83" t="s">
        <v>183</v>
      </c>
      <c r="C97" s="85"/>
      <c r="D97" s="78">
        <v>5000</v>
      </c>
      <c r="E97" s="78"/>
      <c r="F97" s="78"/>
      <c r="G97" s="78">
        <v>5000</v>
      </c>
      <c r="H97" s="86">
        <f>G97+F97-E97-D97</f>
        <v>0</v>
      </c>
      <c r="I97" s="87">
        <f>H97</f>
        <v>0</v>
      </c>
      <c r="J97" s="83"/>
      <c r="K97" s="82"/>
      <c r="L97" s="82"/>
      <c r="M97" s="84"/>
      <c r="N97" s="91">
        <f>I97</f>
        <v>0</v>
      </c>
      <c r="O97" s="84"/>
      <c r="P97" s="83"/>
      <c r="Q97" s="82"/>
      <c r="R97" s="82"/>
      <c r="S97" s="82"/>
      <c r="T97" s="82"/>
      <c r="U97" s="82"/>
      <c r="V97" s="82"/>
      <c r="W97" s="82"/>
      <c r="X97" s="84"/>
    </row>
    <row r="98" spans="2:24" x14ac:dyDescent="0.25">
      <c r="B98" s="83" t="s">
        <v>19</v>
      </c>
      <c r="C98" s="85">
        <f>VLOOKUP(B98,Přehled!$A$3:$B$15,2,FALSE)</f>
        <v>150</v>
      </c>
      <c r="D98" s="78"/>
      <c r="E98" s="78"/>
      <c r="F98" s="78"/>
      <c r="G98" s="78"/>
      <c r="H98" s="86">
        <f>G98+F98-E98-D98</f>
        <v>0</v>
      </c>
      <c r="I98" s="87">
        <f>H98*C98</f>
        <v>0</v>
      </c>
      <c r="J98" s="91">
        <f>-I98</f>
        <v>0</v>
      </c>
      <c r="K98" s="82"/>
      <c r="L98" s="82"/>
      <c r="M98" s="84"/>
      <c r="N98" s="83"/>
      <c r="O98" s="84"/>
      <c r="P98" s="91">
        <f>-$H98</f>
        <v>0</v>
      </c>
      <c r="Q98" s="82"/>
      <c r="R98" s="82"/>
      <c r="S98" s="82"/>
      <c r="T98" s="82"/>
      <c r="U98" s="82"/>
      <c r="V98" s="82"/>
      <c r="W98" s="82"/>
      <c r="X98" s="84"/>
    </row>
    <row r="99" spans="2:24" x14ac:dyDescent="0.25">
      <c r="B99" s="83" t="s">
        <v>35</v>
      </c>
      <c r="C99" s="85">
        <f>VLOOKUP(B99,Přehled!$A$3:$B$15,2,FALSE)</f>
        <v>150</v>
      </c>
      <c r="D99" s="78"/>
      <c r="E99" s="78"/>
      <c r="F99" s="78"/>
      <c r="G99" s="78"/>
      <c r="H99" s="86">
        <f>G99+F99-E99-D99-H98</f>
        <v>0</v>
      </c>
      <c r="I99" s="87">
        <f>H99*C99</f>
        <v>0</v>
      </c>
      <c r="J99" s="83"/>
      <c r="K99" s="86">
        <f>-I99</f>
        <v>0</v>
      </c>
      <c r="L99" s="82"/>
      <c r="M99" s="84"/>
      <c r="N99" s="83"/>
      <c r="O99" s="84"/>
      <c r="P99" s="83"/>
      <c r="Q99" s="86">
        <f>-$H99</f>
        <v>0</v>
      </c>
      <c r="R99" s="82"/>
      <c r="S99" s="82"/>
      <c r="T99" s="82"/>
      <c r="U99" s="82"/>
      <c r="V99" s="82"/>
      <c r="W99" s="82"/>
      <c r="X99" s="84"/>
    </row>
    <row r="100" spans="2:24" x14ac:dyDescent="0.25">
      <c r="B100" s="83" t="s">
        <v>36</v>
      </c>
      <c r="C100" s="85">
        <f>VLOOKUP(B100,Přehled!$A$3:$B$15,2,FALSE)</f>
        <v>100</v>
      </c>
      <c r="D100" s="78"/>
      <c r="E100" s="78"/>
      <c r="F100" s="78"/>
      <c r="G100" s="78"/>
      <c r="H100" s="86">
        <f>G100+F100-E100-D100</f>
        <v>0</v>
      </c>
      <c r="I100" s="87">
        <f>H100*C100</f>
        <v>0</v>
      </c>
      <c r="J100" s="83"/>
      <c r="K100" s="86">
        <f>-I100</f>
        <v>0</v>
      </c>
      <c r="L100" s="82"/>
      <c r="M100" s="84"/>
      <c r="N100" s="83"/>
      <c r="O100" s="84"/>
      <c r="P100" s="83"/>
      <c r="Q100" s="82"/>
      <c r="R100" s="86">
        <f>-$H100</f>
        <v>0</v>
      </c>
      <c r="S100" s="82"/>
      <c r="T100" s="82"/>
      <c r="U100" s="82"/>
      <c r="V100" s="82"/>
      <c r="W100" s="82"/>
      <c r="X100" s="84"/>
    </row>
    <row r="101" spans="2:24" x14ac:dyDescent="0.25">
      <c r="B101" s="83" t="s">
        <v>37</v>
      </c>
      <c r="C101" s="85">
        <f>VLOOKUP(B101,Přehled!$A$3:$B$15,2,FALSE)</f>
        <v>120</v>
      </c>
      <c r="D101" s="78"/>
      <c r="E101" s="78"/>
      <c r="F101" s="78"/>
      <c r="G101" s="78"/>
      <c r="H101" s="86">
        <f t="shared" ref="H101:H108" si="12">G101+F101-E101-D101</f>
        <v>0</v>
      </c>
      <c r="I101" s="87">
        <f t="shared" ref="I101:I108" si="13">H101*C101</f>
        <v>0</v>
      </c>
      <c r="J101" s="83"/>
      <c r="K101" s="86">
        <f>-I101</f>
        <v>0</v>
      </c>
      <c r="L101" s="82"/>
      <c r="M101" s="84"/>
      <c r="N101" s="83"/>
      <c r="O101" s="84"/>
      <c r="P101" s="83"/>
      <c r="Q101" s="82"/>
      <c r="R101" s="82"/>
      <c r="S101" s="86">
        <f>-$H101</f>
        <v>0</v>
      </c>
      <c r="T101" s="82"/>
      <c r="U101" s="82"/>
      <c r="V101" s="82"/>
      <c r="W101" s="82"/>
      <c r="X101" s="84"/>
    </row>
    <row r="102" spans="2:24" x14ac:dyDescent="0.25">
      <c r="B102" s="83" t="s">
        <v>32</v>
      </c>
      <c r="C102" s="85">
        <f>VLOOKUP(B102,Přehled!$A$3:$B$15,2,FALSE)</f>
        <v>200</v>
      </c>
      <c r="D102" s="78"/>
      <c r="E102" s="78"/>
      <c r="F102" s="78"/>
      <c r="G102" s="78"/>
      <c r="H102" s="86">
        <f t="shared" si="12"/>
        <v>0</v>
      </c>
      <c r="I102" s="87">
        <f t="shared" si="13"/>
        <v>0</v>
      </c>
      <c r="J102" s="83"/>
      <c r="K102" s="82"/>
      <c r="L102" s="86">
        <f>-I102</f>
        <v>0</v>
      </c>
      <c r="M102" s="84"/>
      <c r="N102" s="83"/>
      <c r="O102" s="84"/>
      <c r="P102" s="83"/>
      <c r="Q102" s="82"/>
      <c r="R102" s="82"/>
      <c r="S102" s="82"/>
      <c r="T102" s="86">
        <f>-$H102</f>
        <v>0</v>
      </c>
      <c r="U102" s="82"/>
      <c r="V102" s="82"/>
      <c r="W102" s="82"/>
      <c r="X102" s="84"/>
    </row>
    <row r="103" spans="2:24" x14ac:dyDescent="0.25">
      <c r="B103" s="83" t="s">
        <v>33</v>
      </c>
      <c r="C103" s="85">
        <f>VLOOKUP(B103,Přehled!$A$3:$B$15,2,FALSE)</f>
        <v>150</v>
      </c>
      <c r="D103" s="78"/>
      <c r="E103" s="78"/>
      <c r="F103" s="78"/>
      <c r="G103" s="78"/>
      <c r="H103" s="86">
        <f t="shared" si="12"/>
        <v>0</v>
      </c>
      <c r="I103" s="87">
        <f t="shared" si="13"/>
        <v>0</v>
      </c>
      <c r="J103" s="83"/>
      <c r="K103" s="82"/>
      <c r="L103" s="86">
        <f>-I103</f>
        <v>0</v>
      </c>
      <c r="M103" s="84"/>
      <c r="N103" s="83"/>
      <c r="O103" s="84"/>
      <c r="P103" s="83"/>
      <c r="Q103" s="82"/>
      <c r="R103" s="82"/>
      <c r="S103" s="82"/>
      <c r="T103" s="82"/>
      <c r="U103" s="86">
        <f>-$H103</f>
        <v>0</v>
      </c>
      <c r="V103" s="82"/>
      <c r="W103" s="82"/>
      <c r="X103" s="84"/>
    </row>
    <row r="104" spans="2:24" x14ac:dyDescent="0.25">
      <c r="B104" s="83" t="s">
        <v>34</v>
      </c>
      <c r="C104" s="85">
        <f>VLOOKUP(B104,Přehled!$A$3:$B$15,2,FALSE)</f>
        <v>150</v>
      </c>
      <c r="D104" s="78"/>
      <c r="E104" s="78"/>
      <c r="F104" s="78"/>
      <c r="G104" s="78"/>
      <c r="H104" s="86">
        <f t="shared" si="12"/>
        <v>0</v>
      </c>
      <c r="I104" s="87">
        <f t="shared" si="13"/>
        <v>0</v>
      </c>
      <c r="J104" s="83"/>
      <c r="K104" s="82"/>
      <c r="L104" s="86">
        <f>-I104</f>
        <v>0</v>
      </c>
      <c r="M104" s="84"/>
      <c r="N104" s="83"/>
      <c r="O104" s="84"/>
      <c r="P104" s="83"/>
      <c r="Q104" s="82"/>
      <c r="R104" s="82"/>
      <c r="S104" s="82"/>
      <c r="T104" s="82"/>
      <c r="U104" s="82"/>
      <c r="V104" s="86">
        <f>-$H104</f>
        <v>0</v>
      </c>
      <c r="W104" s="82"/>
      <c r="X104" s="84"/>
    </row>
    <row r="105" spans="2:24" x14ac:dyDescent="0.25">
      <c r="B105" s="83" t="s">
        <v>184</v>
      </c>
      <c r="C105" s="85">
        <f>VLOOKUP(B105,Přehled!$A$3:$B$15,2,FALSE)</f>
        <v>50</v>
      </c>
      <c r="D105" s="78"/>
      <c r="E105" s="78"/>
      <c r="F105" s="78"/>
      <c r="G105" s="78"/>
      <c r="H105" s="86">
        <f t="shared" si="12"/>
        <v>0</v>
      </c>
      <c r="I105" s="87">
        <f t="shared" si="13"/>
        <v>0</v>
      </c>
      <c r="J105" s="83"/>
      <c r="K105" s="82"/>
      <c r="L105" s="82"/>
      <c r="M105" s="87">
        <f>-I105</f>
        <v>0</v>
      </c>
      <c r="N105" s="83"/>
      <c r="O105" s="84"/>
      <c r="P105" s="83"/>
      <c r="Q105" s="82"/>
      <c r="R105" s="82"/>
      <c r="S105" s="82"/>
      <c r="T105" s="82"/>
      <c r="U105" s="82"/>
      <c r="V105" s="82"/>
      <c r="W105" s="86">
        <f>-$H105</f>
        <v>0</v>
      </c>
      <c r="X105" s="84"/>
    </row>
    <row r="106" spans="2:24" x14ac:dyDescent="0.25">
      <c r="B106" s="83" t="s">
        <v>185</v>
      </c>
      <c r="C106" s="85">
        <f>VLOOKUP(B106,Přehled!$A$3:$B$15,2,FALSE)</f>
        <v>50</v>
      </c>
      <c r="D106" s="78"/>
      <c r="E106" s="78"/>
      <c r="F106" s="78"/>
      <c r="G106" s="78"/>
      <c r="H106" s="86">
        <f t="shared" si="12"/>
        <v>0</v>
      </c>
      <c r="I106" s="87">
        <f t="shared" si="13"/>
        <v>0</v>
      </c>
      <c r="J106" s="83"/>
      <c r="K106" s="82"/>
      <c r="L106" s="82"/>
      <c r="M106" s="87">
        <f>-I106</f>
        <v>0</v>
      </c>
      <c r="N106" s="83"/>
      <c r="O106" s="84"/>
      <c r="P106" s="83"/>
      <c r="Q106" s="82"/>
      <c r="R106" s="82"/>
      <c r="S106" s="82"/>
      <c r="T106" s="82"/>
      <c r="U106" s="82"/>
      <c r="V106" s="82"/>
      <c r="W106" s="82"/>
      <c r="X106" s="87">
        <f>-$H106</f>
        <v>0</v>
      </c>
    </row>
    <row r="107" spans="2:24" x14ac:dyDescent="0.25">
      <c r="B107" s="83"/>
      <c r="C107" s="85"/>
      <c r="D107" s="78"/>
      <c r="E107" s="78"/>
      <c r="F107" s="78"/>
      <c r="G107" s="78"/>
      <c r="H107" s="86">
        <f t="shared" si="12"/>
        <v>0</v>
      </c>
      <c r="I107" s="87">
        <f t="shared" si="13"/>
        <v>0</v>
      </c>
      <c r="J107" s="83"/>
      <c r="K107" s="82"/>
      <c r="L107" s="82"/>
      <c r="M107" s="84"/>
      <c r="N107" s="83"/>
      <c r="O107" s="84"/>
      <c r="P107" s="83"/>
      <c r="Q107" s="82"/>
      <c r="R107" s="82"/>
      <c r="S107" s="82"/>
      <c r="T107" s="82"/>
      <c r="U107" s="82"/>
      <c r="V107" s="82"/>
      <c r="W107" s="82"/>
      <c r="X107" s="84"/>
    </row>
    <row r="108" spans="2:24" x14ac:dyDescent="0.25">
      <c r="B108" s="83"/>
      <c r="C108" s="85"/>
      <c r="D108" s="78"/>
      <c r="E108" s="78"/>
      <c r="F108" s="78"/>
      <c r="G108" s="78"/>
      <c r="H108" s="86">
        <f t="shared" si="12"/>
        <v>0</v>
      </c>
      <c r="I108" s="87">
        <f t="shared" si="13"/>
        <v>0</v>
      </c>
      <c r="J108" s="83"/>
      <c r="K108" s="82"/>
      <c r="L108" s="82"/>
      <c r="M108" s="84"/>
      <c r="N108" s="83"/>
      <c r="O108" s="84"/>
      <c r="P108" s="83"/>
      <c r="Q108" s="82"/>
      <c r="R108" s="82"/>
      <c r="S108" s="82"/>
      <c r="T108" s="82"/>
      <c r="U108" s="82"/>
      <c r="V108" s="82"/>
      <c r="W108" s="82"/>
      <c r="X108" s="84"/>
    </row>
    <row r="109" spans="2:24" ht="15.75" thickBot="1" x14ac:dyDescent="0.3">
      <c r="B109" s="88" t="s">
        <v>201</v>
      </c>
      <c r="C109" s="94">
        <v>44471</v>
      </c>
      <c r="D109" s="89"/>
      <c r="E109" s="89" t="s">
        <v>202</v>
      </c>
      <c r="F109" s="94">
        <v>44477</v>
      </c>
      <c r="G109" s="89"/>
      <c r="H109" s="89" t="s">
        <v>17</v>
      </c>
      <c r="I109" s="90">
        <f>SUM(I97:I108)</f>
        <v>0</v>
      </c>
      <c r="J109" s="88"/>
      <c r="K109" s="89"/>
      <c r="L109" s="89"/>
      <c r="M109" s="92"/>
      <c r="N109" s="88"/>
      <c r="O109" s="90">
        <f>I109</f>
        <v>0</v>
      </c>
      <c r="P109" s="88"/>
      <c r="Q109" s="89"/>
      <c r="R109" s="89"/>
      <c r="S109" s="89"/>
      <c r="T109" s="89"/>
      <c r="U109" s="89"/>
      <c r="V109" s="89"/>
      <c r="W109" s="89"/>
      <c r="X109" s="92"/>
    </row>
    <row r="111" spans="2:24" ht="15.75" thickBot="1" x14ac:dyDescent="0.3">
      <c r="B111" s="89" t="s">
        <v>217</v>
      </c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</row>
    <row r="112" spans="2:24" x14ac:dyDescent="0.25">
      <c r="B112" s="93" t="s">
        <v>216</v>
      </c>
      <c r="C112" s="80"/>
      <c r="D112" s="80" t="s">
        <v>187</v>
      </c>
      <c r="E112" s="186" t="s">
        <v>45</v>
      </c>
      <c r="F112" s="187"/>
      <c r="G112" s="80" t="s">
        <v>191</v>
      </c>
      <c r="H112" s="186" t="s">
        <v>207</v>
      </c>
      <c r="I112" s="188"/>
      <c r="J112" s="79"/>
      <c r="K112" s="80"/>
      <c r="L112" s="80"/>
      <c r="M112" s="81"/>
      <c r="N112" s="79"/>
      <c r="O112" s="81"/>
      <c r="P112" s="79"/>
      <c r="Q112" s="80"/>
      <c r="R112" s="80"/>
      <c r="S112" s="80"/>
      <c r="T112" s="80"/>
      <c r="U112" s="80"/>
      <c r="V112" s="80"/>
      <c r="W112" s="80"/>
      <c r="X112" s="81"/>
    </row>
    <row r="113" spans="2:24" x14ac:dyDescent="0.25">
      <c r="B113" s="83"/>
      <c r="C113" s="82"/>
      <c r="D113" s="82"/>
      <c r="E113" s="82"/>
      <c r="F113" s="82"/>
      <c r="G113" s="82"/>
      <c r="H113" s="82"/>
      <c r="I113" s="84"/>
      <c r="J113" s="83"/>
      <c r="K113" s="82"/>
      <c r="L113" s="82"/>
      <c r="M113" s="84"/>
      <c r="N113" s="83"/>
      <c r="O113" s="84"/>
      <c r="P113" s="83"/>
      <c r="Q113" s="82"/>
      <c r="R113" s="82"/>
      <c r="S113" s="82"/>
      <c r="T113" s="82"/>
      <c r="U113" s="82"/>
      <c r="V113" s="82"/>
      <c r="W113" s="82"/>
      <c r="X113" s="84"/>
    </row>
    <row r="114" spans="2:24" x14ac:dyDescent="0.25">
      <c r="B114" s="83" t="s">
        <v>189</v>
      </c>
      <c r="C114" s="82" t="s">
        <v>173</v>
      </c>
      <c r="D114" s="82" t="s">
        <v>12</v>
      </c>
      <c r="E114" s="82" t="s">
        <v>10</v>
      </c>
      <c r="F114" s="82" t="s">
        <v>16</v>
      </c>
      <c r="G114" s="82" t="s">
        <v>11</v>
      </c>
      <c r="H114" s="82" t="s">
        <v>188</v>
      </c>
      <c r="I114" s="84" t="s">
        <v>190</v>
      </c>
      <c r="J114" s="83"/>
      <c r="K114" s="82"/>
      <c r="L114" s="82"/>
      <c r="M114" s="84"/>
      <c r="N114" s="83"/>
      <c r="O114" s="84"/>
      <c r="P114" s="83"/>
      <c r="Q114" s="82"/>
      <c r="R114" s="82"/>
      <c r="S114" s="82"/>
      <c r="T114" s="82"/>
      <c r="U114" s="82"/>
      <c r="V114" s="82"/>
      <c r="W114" s="82"/>
      <c r="X114" s="84"/>
    </row>
    <row r="115" spans="2:24" x14ac:dyDescent="0.25">
      <c r="B115" s="83" t="s">
        <v>183</v>
      </c>
      <c r="C115" s="85"/>
      <c r="D115" s="78">
        <v>10000</v>
      </c>
      <c r="E115" s="78"/>
      <c r="F115" s="78"/>
      <c r="G115" s="78">
        <v>37697</v>
      </c>
      <c r="H115" s="86">
        <f>G115+F115-E115-D115</f>
        <v>27697</v>
      </c>
      <c r="I115" s="87">
        <f>H115</f>
        <v>27697</v>
      </c>
      <c r="J115" s="83"/>
      <c r="K115" s="82"/>
      <c r="L115" s="82"/>
      <c r="M115" s="84"/>
      <c r="N115" s="91">
        <f>I115</f>
        <v>27697</v>
      </c>
      <c r="O115" s="84"/>
      <c r="P115" s="83"/>
      <c r="Q115" s="82"/>
      <c r="R115" s="82"/>
      <c r="S115" s="82"/>
      <c r="T115" s="82"/>
      <c r="U115" s="82"/>
      <c r="V115" s="82"/>
      <c r="W115" s="82"/>
      <c r="X115" s="84"/>
    </row>
    <row r="116" spans="2:24" x14ac:dyDescent="0.25">
      <c r="B116" s="83" t="s">
        <v>19</v>
      </c>
      <c r="C116" s="85">
        <f>VLOOKUP(B116,Přehled!$A$3:$B$15,2,FALSE)</f>
        <v>150</v>
      </c>
      <c r="D116" s="78">
        <v>0</v>
      </c>
      <c r="E116" s="78"/>
      <c r="F116" s="78"/>
      <c r="G116" s="78"/>
      <c r="H116" s="86">
        <f>G116+F116-E116-D116</f>
        <v>0</v>
      </c>
      <c r="I116" s="87">
        <f>H116*C116</f>
        <v>0</v>
      </c>
      <c r="J116" s="91">
        <f>-I116</f>
        <v>0</v>
      </c>
      <c r="K116" s="82"/>
      <c r="L116" s="82"/>
      <c r="M116" s="84"/>
      <c r="N116" s="83"/>
      <c r="O116" s="84"/>
      <c r="P116" s="91">
        <f>-$H116</f>
        <v>0</v>
      </c>
      <c r="Q116" s="82"/>
      <c r="R116" s="82"/>
      <c r="S116" s="82"/>
      <c r="T116" s="82"/>
      <c r="U116" s="82"/>
      <c r="V116" s="82"/>
      <c r="W116" s="82"/>
      <c r="X116" s="84"/>
    </row>
    <row r="117" spans="2:24" x14ac:dyDescent="0.25">
      <c r="B117" s="83" t="s">
        <v>35</v>
      </c>
      <c r="C117" s="85">
        <f>VLOOKUP(B117,Přehled!$A$3:$B$15,2,FALSE)</f>
        <v>150</v>
      </c>
      <c r="D117" s="78">
        <v>0</v>
      </c>
      <c r="E117" s="78"/>
      <c r="F117" s="78"/>
      <c r="G117" s="78"/>
      <c r="H117" s="86">
        <f>G117+F117-E117-D117-H116</f>
        <v>0</v>
      </c>
      <c r="I117" s="87">
        <f>H117*C117</f>
        <v>0</v>
      </c>
      <c r="J117" s="83"/>
      <c r="K117" s="86">
        <f>-I117</f>
        <v>0</v>
      </c>
      <c r="L117" s="82"/>
      <c r="M117" s="84"/>
      <c r="N117" s="83"/>
      <c r="O117" s="84"/>
      <c r="P117" s="83"/>
      <c r="Q117" s="86">
        <f>-$H117</f>
        <v>0</v>
      </c>
      <c r="R117" s="82"/>
      <c r="S117" s="82"/>
      <c r="T117" s="82"/>
      <c r="U117" s="82"/>
      <c r="V117" s="82"/>
      <c r="W117" s="82"/>
      <c r="X117" s="84"/>
    </row>
    <row r="118" spans="2:24" x14ac:dyDescent="0.25">
      <c r="B118" s="83" t="s">
        <v>36</v>
      </c>
      <c r="C118" s="85">
        <f>VLOOKUP(B118,Přehled!$A$3:$B$15,2,FALSE)</f>
        <v>100</v>
      </c>
      <c r="D118" s="78">
        <v>0</v>
      </c>
      <c r="E118" s="78"/>
      <c r="F118" s="78"/>
      <c r="G118" s="78"/>
      <c r="H118" s="86">
        <f>G118+F118-E118-D118</f>
        <v>0</v>
      </c>
      <c r="I118" s="87">
        <f>H118*C118</f>
        <v>0</v>
      </c>
      <c r="J118" s="83"/>
      <c r="K118" s="86">
        <f>-I118</f>
        <v>0</v>
      </c>
      <c r="L118" s="82"/>
      <c r="M118" s="84"/>
      <c r="N118" s="83"/>
      <c r="O118" s="84"/>
      <c r="P118" s="83"/>
      <c r="Q118" s="82"/>
      <c r="R118" s="86">
        <f>-$H118</f>
        <v>0</v>
      </c>
      <c r="S118" s="82"/>
      <c r="T118" s="82"/>
      <c r="U118" s="82"/>
      <c r="V118" s="82"/>
      <c r="W118" s="82"/>
      <c r="X118" s="84"/>
    </row>
    <row r="119" spans="2:24" x14ac:dyDescent="0.25">
      <c r="B119" s="83" t="s">
        <v>37</v>
      </c>
      <c r="C119" s="85">
        <f>VLOOKUP(B119,Přehled!$A$3:$B$15,2,FALSE)</f>
        <v>120</v>
      </c>
      <c r="D119" s="78">
        <v>400</v>
      </c>
      <c r="E119" s="78"/>
      <c r="F119" s="78">
        <v>16</v>
      </c>
      <c r="G119" s="78">
        <v>246</v>
      </c>
      <c r="H119" s="86">
        <f t="shared" ref="H119:H126" si="14">G119+F119-E119-D119</f>
        <v>-138</v>
      </c>
      <c r="I119" s="87">
        <f t="shared" ref="I119:I126" si="15">H119*C119</f>
        <v>-16560</v>
      </c>
      <c r="J119" s="83"/>
      <c r="K119" s="86">
        <f>-I119</f>
        <v>16560</v>
      </c>
      <c r="L119" s="82"/>
      <c r="M119" s="84"/>
      <c r="N119" s="83"/>
      <c r="O119" s="84"/>
      <c r="P119" s="83"/>
      <c r="Q119" s="82"/>
      <c r="R119" s="82"/>
      <c r="S119" s="86">
        <f>-$H119</f>
        <v>138</v>
      </c>
      <c r="T119" s="82"/>
      <c r="U119" s="82"/>
      <c r="V119" s="82"/>
      <c r="W119" s="82"/>
      <c r="X119" s="84"/>
    </row>
    <row r="120" spans="2:24" x14ac:dyDescent="0.25">
      <c r="B120" s="83" t="s">
        <v>32</v>
      </c>
      <c r="C120" s="85">
        <f>VLOOKUP(B120,Přehled!$A$3:$B$15,2,FALSE)</f>
        <v>200</v>
      </c>
      <c r="D120" s="78">
        <v>0</v>
      </c>
      <c r="E120" s="78"/>
      <c r="F120" s="78"/>
      <c r="G120" s="78"/>
      <c r="H120" s="86">
        <f t="shared" si="14"/>
        <v>0</v>
      </c>
      <c r="I120" s="87">
        <f t="shared" si="15"/>
        <v>0</v>
      </c>
      <c r="J120" s="83"/>
      <c r="K120" s="82"/>
      <c r="L120" s="86">
        <f>-I120</f>
        <v>0</v>
      </c>
      <c r="M120" s="84"/>
      <c r="N120" s="83"/>
      <c r="O120" s="84"/>
      <c r="P120" s="83"/>
      <c r="Q120" s="82"/>
      <c r="R120" s="82"/>
      <c r="S120" s="82"/>
      <c r="T120" s="86">
        <f>-$H120</f>
        <v>0</v>
      </c>
      <c r="U120" s="82"/>
      <c r="V120" s="82"/>
      <c r="W120" s="82"/>
      <c r="X120" s="84"/>
    </row>
    <row r="121" spans="2:24" x14ac:dyDescent="0.25">
      <c r="B121" s="83" t="s">
        <v>33</v>
      </c>
      <c r="C121" s="85">
        <f>VLOOKUP(B121,Přehled!$A$3:$B$15,2,FALSE)</f>
        <v>150</v>
      </c>
      <c r="D121" s="78">
        <v>0</v>
      </c>
      <c r="E121" s="78"/>
      <c r="F121" s="78"/>
      <c r="G121" s="78"/>
      <c r="H121" s="86">
        <f t="shared" si="14"/>
        <v>0</v>
      </c>
      <c r="I121" s="87">
        <f t="shared" si="15"/>
        <v>0</v>
      </c>
      <c r="J121" s="83"/>
      <c r="K121" s="82"/>
      <c r="L121" s="86">
        <f>-I121</f>
        <v>0</v>
      </c>
      <c r="M121" s="84"/>
      <c r="N121" s="83"/>
      <c r="O121" s="84"/>
      <c r="P121" s="83"/>
      <c r="Q121" s="82"/>
      <c r="R121" s="82"/>
      <c r="S121" s="82"/>
      <c r="T121" s="82"/>
      <c r="U121" s="86">
        <f>-$H121</f>
        <v>0</v>
      </c>
      <c r="V121" s="82"/>
      <c r="W121" s="82"/>
      <c r="X121" s="84"/>
    </row>
    <row r="122" spans="2:24" x14ac:dyDescent="0.25">
      <c r="B122" s="83" t="s">
        <v>34</v>
      </c>
      <c r="C122" s="85">
        <f>VLOOKUP(B122,Přehled!$A$3:$B$15,2,FALSE)</f>
        <v>150</v>
      </c>
      <c r="D122" s="78">
        <v>200</v>
      </c>
      <c r="E122" s="78"/>
      <c r="F122" s="78"/>
      <c r="G122" s="78">
        <v>126</v>
      </c>
      <c r="H122" s="86">
        <f t="shared" si="14"/>
        <v>-74</v>
      </c>
      <c r="I122" s="87">
        <f t="shared" si="15"/>
        <v>-11100</v>
      </c>
      <c r="J122" s="83"/>
      <c r="K122" s="82"/>
      <c r="L122" s="86">
        <f>-I122</f>
        <v>11100</v>
      </c>
      <c r="M122" s="84"/>
      <c r="N122" s="83"/>
      <c r="O122" s="84"/>
      <c r="P122" s="83"/>
      <c r="Q122" s="82"/>
      <c r="R122" s="82"/>
      <c r="S122" s="82"/>
      <c r="T122" s="82"/>
      <c r="U122" s="82"/>
      <c r="V122" s="86">
        <f>-$H122</f>
        <v>74</v>
      </c>
      <c r="W122" s="82"/>
      <c r="X122" s="84"/>
    </row>
    <row r="123" spans="2:24" x14ac:dyDescent="0.25">
      <c r="B123" s="83" t="s">
        <v>184</v>
      </c>
      <c r="C123" s="85">
        <f>VLOOKUP(B123,Přehled!$A$3:$B$15,2,FALSE)</f>
        <v>50</v>
      </c>
      <c r="D123" s="78"/>
      <c r="E123" s="78"/>
      <c r="F123" s="78"/>
      <c r="G123" s="78"/>
      <c r="H123" s="86">
        <f t="shared" si="14"/>
        <v>0</v>
      </c>
      <c r="I123" s="87">
        <f t="shared" si="15"/>
        <v>0</v>
      </c>
      <c r="J123" s="83"/>
      <c r="K123" s="82"/>
      <c r="L123" s="82"/>
      <c r="M123" s="87">
        <f>-I123</f>
        <v>0</v>
      </c>
      <c r="N123" s="83"/>
      <c r="O123" s="84"/>
      <c r="P123" s="83"/>
      <c r="Q123" s="82"/>
      <c r="R123" s="82"/>
      <c r="S123" s="82"/>
      <c r="T123" s="82"/>
      <c r="U123" s="82"/>
      <c r="V123" s="82"/>
      <c r="W123" s="86">
        <f>-$H123</f>
        <v>0</v>
      </c>
      <c r="X123" s="84"/>
    </row>
    <row r="124" spans="2:24" x14ac:dyDescent="0.25">
      <c r="B124" s="83" t="s">
        <v>185</v>
      </c>
      <c r="C124" s="85">
        <f>VLOOKUP(B124,Přehled!$A$3:$B$15,2,FALSE)</f>
        <v>50</v>
      </c>
      <c r="D124" s="78"/>
      <c r="E124" s="78"/>
      <c r="F124" s="78"/>
      <c r="G124" s="78"/>
      <c r="H124" s="86">
        <f t="shared" si="14"/>
        <v>0</v>
      </c>
      <c r="I124" s="87">
        <f t="shared" si="15"/>
        <v>0</v>
      </c>
      <c r="J124" s="83"/>
      <c r="K124" s="82"/>
      <c r="L124" s="82"/>
      <c r="M124" s="87">
        <f>-I124</f>
        <v>0</v>
      </c>
      <c r="N124" s="83"/>
      <c r="O124" s="84"/>
      <c r="P124" s="83"/>
      <c r="Q124" s="82"/>
      <c r="R124" s="82"/>
      <c r="S124" s="82"/>
      <c r="T124" s="82"/>
      <c r="U124" s="82"/>
      <c r="V124" s="82"/>
      <c r="W124" s="82"/>
      <c r="X124" s="87">
        <f>-$H124</f>
        <v>0</v>
      </c>
    </row>
    <row r="125" spans="2:24" x14ac:dyDescent="0.25">
      <c r="B125" s="83"/>
      <c r="C125" s="85"/>
      <c r="D125" s="78"/>
      <c r="E125" s="78"/>
      <c r="F125" s="78"/>
      <c r="G125" s="78"/>
      <c r="H125" s="86">
        <f t="shared" si="14"/>
        <v>0</v>
      </c>
      <c r="I125" s="87">
        <f t="shared" si="15"/>
        <v>0</v>
      </c>
      <c r="J125" s="83"/>
      <c r="K125" s="82"/>
      <c r="L125" s="82"/>
      <c r="M125" s="84"/>
      <c r="N125" s="83"/>
      <c r="O125" s="84"/>
      <c r="P125" s="83"/>
      <c r="Q125" s="82"/>
      <c r="R125" s="82"/>
      <c r="S125" s="82"/>
      <c r="T125" s="82"/>
      <c r="U125" s="82"/>
      <c r="V125" s="82"/>
      <c r="W125" s="82"/>
      <c r="X125" s="84"/>
    </row>
    <row r="126" spans="2:24" x14ac:dyDescent="0.25">
      <c r="B126" s="83"/>
      <c r="C126" s="85"/>
      <c r="D126" s="78"/>
      <c r="E126" s="78"/>
      <c r="F126" s="78"/>
      <c r="G126" s="78"/>
      <c r="H126" s="86">
        <f t="shared" si="14"/>
        <v>0</v>
      </c>
      <c r="I126" s="87">
        <f t="shared" si="15"/>
        <v>0</v>
      </c>
      <c r="J126" s="83"/>
      <c r="K126" s="82"/>
      <c r="L126" s="82"/>
      <c r="M126" s="84"/>
      <c r="N126" s="83"/>
      <c r="O126" s="84"/>
      <c r="P126" s="83"/>
      <c r="Q126" s="82"/>
      <c r="R126" s="82"/>
      <c r="S126" s="82"/>
      <c r="T126" s="82"/>
      <c r="U126" s="82"/>
      <c r="V126" s="82"/>
      <c r="W126" s="82"/>
      <c r="X126" s="84"/>
    </row>
    <row r="127" spans="2:24" ht="15.75" thickBot="1" x14ac:dyDescent="0.3">
      <c r="B127" s="88" t="s">
        <v>201</v>
      </c>
      <c r="C127" s="94">
        <v>44471</v>
      </c>
      <c r="D127" s="89"/>
      <c r="E127" s="89" t="s">
        <v>202</v>
      </c>
      <c r="F127" s="94">
        <v>44477</v>
      </c>
      <c r="G127" s="89"/>
      <c r="H127" s="89" t="s">
        <v>17</v>
      </c>
      <c r="I127" s="90">
        <f>SUM(I115:I126)</f>
        <v>37</v>
      </c>
      <c r="J127" s="88"/>
      <c r="K127" s="89"/>
      <c r="L127" s="89"/>
      <c r="M127" s="92"/>
      <c r="N127" s="88"/>
      <c r="O127" s="90">
        <f>I127</f>
        <v>37</v>
      </c>
      <c r="P127" s="88"/>
      <c r="Q127" s="89"/>
      <c r="R127" s="89"/>
      <c r="S127" s="89"/>
      <c r="T127" s="89"/>
      <c r="U127" s="89"/>
      <c r="V127" s="89"/>
      <c r="W127" s="89"/>
      <c r="X127" s="92"/>
    </row>
  </sheetData>
  <mergeCells count="14">
    <mergeCell ref="E112:F112"/>
    <mergeCell ref="H112:I112"/>
    <mergeCell ref="E40:F40"/>
    <mergeCell ref="H40:I40"/>
    <mergeCell ref="E58:F58"/>
    <mergeCell ref="H58:I58"/>
    <mergeCell ref="E76:F76"/>
    <mergeCell ref="H76:I76"/>
    <mergeCell ref="E4:F4"/>
    <mergeCell ref="H4:I4"/>
    <mergeCell ref="E22:F22"/>
    <mergeCell ref="H22:I22"/>
    <mergeCell ref="E94:F94"/>
    <mergeCell ref="H94:I94"/>
  </mergeCell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Příjmy old</vt:lpstr>
      <vt:lpstr>Výdaje old</vt:lpstr>
      <vt:lpstr>Přehled tabulky</vt:lpstr>
      <vt:lpstr>Přehled ZZ</vt:lpstr>
      <vt:lpstr>Přehled</vt:lpstr>
      <vt:lpstr>Výdaje účet</vt:lpstr>
      <vt:lpstr>Výdaje hotově</vt:lpstr>
      <vt:lpstr>Výdaje dotace</vt:lpstr>
      <vt:lpstr>Dotace_formát_smlouva</vt:lpstr>
      <vt:lpstr>Pokladny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Bauer</dc:creator>
  <cp:lastModifiedBy>Bauer Tomáš (EXT)</cp:lastModifiedBy>
  <cp:lastPrinted>2022-11-08T07:23:50Z</cp:lastPrinted>
  <dcterms:created xsi:type="dcterms:W3CDTF">2019-10-08T20:37:44Z</dcterms:created>
  <dcterms:modified xsi:type="dcterms:W3CDTF">2023-02-21T17:19:55Z</dcterms:modified>
</cp:coreProperties>
</file>