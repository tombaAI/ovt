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áklady 2025" sheetId="1" r:id="rId5"/>
    <sheet state="visible" name="G25" sheetId="2" r:id="rId6"/>
    <sheet state="visible" name="Rozpočet 2024" sheetId="3" r:id="rId7"/>
    <sheet state="visible" name="Náklady 2024" sheetId="4" r:id="rId8"/>
    <sheet state="visible" name="Náklady 2023" sheetId="5" r:id="rId9"/>
  </sheets>
  <definedNames>
    <definedName hidden="1" localSheetId="3" name="_xlnm._FilterDatabase">'Náklady 2024'!$A$1:$N$38</definedName>
  </definedNames>
  <calcPr/>
</workbook>
</file>

<file path=xl/sharedStrings.xml><?xml version="1.0" encoding="utf-8"?>
<sst xmlns="http://schemas.openxmlformats.org/spreadsheetml/2006/main" count="643" uniqueCount="298">
  <si>
    <t>co</t>
  </si>
  <si>
    <t>kdo</t>
  </si>
  <si>
    <t>kdy</t>
  </si>
  <si>
    <t>kolik</t>
  </si>
  <si>
    <t>k zaplacení</t>
  </si>
  <si>
    <t>zaplaceno?</t>
  </si>
  <si>
    <t>do vyúčtování</t>
  </si>
  <si>
    <t>doklad?</t>
  </si>
  <si>
    <t>za cesty asi</t>
  </si>
  <si>
    <t>Lukáš Kopřiva</t>
  </si>
  <si>
    <t>ano</t>
  </si>
  <si>
    <t>n</t>
  </si>
  <si>
    <t>ve složce</t>
  </si>
  <si>
    <t>doprava Ham</t>
  </si>
  <si>
    <t>Ešus</t>
  </si>
  <si>
    <t>Jašek</t>
  </si>
  <si>
    <t>Gríša</t>
  </si>
  <si>
    <t>?</t>
  </si>
  <si>
    <t>k tisku a podpisu</t>
  </si>
  <si>
    <t>cesťák</t>
  </si>
  <si>
    <t>ubytování</t>
  </si>
  <si>
    <t>Ratmírov</t>
  </si>
  <si>
    <t>přívěs</t>
  </si>
  <si>
    <t>Milan</t>
  </si>
  <si>
    <t>schody materiál</t>
  </si>
  <si>
    <t>dřevo schody</t>
  </si>
  <si>
    <t>barvy</t>
  </si>
  <si>
    <t>vruty</t>
  </si>
  <si>
    <t>pošta</t>
  </si>
  <si>
    <t>latě</t>
  </si>
  <si>
    <t>Vyúčtování pracovních cest</t>
  </si>
  <si>
    <t>Jméno zaměstnance:</t>
  </si>
  <si>
    <t>Griša</t>
  </si>
  <si>
    <t>Nákl. Středisko</t>
  </si>
  <si>
    <t>Tel linka</t>
  </si>
  <si>
    <t>Vodička</t>
  </si>
  <si>
    <t>TJ Bohemians, OVT</t>
  </si>
  <si>
    <t>Kapesné zahraničí</t>
  </si>
  <si>
    <t>Účel cesty</t>
  </si>
  <si>
    <t>Cíl cesty</t>
  </si>
  <si>
    <t>Dopravní prostředek</t>
  </si>
  <si>
    <t>Brigáda Hamerák</t>
  </si>
  <si>
    <t>Malý Ratmírov</t>
  </si>
  <si>
    <t>AUV</t>
  </si>
  <si>
    <t>Při použiti soukromého vozu:</t>
  </si>
  <si>
    <t>SPZ:</t>
  </si>
  <si>
    <t>Typ vozu</t>
  </si>
  <si>
    <t>Havarijní pojistka č.</t>
  </si>
  <si>
    <t>Pohonná látka</t>
  </si>
  <si>
    <t>Prům spotřeba</t>
  </si>
  <si>
    <t>2AK4963</t>
  </si>
  <si>
    <t>Ford Kuga</t>
  </si>
  <si>
    <t>diesel</t>
  </si>
  <si>
    <t>Počet spolucestujících</t>
  </si>
  <si>
    <t>Jména spolucestujících</t>
  </si>
  <si>
    <t>Kateřina Měrková, Miroslav Ptáček</t>
  </si>
  <si>
    <t>datum:</t>
  </si>
  <si>
    <t>Odjezd/Hod</t>
  </si>
  <si>
    <t>Příjezd/Hod</t>
  </si>
  <si>
    <t>Km - tuzemsko</t>
  </si>
  <si>
    <t>Km - zahraničí</t>
  </si>
  <si>
    <t>Jízda z místa (příp. hraniční přechod) - do místa</t>
  </si>
  <si>
    <t>8.00</t>
  </si>
  <si>
    <t>10.00</t>
  </si>
  <si>
    <t>Praha – Malý Ratmírov</t>
  </si>
  <si>
    <t>11.00</t>
  </si>
  <si>
    <t>13.00</t>
  </si>
  <si>
    <t>Malý Ratmírov – Praha</t>
  </si>
  <si>
    <t>Celkem ujeté km</t>
  </si>
  <si>
    <t>Položka</t>
  </si>
  <si>
    <t>Tuzemsko Kč</t>
  </si>
  <si>
    <t>Zahraničí (….)</t>
  </si>
  <si>
    <t>Zahraničí Kč</t>
  </si>
  <si>
    <t>Cestovné náklady - soukr. Vůz</t>
  </si>
  <si>
    <t>Náklady na služební vůz</t>
  </si>
  <si>
    <t>Jízdenky zakoupené pracovníkem</t>
  </si>
  <si>
    <t>Jízdenky zakoupené společností</t>
  </si>
  <si>
    <t>Výdaje za metro, bus, taxi atd.</t>
  </si>
  <si>
    <t>Stravné tuzemsko 5 - 12 hod</t>
  </si>
  <si>
    <t>Stravné tuzemsko 12 - 18 hod</t>
  </si>
  <si>
    <t>Stravné tuzemsko 18 - 24 hod</t>
  </si>
  <si>
    <t>Stravné zahraničí 0 - 12 hod</t>
  </si>
  <si>
    <t>Stravné zahraničí 12 - 24 hod</t>
  </si>
  <si>
    <t>Krácení snídaně</t>
  </si>
  <si>
    <t>Krácení za pozvání</t>
  </si>
  <si>
    <t>Výdaje za telefon, parkování atd.</t>
  </si>
  <si>
    <t>Ostatní</t>
  </si>
  <si>
    <t>Celkové cestovní náklady v cizí měně</t>
  </si>
  <si>
    <t>Podpis zaměstnance</t>
  </si>
  <si>
    <t>Záloha v cizí měně</t>
  </si>
  <si>
    <t>K vyplacení / vrácení v cizí měně</t>
  </si>
  <si>
    <t>Datum</t>
  </si>
  <si>
    <t>Celkové cestovní náklady v Kč</t>
  </si>
  <si>
    <t>Povoleno k vyúčtování:</t>
  </si>
  <si>
    <t>Záloha v Kč</t>
  </si>
  <si>
    <t>K vyplacení / vrácení v Kč</t>
  </si>
  <si>
    <t>podpis účetní</t>
  </si>
  <si>
    <t>VÝDAJE</t>
  </si>
  <si>
    <t>kategorie</t>
  </si>
  <si>
    <t>položka</t>
  </si>
  <si>
    <t>Návrh</t>
  </si>
  <si>
    <t>Skutečnost</t>
  </si>
  <si>
    <t>diff Y</t>
  </si>
  <si>
    <t>Y-1</t>
  </si>
  <si>
    <t>diff Y-1</t>
  </si>
  <si>
    <t>doprava</t>
  </si>
  <si>
    <t>bus Jan Kukla</t>
  </si>
  <si>
    <t>vlak JHMD</t>
  </si>
  <si>
    <t>permice tisk</t>
  </si>
  <si>
    <t>materiál náklady (igelity aj.)</t>
  </si>
  <si>
    <t>obslužná vozidla</t>
  </si>
  <si>
    <t>ceny</t>
  </si>
  <si>
    <t>hrnky potisk</t>
  </si>
  <si>
    <t>závodní trať</t>
  </si>
  <si>
    <t>materiál branky</t>
  </si>
  <si>
    <t>schody pod hrází</t>
  </si>
  <si>
    <t>místní poplatky</t>
  </si>
  <si>
    <t>Boček hráz vstup</t>
  </si>
  <si>
    <t>Hrázný Fučík</t>
  </si>
  <si>
    <t>Feit - louka Dvoreček</t>
  </si>
  <si>
    <t>vodohospodářství</t>
  </si>
  <si>
    <t>Rybáři</t>
  </si>
  <si>
    <t>občerstvení</t>
  </si>
  <si>
    <t>pivo Kamenice</t>
  </si>
  <si>
    <t>náklady občerstvení</t>
  </si>
  <si>
    <t>příprava, zpracování</t>
  </si>
  <si>
    <t>materiál příprava</t>
  </si>
  <si>
    <t>cesty příprava</t>
  </si>
  <si>
    <t>chatky</t>
  </si>
  <si>
    <t>kelímky</t>
  </si>
  <si>
    <t>výroba kelímků</t>
  </si>
  <si>
    <t>CELKEM</t>
  </si>
  <si>
    <t>Rozdíl:</t>
  </si>
  <si>
    <t>PŘÍJMY</t>
  </si>
  <si>
    <t>SUM</t>
  </si>
  <si>
    <t>Cena</t>
  </si>
  <si>
    <t>Příjem</t>
  </si>
  <si>
    <t>Z/Z</t>
  </si>
  <si>
    <t>Závod (čísel)</t>
  </si>
  <si>
    <t>Příjmy</t>
  </si>
  <si>
    <t>Závod (lidi - podle tomboly)</t>
  </si>
  <si>
    <t>Výdaje</t>
  </si>
  <si>
    <t>Splutí víkend</t>
  </si>
  <si>
    <t>Splutí sobota</t>
  </si>
  <si>
    <t>Splutí neděle</t>
  </si>
  <si>
    <t>Účty</t>
  </si>
  <si>
    <t>Výdaj</t>
  </si>
  <si>
    <t>Rozdíl</t>
  </si>
  <si>
    <t>vstup</t>
  </si>
  <si>
    <t>Permice víkend</t>
  </si>
  <si>
    <t>hotovost</t>
  </si>
  <si>
    <t>Permice sobota</t>
  </si>
  <si>
    <t>Air OVT</t>
  </si>
  <si>
    <t>Permice neděle</t>
  </si>
  <si>
    <t>TJ účet</t>
  </si>
  <si>
    <t>Kelímky</t>
  </si>
  <si>
    <t>SUM:</t>
  </si>
  <si>
    <t>Vrácené kelímky</t>
  </si>
  <si>
    <t>Žetony na kelímky</t>
  </si>
  <si>
    <t>Prodeje</t>
  </si>
  <si>
    <t>Dotace ČSK</t>
  </si>
  <si>
    <t>základní dotace 65k</t>
  </si>
  <si>
    <t>Příjmy celkem</t>
  </si>
  <si>
    <t>Popis</t>
  </si>
  <si>
    <t>Komu</t>
  </si>
  <si>
    <t>Platil</t>
  </si>
  <si>
    <t>Kolik</t>
  </si>
  <si>
    <t>Kategorie</t>
  </si>
  <si>
    <t>Platit?</t>
  </si>
  <si>
    <t>Zaplaceno?</t>
  </si>
  <si>
    <t>platba z</t>
  </si>
  <si>
    <t>Kdy</t>
  </si>
  <si>
    <t>fa?</t>
  </si>
  <si>
    <t>Platby</t>
  </si>
  <si>
    <t>Vyúčtování</t>
  </si>
  <si>
    <t>TODO / Poznámka</t>
  </si>
  <si>
    <t>Poštovné</t>
  </si>
  <si>
    <t>Pošta</t>
  </si>
  <si>
    <t>sobota</t>
  </si>
  <si>
    <t>v papírech z H</t>
  </si>
  <si>
    <t>uct_posta_2.pdf</t>
  </si>
  <si>
    <t>uct_posta_1.pdf</t>
  </si>
  <si>
    <t>Hrázný</t>
  </si>
  <si>
    <t>Fučík</t>
  </si>
  <si>
    <t>ne</t>
  </si>
  <si>
    <t>Feit</t>
  </si>
  <si>
    <t>Dvoreček</t>
  </si>
  <si>
    <t>Hráz vstup</t>
  </si>
  <si>
    <t>Boček</t>
  </si>
  <si>
    <t>bus Kukla</t>
  </si>
  <si>
    <t>Kukla</t>
  </si>
  <si>
    <t>TODO: 1) částku, 2) zaplatit, 3) doklad</t>
  </si>
  <si>
    <t>fa_Kukla.xls</t>
  </si>
  <si>
    <t>Permice</t>
  </si>
  <si>
    <t>Samolepky splutí</t>
  </si>
  <si>
    <t>Značky doprava</t>
  </si>
  <si>
    <t>Honza potvrzoval</t>
  </si>
  <si>
    <t>Folie, nůž</t>
  </si>
  <si>
    <t>Hornbach</t>
  </si>
  <si>
    <t>Amos</t>
  </si>
  <si>
    <t>uct_Hornbach.pdf</t>
  </si>
  <si>
    <t>Pytle, rukavice</t>
  </si>
  <si>
    <t>Auto Milan</t>
  </si>
  <si>
    <t>Auto Ešus</t>
  </si>
  <si>
    <t>posláno</t>
  </si>
  <si>
    <t>Cesťák</t>
  </si>
  <si>
    <t>N</t>
  </si>
  <si>
    <t>TODO viz mail</t>
  </si>
  <si>
    <t>cest_2024_Hamerák_Pavel.pdf</t>
  </si>
  <si>
    <t>Bundáš</t>
  </si>
  <si>
    <t>Štěpán</t>
  </si>
  <si>
    <t>Adam</t>
  </si>
  <si>
    <t>cest_2024_Hamerák_Adam.pdf</t>
  </si>
  <si>
    <t>Jáchym</t>
  </si>
  <si>
    <t>TBD podpis</t>
  </si>
  <si>
    <t>cest_2024_Hamerák_Jachym.xlsx</t>
  </si>
  <si>
    <t>Off</t>
  </si>
  <si>
    <t>Hanka Riedlová</t>
  </si>
  <si>
    <t>cest_2024_Hamerák_Riedl.pdf</t>
  </si>
  <si>
    <t>Libor</t>
  </si>
  <si>
    <t>cest_2024_Hamerák_Libor.pdf</t>
  </si>
  <si>
    <t>Auto Libor</t>
  </si>
  <si>
    <t>Hrnky potisk</t>
  </si>
  <si>
    <t>Milan musí zjistit, řešil jsem s ním 19.10</t>
  </si>
  <si>
    <t>Motouz, provaz</t>
  </si>
  <si>
    <t>Kutil, provaznictví</t>
  </si>
  <si>
    <t>Dora</t>
  </si>
  <si>
    <t>uct_provazy_motouz.pdf</t>
  </si>
  <si>
    <t>Kroužek</t>
  </si>
  <si>
    <t>Lukáš?</t>
  </si>
  <si>
    <t>uct_krouzek.jpg</t>
  </si>
  <si>
    <t>Motouz</t>
  </si>
  <si>
    <t>uct_motouz.jpg</t>
  </si>
  <si>
    <t>TJ</t>
  </si>
  <si>
    <t>vloni posílali až v listopadu..</t>
  </si>
  <si>
    <t>fa_Rybari.pdf</t>
  </si>
  <si>
    <t>Pivo</t>
  </si>
  <si>
    <t>Chleba</t>
  </si>
  <si>
    <t>Pekárna Velíšek</t>
  </si>
  <si>
    <t>uct_chleb.pdf</t>
  </si>
  <si>
    <t>Občerstvení</t>
  </si>
  <si>
    <t>Makro</t>
  </si>
  <si>
    <t>Katka Křížová</t>
  </si>
  <si>
    <t>Dřevo schody</t>
  </si>
  <si>
    <t>Papírnictví</t>
  </si>
  <si>
    <t>Eso Lety</t>
  </si>
  <si>
    <t>uct_Eso.pdf</t>
  </si>
  <si>
    <t>Baterie do comba</t>
  </si>
  <si>
    <t>Datart</t>
  </si>
  <si>
    <t>Zbyněk Herynek</t>
  </si>
  <si>
    <t>Ubytování Ratmírov</t>
  </si>
  <si>
    <t>neděle</t>
  </si>
  <si>
    <t>Kelímky letos nebyly</t>
  </si>
  <si>
    <t>kolik mám mít v hotovosti:</t>
  </si>
  <si>
    <t>sum náklady účt</t>
  </si>
  <si>
    <t>vstupní hotovost</t>
  </si>
  <si>
    <t>dotace</t>
  </si>
  <si>
    <t>příjem hotovost</t>
  </si>
  <si>
    <t>N/A</t>
  </si>
  <si>
    <t>zbývá</t>
  </si>
  <si>
    <t>kladné OK, záporné = sehnat účtenky</t>
  </si>
  <si>
    <t>výdaje zaplacené</t>
  </si>
  <si>
    <t>kolik mám:</t>
  </si>
  <si>
    <t>kombi</t>
  </si>
  <si>
    <t>rozdíl</t>
  </si>
  <si>
    <t>kladné = OK</t>
  </si>
  <si>
    <t>Účtenka?</t>
  </si>
  <si>
    <t>Ano, hot</t>
  </si>
  <si>
    <t>Ne</t>
  </si>
  <si>
    <t>Fučík?</t>
  </si>
  <si>
    <t>Sobota</t>
  </si>
  <si>
    <t>Ing</t>
  </si>
  <si>
    <t>Kemp parking</t>
  </si>
  <si>
    <t>Kemp</t>
  </si>
  <si>
    <t>Statek (Dvoreček)</t>
  </si>
  <si>
    <t>Účet</t>
  </si>
  <si>
    <t>Mára</t>
  </si>
  <si>
    <t>Ano, fyz</t>
  </si>
  <si>
    <t>Ano, složka</t>
  </si>
  <si>
    <t>Voda manipulace</t>
  </si>
  <si>
    <t>Bohemka</t>
  </si>
  <si>
    <t>Ano, TJ</t>
  </si>
  <si>
    <t>Samolepky</t>
  </si>
  <si>
    <t>Bude Milan</t>
  </si>
  <si>
    <t>Zatím ne</t>
  </si>
  <si>
    <t>počítám jako výdaj z účtu</t>
  </si>
  <si>
    <t>Nebude</t>
  </si>
  <si>
    <t>fošna hráz</t>
  </si>
  <si>
    <t>truhlář + kovář</t>
  </si>
  <si>
    <t>Autobusy</t>
  </si>
  <si>
    <t>Doprava Kukla</t>
  </si>
  <si>
    <t>Ano, T z Air OVT</t>
  </si>
  <si>
    <t>sum náklady</t>
  </si>
  <si>
    <t>příjem Hamerák</t>
  </si>
  <si>
    <t>příjem dotace</t>
  </si>
  <si>
    <t>záporné OK</t>
  </si>
  <si>
    <t>SUM příjmy</t>
  </si>
  <si>
    <t>zz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</si>
</sst>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.m"/>
    <numFmt numFmtId="165" formatCode="d.m.yyyy"/>
    <numFmt numFmtId="166" formatCode="#,##0&quot;Kč&quot;"/>
    <numFmt numFmtId="167" formatCode="#,##0_ ;[Red]\-#,##0\ "/>
    <numFmt numFmtId="168" formatCode="#,##0_) Kč;[Red]-#,##0 Kč"/>
  </numFmts>
  <fonts count="1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sz val="14.0"/>
      <color rgb="FF222222"/>
      <name val="Arial CE"/>
    </font>
    <font/>
    <font>
      <sz val="8.0"/>
      <color rgb="FF222222"/>
      <name val="Arial CE"/>
    </font>
    <font>
      <color rgb="FF000000"/>
      <name val="Arial"/>
    </font>
    <font>
      <color rgb="FF222222"/>
      <name val="Arial"/>
    </font>
    <font>
      <b/>
      <sz val="8.0"/>
      <color rgb="FF222222"/>
      <name val="Arial CE"/>
    </font>
    <font>
      <b/>
      <color rgb="FF222222"/>
      <name val="Arial CE"/>
    </font>
    <font>
      <b/>
      <sz val="12.0"/>
      <color theme="1"/>
      <name val="Arial"/>
    </font>
    <font>
      <color theme="1"/>
      <name val="Calibri"/>
    </font>
    <font>
      <sz val="12.0"/>
      <color theme="1"/>
      <name val="Arial"/>
    </font>
    <font>
      <sz val="16.0"/>
      <color theme="1"/>
      <name val="Calibri"/>
    </font>
    <font>
      <sz val="14.0"/>
      <color theme="1"/>
      <name val="Calibri"/>
    </font>
    <font>
      <sz val="10.0"/>
      <color theme="1"/>
      <name val="Arial"/>
    </font>
    <font>
      <sz val="12.0"/>
      <color rgb="FFFF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6E3BC"/>
        <bgColor rgb="FFD6E3BC"/>
      </patternFill>
    </fill>
    <fill>
      <patternFill patternType="solid">
        <fgColor rgb="FF00FFFF"/>
        <bgColor rgb="FF00FFFF"/>
      </patternFill>
    </fill>
  </fills>
  <borders count="8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4" xfId="0" applyFont="1" applyNumberFormat="1"/>
    <xf borderId="0" fillId="2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2" fontId="2" numFmtId="164" xfId="0" applyAlignment="1" applyFont="1" applyNumberForma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0" fillId="3" fontId="2" numFmtId="4" xfId="0" applyFont="1" applyNumberFormat="1"/>
    <xf borderId="0" fillId="3" fontId="2" numFmtId="4" xfId="0" applyAlignment="1" applyFont="1" applyNumberFormat="1">
      <alignment readingOrder="0"/>
    </xf>
    <xf borderId="0" fillId="0" fontId="2" numFmtId="4" xfId="0" applyFont="1" applyNumberFormat="1"/>
    <xf borderId="1" fillId="4" fontId="4" numFmtId="0" xfId="0" applyAlignment="1" applyBorder="1" applyFill="1" applyFont="1">
      <alignment horizontal="center" readingOrder="0" vertical="bottom"/>
    </xf>
    <xf borderId="2" fillId="0" fontId="5" numFmtId="0" xfId="0" applyBorder="1" applyFont="1"/>
    <xf borderId="3" fillId="0" fontId="5" numFmtId="0" xfId="0" applyBorder="1" applyFont="1"/>
    <xf borderId="4" fillId="4" fontId="6" numFmtId="0" xfId="0" applyAlignment="1" applyBorder="1" applyFont="1">
      <alignment horizontal="left" readingOrder="0" vertical="bottom"/>
    </xf>
    <xf borderId="5" fillId="5" fontId="7" numFmtId="0" xfId="0" applyAlignment="1" applyBorder="1" applyFill="1" applyFont="1">
      <alignment horizontal="left" readingOrder="0" vertical="bottom"/>
    </xf>
    <xf borderId="6" fillId="4" fontId="6" numFmtId="0" xfId="0" applyAlignment="1" applyBorder="1" applyFont="1">
      <alignment horizontal="center" readingOrder="0" vertical="bottom"/>
    </xf>
    <xf borderId="7" fillId="0" fontId="5" numFmtId="0" xfId="0" applyBorder="1" applyFont="1"/>
    <xf borderId="8" fillId="4" fontId="6" numFmtId="0" xfId="0" applyAlignment="1" applyBorder="1" applyFont="1">
      <alignment horizontal="center" readingOrder="0" vertical="bottom"/>
    </xf>
    <xf borderId="9" fillId="5" fontId="6" numFmtId="0" xfId="0" applyAlignment="1" applyBorder="1" applyFont="1">
      <alignment horizontal="center" readingOrder="0" vertical="bottom"/>
    </xf>
    <xf borderId="10" fillId="0" fontId="5" numFmtId="0" xfId="0" applyBorder="1" applyFont="1"/>
    <xf borderId="11" fillId="0" fontId="5" numFmtId="0" xfId="0" applyBorder="1" applyFont="1"/>
    <xf borderId="12" fillId="4" fontId="8" numFmtId="0" xfId="0" applyAlignment="1" applyBorder="1" applyFont="1">
      <alignment horizontal="left" vertical="bottom"/>
    </xf>
    <xf borderId="13" fillId="5" fontId="7" numFmtId="0" xfId="0" applyAlignment="1" applyBorder="1" applyFont="1">
      <alignment horizontal="left" readingOrder="0" vertical="bottom"/>
    </xf>
    <xf borderId="8" fillId="4" fontId="8" numFmtId="0" xfId="0" applyAlignment="1" applyBorder="1" applyFont="1">
      <alignment horizontal="left" vertical="bottom"/>
    </xf>
    <xf borderId="14" fillId="5" fontId="8" numFmtId="0" xfId="0" applyAlignment="1" applyBorder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17" fillId="4" fontId="8" numFmtId="0" xfId="0" applyAlignment="1" applyBorder="1" applyFont="1">
      <alignment horizontal="left" vertical="bottom"/>
    </xf>
    <xf borderId="0" fillId="4" fontId="8" numFmtId="0" xfId="0" applyAlignment="1" applyFont="1">
      <alignment horizontal="left" vertical="bottom"/>
    </xf>
    <xf borderId="18" fillId="4" fontId="8" numFmtId="0" xfId="0" applyAlignment="1" applyBorder="1" applyFont="1">
      <alignment horizontal="left" vertical="bottom"/>
    </xf>
    <xf borderId="19" fillId="4" fontId="8" numFmtId="0" xfId="0" applyAlignment="1" applyBorder="1" applyFont="1">
      <alignment horizontal="left" vertical="bottom"/>
    </xf>
    <xf borderId="4" fillId="4" fontId="6" numFmtId="0" xfId="0" applyAlignment="1" applyBorder="1" applyFont="1">
      <alignment horizontal="center" readingOrder="0" vertical="bottom"/>
    </xf>
    <xf borderId="20" fillId="0" fontId="5" numFmtId="0" xfId="0" applyBorder="1" applyFont="1"/>
    <xf borderId="21" fillId="0" fontId="5" numFmtId="0" xfId="0" applyBorder="1" applyFont="1"/>
    <xf borderId="14" fillId="4" fontId="6" numFmtId="0" xfId="0" applyAlignment="1" applyBorder="1" applyFont="1">
      <alignment horizontal="center" readingOrder="0" vertical="bottom"/>
    </xf>
    <xf borderId="22" fillId="0" fontId="5" numFmtId="0" xfId="0" applyBorder="1" applyFont="1"/>
    <xf borderId="14" fillId="4" fontId="7" numFmtId="0" xfId="0" applyAlignment="1" applyBorder="1" applyFont="1">
      <alignment horizontal="center" readingOrder="0" vertical="bottom"/>
    </xf>
    <xf borderId="14" fillId="4" fontId="7" numFmtId="0" xfId="0" applyAlignment="1" applyBorder="1" applyFont="1">
      <alignment horizontal="left" readingOrder="0" vertical="bottom"/>
    </xf>
    <xf borderId="16" fillId="4" fontId="8" numFmtId="0" xfId="0" applyAlignment="1" applyBorder="1" applyFont="1">
      <alignment horizontal="left" vertical="bottom"/>
    </xf>
    <xf borderId="23" fillId="4" fontId="6" numFmtId="0" xfId="0" applyAlignment="1" applyBorder="1" applyFont="1">
      <alignment horizontal="center" readingOrder="0" vertical="bottom"/>
    </xf>
    <xf borderId="21" fillId="4" fontId="6" numFmtId="0" xfId="0" applyAlignment="1" applyBorder="1" applyFont="1">
      <alignment horizontal="center" readingOrder="0" vertical="bottom"/>
    </xf>
    <xf borderId="12" fillId="0" fontId="5" numFmtId="0" xfId="0" applyBorder="1" applyFont="1"/>
    <xf borderId="15" fillId="4" fontId="7" numFmtId="0" xfId="0" applyAlignment="1" applyBorder="1" applyFont="1">
      <alignment horizontal="left" readingOrder="0" vertical="bottom"/>
    </xf>
    <xf borderId="24" fillId="4" fontId="6" numFmtId="0" xfId="0" applyAlignment="1" applyBorder="1" applyFont="1">
      <alignment horizontal="center" readingOrder="0" vertical="bottom"/>
    </xf>
    <xf borderId="23" fillId="4" fontId="6" numFmtId="0" xfId="0" applyAlignment="1" applyBorder="1" applyFont="1">
      <alignment horizontal="left" readingOrder="0" vertical="bottom"/>
    </xf>
    <xf borderId="9" fillId="4" fontId="6" numFmtId="0" xfId="0" applyAlignment="1" applyBorder="1" applyFont="1">
      <alignment horizontal="center" readingOrder="0" vertical="bottom"/>
    </xf>
    <xf borderId="25" fillId="0" fontId="5" numFmtId="0" xfId="0" applyBorder="1" applyFont="1"/>
    <xf borderId="9" fillId="5" fontId="8" numFmtId="0" xfId="0" applyAlignment="1" applyBorder="1" applyFont="1">
      <alignment horizontal="left" vertical="bottom"/>
    </xf>
    <xf borderId="11" fillId="5" fontId="8" numFmtId="0" xfId="0" applyAlignment="1" applyBorder="1" applyFont="1">
      <alignment horizontal="left" vertical="bottom"/>
    </xf>
    <xf borderId="4" fillId="4" fontId="8" numFmtId="0" xfId="0" applyAlignment="1" applyBorder="1" applyFont="1">
      <alignment horizontal="left" vertical="bottom"/>
    </xf>
    <xf borderId="6" fillId="4" fontId="7" numFmtId="0" xfId="0" applyAlignment="1" applyBorder="1" applyFont="1">
      <alignment horizontal="center" readingOrder="0" vertical="bottom"/>
    </xf>
    <xf borderId="6" fillId="5" fontId="8" numFmtId="0" xfId="0" applyAlignment="1" applyBorder="1" applyFont="1">
      <alignment horizontal="left" vertical="bottom"/>
    </xf>
    <xf borderId="21" fillId="5" fontId="8" numFmtId="0" xfId="0" applyAlignment="1" applyBorder="1" applyFont="1">
      <alignment horizontal="left" vertical="bottom"/>
    </xf>
    <xf borderId="26" fillId="4" fontId="8" numFmtId="0" xfId="0" applyAlignment="1" applyBorder="1" applyFont="1">
      <alignment horizontal="center" readingOrder="0" vertical="bottom"/>
    </xf>
    <xf borderId="27" fillId="4" fontId="8" numFmtId="0" xfId="0" applyAlignment="1" applyBorder="1" applyFont="1">
      <alignment horizontal="center" readingOrder="0" vertical="bottom"/>
    </xf>
    <xf borderId="27" fillId="4" fontId="6" numFmtId="0" xfId="0" applyAlignment="1" applyBorder="1" applyFont="1">
      <alignment horizontal="center" readingOrder="0" vertical="bottom"/>
    </xf>
    <xf borderId="28" fillId="4" fontId="6" numFmtId="0" xfId="0" applyAlignment="1" applyBorder="1" applyFont="1">
      <alignment horizontal="center" readingOrder="0" vertical="bottom"/>
    </xf>
    <xf borderId="29" fillId="0" fontId="5" numFmtId="0" xfId="0" applyBorder="1" applyFont="1"/>
    <xf borderId="30" fillId="0" fontId="5" numFmtId="0" xfId="0" applyBorder="1" applyFont="1"/>
    <xf borderId="31" fillId="4" fontId="6" numFmtId="165" xfId="0" applyAlignment="1" applyBorder="1" applyFont="1" applyNumberFormat="1">
      <alignment horizontal="right" readingOrder="0" vertical="bottom"/>
    </xf>
    <xf borderId="32" fillId="4" fontId="6" numFmtId="0" xfId="0" applyAlignment="1" applyBorder="1" applyFont="1">
      <alignment horizontal="left" readingOrder="0" vertical="bottom"/>
    </xf>
    <xf borderId="32" fillId="4" fontId="6" numFmtId="0" xfId="0" applyAlignment="1" applyBorder="1" applyFont="1">
      <alignment horizontal="right" readingOrder="0" vertical="bottom"/>
    </xf>
    <xf borderId="32" fillId="4" fontId="8" numFmtId="0" xfId="0" applyAlignment="1" applyBorder="1" applyFont="1">
      <alignment horizontal="left" vertical="bottom"/>
    </xf>
    <xf borderId="33" fillId="4" fontId="6" numFmtId="0" xfId="0" applyAlignment="1" applyBorder="1" applyFont="1">
      <alignment horizontal="center" readingOrder="0" vertical="bottom"/>
    </xf>
    <xf borderId="34" fillId="0" fontId="5" numFmtId="0" xfId="0" applyBorder="1" applyFont="1"/>
    <xf borderId="35" fillId="0" fontId="5" numFmtId="0" xfId="0" applyBorder="1" applyFont="1"/>
    <xf borderId="32" fillId="4" fontId="6" numFmtId="165" xfId="0" applyAlignment="1" applyBorder="1" applyFont="1" applyNumberFormat="1">
      <alignment horizontal="right" readingOrder="0" vertical="bottom"/>
    </xf>
    <xf borderId="8" fillId="4" fontId="6" numFmtId="0" xfId="0" applyAlignment="1" applyBorder="1" applyFont="1">
      <alignment horizontal="left" readingOrder="0" vertical="bottom"/>
    </xf>
    <xf borderId="8" fillId="4" fontId="6" numFmtId="0" xfId="0" applyAlignment="1" applyBorder="1" applyFont="1">
      <alignment horizontal="right" readingOrder="0" vertical="bottom"/>
    </xf>
    <xf borderId="6" fillId="4" fontId="8" numFmtId="0" xfId="0" applyAlignment="1" applyBorder="1" applyFont="1">
      <alignment horizontal="center" vertical="bottom"/>
    </xf>
    <xf borderId="36" fillId="4" fontId="8" numFmtId="0" xfId="0" applyAlignment="1" applyBorder="1" applyFont="1">
      <alignment horizontal="left" vertical="bottom"/>
    </xf>
    <xf borderId="37" fillId="4" fontId="8" numFmtId="0" xfId="0" applyAlignment="1" applyBorder="1" applyFont="1">
      <alignment horizontal="center" vertical="bottom"/>
    </xf>
    <xf borderId="38" fillId="0" fontId="5" numFmtId="0" xfId="0" applyBorder="1" applyFont="1"/>
    <xf borderId="39" fillId="0" fontId="5" numFmtId="0" xfId="0" applyBorder="1" applyFont="1"/>
    <xf borderId="40" fillId="0" fontId="5" numFmtId="0" xfId="0" applyBorder="1" applyFont="1"/>
    <xf borderId="13" fillId="4" fontId="9" numFmtId="0" xfId="0" applyAlignment="1" applyBorder="1" applyFont="1">
      <alignment horizontal="right" readingOrder="0" vertical="bottom"/>
    </xf>
    <xf borderId="14" fillId="4" fontId="8" numFmtId="0" xfId="0" applyAlignment="1" applyBorder="1" applyFont="1">
      <alignment horizontal="center" vertical="bottom"/>
    </xf>
    <xf borderId="17" fillId="5" fontId="8" numFmtId="0" xfId="0" applyAlignment="1" applyBorder="1" applyFont="1">
      <alignment horizontal="left" vertical="bottom"/>
    </xf>
    <xf borderId="0" fillId="5" fontId="8" numFmtId="0" xfId="0" applyAlignment="1" applyFont="1">
      <alignment horizontal="left" vertical="bottom"/>
    </xf>
    <xf borderId="19" fillId="5" fontId="8" numFmtId="0" xfId="0" applyAlignment="1" applyBorder="1" applyFont="1">
      <alignment horizontal="left" vertical="bottom"/>
    </xf>
    <xf borderId="41" fillId="4" fontId="6" numFmtId="0" xfId="0" applyAlignment="1" applyBorder="1" applyFont="1">
      <alignment horizontal="left" readingOrder="0" vertical="bottom"/>
    </xf>
    <xf borderId="6" fillId="4" fontId="8" numFmtId="0" xfId="0" applyAlignment="1" applyBorder="1" applyFont="1">
      <alignment horizontal="left" vertical="bottom"/>
    </xf>
    <xf borderId="7" fillId="4" fontId="8" numFmtId="0" xfId="0" applyAlignment="1" applyBorder="1" applyFont="1">
      <alignment horizontal="left" vertical="bottom"/>
    </xf>
    <xf borderId="20" fillId="4" fontId="8" numFmtId="0" xfId="0" applyAlignment="1" applyBorder="1" applyFont="1">
      <alignment horizontal="left" vertical="bottom"/>
    </xf>
    <xf borderId="24" fillId="4" fontId="6" numFmtId="0" xfId="0" applyAlignment="1" applyBorder="1" applyFont="1">
      <alignment horizontal="left" readingOrder="0" vertical="bottom"/>
    </xf>
    <xf borderId="42" fillId="4" fontId="6" numFmtId="0" xfId="0" applyAlignment="1" applyBorder="1" applyFont="1">
      <alignment horizontal="left" readingOrder="0" vertical="bottom"/>
    </xf>
    <xf borderId="5" fillId="4" fontId="6" numFmtId="0" xfId="0" applyAlignment="1" applyBorder="1" applyFont="1">
      <alignment horizontal="right" readingOrder="0" vertical="bottom"/>
    </xf>
    <xf borderId="25" fillId="4" fontId="8" numFmtId="0" xfId="0" applyAlignment="1" applyBorder="1" applyFont="1">
      <alignment horizontal="left" vertical="bottom"/>
    </xf>
    <xf borderId="43" fillId="4" fontId="8" numFmtId="0" xfId="0" applyAlignment="1" applyBorder="1" applyFont="1">
      <alignment horizontal="left" vertical="bottom"/>
    </xf>
    <xf borderId="44" fillId="4" fontId="6" numFmtId="0" xfId="0" applyAlignment="1" applyBorder="1" applyFont="1">
      <alignment horizontal="center" readingOrder="0" vertical="bottom"/>
    </xf>
    <xf borderId="12" fillId="4" fontId="6" numFmtId="0" xfId="0" applyAlignment="1" applyBorder="1" applyFont="1">
      <alignment horizontal="center" readingOrder="0" vertical="bottom"/>
    </xf>
    <xf borderId="14" fillId="4" fontId="6" numFmtId="0" xfId="0" applyAlignment="1" applyBorder="1" applyFont="1">
      <alignment horizontal="left" readingOrder="0" vertical="bottom"/>
    </xf>
    <xf borderId="13" fillId="4" fontId="8" numFmtId="0" xfId="0" applyAlignment="1" applyBorder="1" applyFont="1">
      <alignment horizontal="left" vertical="bottom"/>
    </xf>
    <xf borderId="22" fillId="4" fontId="8" numFmtId="0" xfId="0" applyAlignment="1" applyBorder="1" applyFont="1">
      <alignment horizontal="left" vertical="bottom"/>
    </xf>
    <xf borderId="23" fillId="4" fontId="8" numFmtId="0" xfId="0" applyAlignment="1" applyBorder="1" applyFont="1">
      <alignment horizontal="left" vertical="bottom"/>
    </xf>
    <xf borderId="9" fillId="4" fontId="8" numFmtId="0" xfId="0" applyAlignment="1" applyBorder="1" applyFont="1">
      <alignment horizontal="left" vertical="bottom"/>
    </xf>
    <xf borderId="5" fillId="4" fontId="8" numFmtId="0" xfId="0" applyAlignment="1" applyBorder="1" applyFont="1">
      <alignment horizontal="left" vertical="bottom"/>
    </xf>
    <xf borderId="45" fillId="4" fontId="8" numFmtId="0" xfId="0" applyAlignment="1" applyBorder="1" applyFont="1">
      <alignment horizontal="left" vertical="bottom"/>
    </xf>
    <xf borderId="18" fillId="0" fontId="5" numFmtId="0" xfId="0" applyBorder="1" applyFont="1"/>
    <xf borderId="46" fillId="4" fontId="8" numFmtId="0" xfId="0" applyAlignment="1" applyBorder="1" applyFont="1">
      <alignment horizontal="left" vertical="bottom"/>
    </xf>
    <xf borderId="42" fillId="4" fontId="8" numFmtId="0" xfId="0" applyAlignment="1" applyBorder="1" applyFont="1">
      <alignment horizontal="left" vertical="bottom"/>
    </xf>
    <xf borderId="41" fillId="4" fontId="10" numFmtId="0" xfId="0" applyAlignment="1" applyBorder="1" applyFont="1">
      <alignment horizontal="center" readingOrder="0" vertical="bottom"/>
    </xf>
    <xf borderId="5" fillId="4" fontId="6" numFmtId="0" xfId="0" applyAlignment="1" applyBorder="1" applyFont="1">
      <alignment horizontal="left" readingOrder="0" vertical="bottom"/>
    </xf>
    <xf borderId="10" fillId="4" fontId="8" numFmtId="0" xfId="0" applyAlignment="1" applyBorder="1" applyFont="1">
      <alignment horizontal="left" vertical="bottom"/>
    </xf>
    <xf borderId="47" fillId="4" fontId="10" numFmtId="0" xfId="0" applyAlignment="1" applyBorder="1" applyFont="1">
      <alignment horizontal="center" readingOrder="0" vertical="bottom"/>
    </xf>
    <xf borderId="48" fillId="0" fontId="5" numFmtId="0" xfId="0" applyBorder="1" applyFont="1"/>
    <xf borderId="49" fillId="4" fontId="8" numFmtId="0" xfId="0" applyAlignment="1" applyBorder="1" applyFont="1">
      <alignment horizontal="center" vertical="bottom"/>
    </xf>
    <xf borderId="8" fillId="4" fontId="7" numFmtId="0" xfId="0" applyAlignment="1" applyBorder="1" applyFont="1">
      <alignment horizontal="left" readingOrder="0" vertical="bottom"/>
    </xf>
    <xf borderId="15" fillId="4" fontId="6" numFmtId="165" xfId="0" applyAlignment="1" applyBorder="1" applyFont="1" applyNumberFormat="1">
      <alignment horizontal="right" readingOrder="0" vertical="bottom"/>
    </xf>
    <xf borderId="6" fillId="4" fontId="7" numFmtId="166" xfId="0" applyAlignment="1" applyBorder="1" applyFont="1" applyNumberFormat="1">
      <alignment horizontal="center" readingOrder="0" vertical="bottom"/>
    </xf>
    <xf borderId="49" fillId="4" fontId="7" numFmtId="0" xfId="0" applyAlignment="1" applyBorder="1" applyFont="1">
      <alignment horizontal="center" readingOrder="0" vertical="bottom"/>
    </xf>
    <xf borderId="50" fillId="0" fontId="5" numFmtId="0" xfId="0" applyBorder="1" applyFont="1"/>
    <xf borderId="51" fillId="5" fontId="8" numFmtId="0" xfId="0" applyAlignment="1" applyBorder="1" applyFont="1">
      <alignment horizontal="left" vertical="bottom"/>
    </xf>
    <xf borderId="52" fillId="4" fontId="6" numFmtId="0" xfId="0" applyAlignment="1" applyBorder="1" applyFont="1">
      <alignment horizontal="left" readingOrder="0" vertical="bottom"/>
    </xf>
    <xf borderId="53" fillId="4" fontId="8" numFmtId="0" xfId="0" applyAlignment="1" applyBorder="1" applyFont="1">
      <alignment horizontal="left" vertical="bottom"/>
    </xf>
    <xf borderId="0" fillId="4" fontId="8" numFmtId="0" xfId="0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54" fillId="0" fontId="13" numFmtId="0" xfId="0" applyAlignment="1" applyBorder="1" applyFont="1">
      <alignment horizontal="center" vertical="bottom"/>
    </xf>
    <xf borderId="55" fillId="0" fontId="13" numFmtId="0" xfId="0" applyAlignment="1" applyBorder="1" applyFont="1">
      <alignment horizontal="center" vertical="bottom"/>
    </xf>
    <xf borderId="55" fillId="0" fontId="11" numFmtId="0" xfId="0" applyAlignment="1" applyBorder="1" applyFont="1">
      <alignment horizontal="center" readingOrder="0" vertical="bottom"/>
    </xf>
    <xf borderId="56" fillId="0" fontId="11" numFmtId="0" xfId="0" applyAlignment="1" applyBorder="1" applyFont="1">
      <alignment horizontal="center" readingOrder="0" vertical="bottom"/>
    </xf>
    <xf borderId="57" fillId="0" fontId="11" numFmtId="0" xfId="0" applyAlignment="1" applyBorder="1" applyFont="1">
      <alignment horizontal="center" readingOrder="0" vertical="bottom"/>
    </xf>
    <xf borderId="12" fillId="0" fontId="13" numFmtId="0" xfId="0" applyAlignment="1" applyBorder="1" applyFont="1">
      <alignment vertical="bottom"/>
    </xf>
    <xf borderId="58" fillId="3" fontId="13" numFmtId="0" xfId="0" applyAlignment="1" applyBorder="1" applyFont="1">
      <alignment vertical="bottom"/>
    </xf>
    <xf borderId="58" fillId="0" fontId="11" numFmtId="167" xfId="0" applyAlignment="1" applyBorder="1" applyFont="1" applyNumberFormat="1">
      <alignment horizontal="right" vertical="bottom"/>
    </xf>
    <xf borderId="22" fillId="0" fontId="13" numFmtId="167" xfId="0" applyAlignment="1" applyBorder="1" applyFont="1" applyNumberFormat="1">
      <alignment horizontal="right" vertical="bottom"/>
    </xf>
    <xf borderId="15" fillId="0" fontId="13" numFmtId="167" xfId="0" applyAlignment="1" applyBorder="1" applyFont="1" applyNumberFormat="1">
      <alignment horizontal="right" vertical="bottom"/>
    </xf>
    <xf borderId="59" fillId="0" fontId="13" numFmtId="167" xfId="0" applyAlignment="1" applyBorder="1" applyFont="1" applyNumberFormat="1">
      <alignment horizontal="right" vertical="bottom"/>
    </xf>
    <xf borderId="60" fillId="0" fontId="13" numFmtId="167" xfId="0" applyAlignment="1" applyBorder="1" applyFont="1" applyNumberFormat="1">
      <alignment horizontal="right" vertical="bottom"/>
    </xf>
    <xf borderId="22" fillId="6" fontId="13" numFmtId="0" xfId="0" applyAlignment="1" applyBorder="1" applyFill="1" applyFont="1">
      <alignment vertical="bottom"/>
    </xf>
    <xf borderId="4" fillId="0" fontId="13" numFmtId="167" xfId="0" applyAlignment="1" applyBorder="1" applyFont="1" applyNumberFormat="1">
      <alignment horizontal="right" vertical="bottom"/>
    </xf>
    <xf borderId="24" fillId="0" fontId="13" numFmtId="167" xfId="0" applyAlignment="1" applyBorder="1" applyFont="1" applyNumberFormat="1">
      <alignment horizontal="right" vertical="bottom"/>
    </xf>
    <xf borderId="22" fillId="7" fontId="13" numFmtId="0" xfId="0" applyAlignment="1" applyBorder="1" applyFill="1" applyFont="1">
      <alignment vertical="bottom"/>
    </xf>
    <xf borderId="22" fillId="0" fontId="13" numFmtId="0" xfId="0" applyAlignment="1" applyBorder="1" applyFont="1">
      <alignment vertical="bottom"/>
    </xf>
    <xf borderId="12" fillId="0" fontId="13" numFmtId="0" xfId="0" applyAlignment="1" applyBorder="1" applyFont="1">
      <alignment readingOrder="0" vertical="bottom"/>
    </xf>
    <xf borderId="22" fillId="6" fontId="13" numFmtId="0" xfId="0" applyAlignment="1" applyBorder="1" applyFont="1">
      <alignment readingOrder="0" vertical="bottom"/>
    </xf>
    <xf borderId="22" fillId="3" fontId="13" numFmtId="0" xfId="0" applyAlignment="1" applyBorder="1" applyFont="1">
      <alignment vertical="bottom"/>
    </xf>
    <xf borderId="18" fillId="0" fontId="13" numFmtId="167" xfId="0" applyAlignment="1" applyBorder="1" applyFont="1" applyNumberFormat="1">
      <alignment horizontal="right" vertical="center"/>
    </xf>
    <xf borderId="22" fillId="7" fontId="13" numFmtId="0" xfId="0" applyAlignment="1" applyBorder="1" applyFont="1">
      <alignment readingOrder="0" vertical="bottom"/>
    </xf>
    <xf borderId="44" fillId="0" fontId="13" numFmtId="0" xfId="0" applyAlignment="1" applyBorder="1" applyFont="1">
      <alignment vertical="bottom"/>
    </xf>
    <xf borderId="18" fillId="6" fontId="13" numFmtId="0" xfId="0" applyAlignment="1" applyBorder="1" applyFont="1">
      <alignment vertical="bottom"/>
    </xf>
    <xf borderId="18" fillId="0" fontId="13" numFmtId="167" xfId="0" applyAlignment="1" applyBorder="1" applyFont="1" applyNumberFormat="1">
      <alignment horizontal="right" vertical="bottom"/>
    </xf>
    <xf borderId="23" fillId="0" fontId="13" numFmtId="167" xfId="0" applyAlignment="1" applyBorder="1" applyFont="1" applyNumberFormat="1">
      <alignment horizontal="right" vertical="bottom"/>
    </xf>
    <xf borderId="61" fillId="0" fontId="11" numFmtId="0" xfId="0" applyAlignment="1" applyBorder="1" applyFont="1">
      <alignment vertical="bottom"/>
    </xf>
    <xf borderId="62" fillId="0" fontId="12" numFmtId="0" xfId="0" applyAlignment="1" applyBorder="1" applyFont="1">
      <alignment vertical="bottom"/>
    </xf>
    <xf borderId="62" fillId="0" fontId="13" numFmtId="167" xfId="0" applyAlignment="1" applyBorder="1" applyFont="1" applyNumberFormat="1">
      <alignment horizontal="right" vertical="bottom"/>
    </xf>
    <xf borderId="55" fillId="0" fontId="13" numFmtId="167" xfId="0" applyAlignment="1" applyBorder="1" applyFont="1" applyNumberFormat="1">
      <alignment horizontal="right" vertical="bottom"/>
    </xf>
    <xf borderId="56" fillId="0" fontId="13" numFmtId="167" xfId="0" applyAlignment="1" applyBorder="1" applyFont="1" applyNumberFormat="1">
      <alignment horizontal="right" vertical="bottom"/>
    </xf>
    <xf borderId="57" fillId="0" fontId="13" numFmtId="167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readingOrder="0"/>
    </xf>
    <xf borderId="0" fillId="0" fontId="2" numFmtId="167" xfId="0" applyFont="1" applyNumberFormat="1"/>
    <xf borderId="0" fillId="0" fontId="11" numFmtId="0" xfId="0" applyAlignment="1" applyFont="1">
      <alignment readingOrder="0" vertical="bottom"/>
    </xf>
    <xf borderId="63" fillId="8" fontId="14" numFmtId="0" xfId="0" applyAlignment="1" applyBorder="1" applyFill="1" applyFont="1">
      <alignment vertical="bottom"/>
    </xf>
    <xf borderId="64" fillId="8" fontId="14" numFmtId="0" xfId="0" applyAlignment="1" applyBorder="1" applyFont="1">
      <alignment vertical="bottom"/>
    </xf>
    <xf borderId="65" fillId="0" fontId="15" numFmtId="0" xfId="0" applyAlignment="1" applyBorder="1" applyFont="1">
      <alignment readingOrder="0" vertical="bottom"/>
    </xf>
    <xf borderId="66" fillId="0" fontId="11" numFmtId="0" xfId="0" applyAlignment="1" applyBorder="1" applyFont="1">
      <alignment horizontal="center" readingOrder="0" vertical="bottom"/>
    </xf>
    <xf borderId="67" fillId="0" fontId="11" numFmtId="0" xfId="0" applyAlignment="1" applyBorder="1" applyFont="1">
      <alignment horizontal="center" readingOrder="0" vertical="bottom"/>
    </xf>
    <xf borderId="23" fillId="0" fontId="13" numFmtId="0" xfId="0" applyAlignment="1" applyBorder="1" applyFont="1">
      <alignment vertical="bottom"/>
    </xf>
    <xf borderId="25" fillId="0" fontId="13" numFmtId="0" xfId="0" applyAlignment="1" applyBorder="1" applyFont="1">
      <alignment horizontal="right" readingOrder="0" vertical="bottom"/>
    </xf>
    <xf borderId="25" fillId="0" fontId="16" numFmtId="0" xfId="0" applyAlignment="1" applyBorder="1" applyFont="1">
      <alignment horizontal="right" readingOrder="0" vertical="bottom"/>
    </xf>
    <xf borderId="68" fillId="0" fontId="13" numFmtId="0" xfId="0" applyAlignment="1" applyBorder="1" applyFont="1">
      <alignment vertical="bottom"/>
    </xf>
    <xf borderId="69" fillId="0" fontId="13" numFmtId="167" xfId="0" applyAlignment="1" applyBorder="1" applyFont="1" applyNumberFormat="1">
      <alignment horizontal="right" readingOrder="0" vertical="bottom"/>
    </xf>
    <xf borderId="70" fillId="0" fontId="13" numFmtId="167" xfId="0" applyAlignment="1" applyBorder="1" applyFont="1" applyNumberFormat="1">
      <alignment horizontal="right" vertical="bottom"/>
    </xf>
    <xf borderId="71" fillId="0" fontId="13" numFmtId="0" xfId="0" applyAlignment="1" applyBorder="1" applyFont="1">
      <alignment vertical="bottom"/>
    </xf>
    <xf borderId="72" fillId="0" fontId="17" numFmtId="167" xfId="0" applyAlignment="1" applyBorder="1" applyFont="1" applyNumberFormat="1">
      <alignment horizontal="right" readingOrder="0" vertical="bottom"/>
    </xf>
    <xf borderId="73" fillId="0" fontId="17" numFmtId="167" xfId="0" applyAlignment="1" applyBorder="1" applyFont="1" applyNumberFormat="1">
      <alignment horizontal="right" vertical="bottom"/>
    </xf>
    <xf borderId="59" fillId="0" fontId="13" numFmtId="0" xfId="0" applyAlignment="1" applyBorder="1" applyFont="1">
      <alignment vertical="bottom"/>
    </xf>
    <xf borderId="74" fillId="0" fontId="11" numFmtId="0" xfId="0" applyAlignment="1" applyBorder="1" applyFont="1">
      <alignment vertical="bottom"/>
    </xf>
    <xf borderId="75" fillId="0" fontId="11" numFmtId="167" xfId="0" applyAlignment="1" applyBorder="1" applyFont="1" applyNumberFormat="1">
      <alignment horizontal="right" readingOrder="0" vertical="bottom"/>
    </xf>
    <xf borderId="76" fillId="0" fontId="11" numFmtId="167" xfId="0" applyAlignment="1" applyBorder="1" applyFont="1" applyNumberFormat="1">
      <alignment horizontal="right" readingOrder="0" vertical="bottom"/>
    </xf>
    <xf borderId="4" fillId="0" fontId="13" numFmtId="0" xfId="0" applyAlignment="1" applyBorder="1" applyFont="1">
      <alignment vertical="bottom"/>
    </xf>
    <xf borderId="77" fillId="0" fontId="13" numFmtId="0" xfId="0" applyAlignment="1" applyBorder="1" applyFont="1">
      <alignment vertical="bottom"/>
    </xf>
    <xf borderId="78" fillId="0" fontId="13" numFmtId="0" xfId="0" applyAlignment="1" applyBorder="1" applyFont="1">
      <alignment vertical="bottom"/>
    </xf>
    <xf borderId="79" fillId="0" fontId="13" numFmtId="0" xfId="0" applyAlignment="1" applyBorder="1" applyFont="1">
      <alignment vertical="bottom"/>
    </xf>
    <xf borderId="80" fillId="0" fontId="13" numFmtId="0" xfId="0" applyAlignment="1" applyBorder="1" applyFont="1">
      <alignment vertical="bottom"/>
    </xf>
    <xf borderId="12" fillId="0" fontId="13" numFmtId="167" xfId="0" applyAlignment="1" applyBorder="1" applyFont="1" applyNumberFormat="1">
      <alignment horizontal="right" vertical="bottom"/>
    </xf>
    <xf borderId="4" fillId="0" fontId="13" numFmtId="167" xfId="0" applyAlignment="1" applyBorder="1" applyFont="1" applyNumberFormat="1">
      <alignment horizontal="right" readingOrder="0" vertical="bottom"/>
    </xf>
    <xf borderId="81" fillId="0" fontId="13" numFmtId="167" xfId="0" applyAlignment="1" applyBorder="1" applyFont="1" applyNumberFormat="1">
      <alignment horizontal="right" vertical="bottom"/>
    </xf>
    <xf borderId="6" fillId="0" fontId="13" numFmtId="0" xfId="0" applyAlignment="1" applyBorder="1" applyFont="1">
      <alignment vertical="bottom"/>
    </xf>
    <xf borderId="82" fillId="0" fontId="13" numFmtId="0" xfId="0" applyAlignment="1" applyBorder="1" applyFont="1">
      <alignment vertical="bottom"/>
    </xf>
    <xf borderId="83" fillId="0" fontId="13" numFmtId="167" xfId="0" applyAlignment="1" applyBorder="1" applyFont="1" applyNumberFormat="1">
      <alignment horizontal="right" vertical="bottom"/>
    </xf>
    <xf borderId="84" fillId="0" fontId="13" numFmtId="167" xfId="0" applyAlignment="1" applyBorder="1" applyFont="1" applyNumberFormat="1">
      <alignment horizontal="right" vertical="bottom"/>
    </xf>
    <xf borderId="85" fillId="0" fontId="13" numFmtId="167" xfId="0" applyAlignment="1" applyBorder="1" applyFont="1" applyNumberFormat="1">
      <alignment horizontal="right" vertical="bottom"/>
    </xf>
    <xf borderId="86" fillId="0" fontId="13" numFmtId="167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9" fontId="2" numFmtId="3" xfId="0" applyAlignment="1" applyFill="1" applyFont="1" applyNumberFormat="1">
      <alignment readingOrder="0"/>
    </xf>
    <xf borderId="0" fillId="6" fontId="2" numFmtId="0" xfId="0" applyAlignment="1" applyFont="1">
      <alignment readingOrder="0"/>
    </xf>
    <xf borderId="0" fillId="0" fontId="2" numFmtId="3" xfId="0" applyFont="1" applyNumberFormat="1"/>
    <xf borderId="0" fillId="6" fontId="2" numFmtId="3" xfId="0" applyFont="1" applyNumberFormat="1"/>
    <xf borderId="0" fillId="0" fontId="2" numFmtId="3" xfId="0" applyAlignment="1" applyFont="1" applyNumberFormat="1">
      <alignment readingOrder="0"/>
    </xf>
    <xf borderId="0" fillId="7" fontId="2" numFmtId="0" xfId="0" applyAlignment="1" applyFont="1">
      <alignment readingOrder="0"/>
    </xf>
    <xf borderId="0" fillId="3" fontId="2" numFmtId="3" xfId="0" applyAlignment="1" applyFont="1" applyNumberFormat="1">
      <alignment readingOrder="0"/>
    </xf>
    <xf borderId="0" fillId="6" fontId="2" numFmtId="3" xfId="0" applyAlignment="1" applyFont="1" applyNumberFormat="1">
      <alignment readingOrder="0"/>
    </xf>
    <xf borderId="0" fillId="3" fontId="2" numFmtId="3" xfId="0" applyFont="1" applyNumberFormat="1"/>
    <xf borderId="0" fillId="0" fontId="2" numFmtId="168" xfId="0" applyFont="1" applyNumberFormat="1"/>
    <xf borderId="0" fillId="0" fontId="1" numFmtId="3" xfId="0" applyFont="1" applyNumberFormat="1"/>
    <xf borderId="0" fillId="0" fontId="2" numFmtId="165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6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>
      <c r="A2" s="2" t="s">
        <v>8</v>
      </c>
      <c r="B2" s="3" t="s">
        <v>9</v>
      </c>
      <c r="C2" s="4"/>
      <c r="D2" s="5"/>
      <c r="E2" s="6">
        <v>450.0</v>
      </c>
      <c r="F2" s="6" t="s">
        <v>10</v>
      </c>
      <c r="G2" s="6">
        <v>0.0</v>
      </c>
      <c r="H2" s="4"/>
      <c r="I2" s="2" t="s">
        <v>11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2"/>
      <c r="B3" s="3" t="s">
        <v>9</v>
      </c>
      <c r="C3" s="4"/>
      <c r="D3" s="5"/>
      <c r="E3" s="6">
        <v>0.0</v>
      </c>
      <c r="F3" s="6"/>
      <c r="G3" s="6">
        <v>1740.0</v>
      </c>
      <c r="H3" s="4"/>
      <c r="I3" s="2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7" t="s">
        <v>13</v>
      </c>
      <c r="B4" s="7" t="s">
        <v>14</v>
      </c>
      <c r="C4" s="8">
        <v>45822.0</v>
      </c>
      <c r="D4" s="9">
        <v>3000.0</v>
      </c>
      <c r="E4" s="9">
        <v>3000.0</v>
      </c>
      <c r="F4" s="10" t="s">
        <v>10</v>
      </c>
      <c r="G4" s="11"/>
    </row>
    <row r="5">
      <c r="A5" s="4"/>
      <c r="B5" s="2" t="s">
        <v>15</v>
      </c>
      <c r="C5" s="12">
        <v>45933.0</v>
      </c>
      <c r="D5" s="6">
        <v>540.0</v>
      </c>
      <c r="E5" s="6">
        <v>540.0</v>
      </c>
      <c r="F5" s="6" t="s">
        <v>10</v>
      </c>
      <c r="G5" s="6">
        <v>2030.0</v>
      </c>
      <c r="H5" s="4"/>
      <c r="I5" s="2" t="s">
        <v>12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3"/>
      <c r="B6" s="14" t="s">
        <v>16</v>
      </c>
      <c r="C6" s="13"/>
      <c r="D6" s="15"/>
      <c r="E6" s="16" t="s">
        <v>17</v>
      </c>
      <c r="F6" s="16"/>
      <c r="G6" s="16">
        <v>2232.0</v>
      </c>
      <c r="H6" s="13"/>
      <c r="I6" s="14" t="s">
        <v>18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2" t="s">
        <v>19</v>
      </c>
      <c r="B7" s="2" t="s">
        <v>14</v>
      </c>
      <c r="C7" s="12">
        <v>45936.0</v>
      </c>
      <c r="D7" s="6">
        <v>2793.6</v>
      </c>
      <c r="E7" s="6">
        <v>1024.0</v>
      </c>
      <c r="F7" s="6" t="s">
        <v>10</v>
      </c>
      <c r="G7" s="5">
        <f t="shared" ref="G7:G8" si="1">D7</f>
        <v>2793.6</v>
      </c>
      <c r="H7" s="4"/>
      <c r="I7" s="2" t="s">
        <v>12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2" t="s">
        <v>20</v>
      </c>
      <c r="B8" s="2" t="s">
        <v>21</v>
      </c>
      <c r="C8" s="12">
        <v>45985.0</v>
      </c>
      <c r="D8" s="6">
        <v>3000.0</v>
      </c>
      <c r="E8" s="5">
        <f>D8</f>
        <v>3000</v>
      </c>
      <c r="F8" s="6" t="s">
        <v>10</v>
      </c>
      <c r="G8" s="6">
        <f t="shared" si="1"/>
        <v>3000</v>
      </c>
      <c r="H8" s="4"/>
      <c r="I8" s="2" t="s">
        <v>12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D9" s="17"/>
      <c r="E9" s="17"/>
      <c r="F9" s="17"/>
      <c r="G9" s="17"/>
    </row>
    <row r="10">
      <c r="A10" s="2" t="s">
        <v>22</v>
      </c>
      <c r="B10" s="2" t="s">
        <v>23</v>
      </c>
      <c r="C10" s="12">
        <v>45936.0</v>
      </c>
      <c r="D10" s="6">
        <v>971.03</v>
      </c>
      <c r="E10" s="6">
        <f t="shared" ref="E10:E17" si="2">D10</f>
        <v>971.03</v>
      </c>
      <c r="F10" s="6" t="s">
        <v>10</v>
      </c>
      <c r="G10" s="5">
        <f t="shared" ref="G10:G17" si="3">D10</f>
        <v>971.03</v>
      </c>
      <c r="H10" s="4"/>
      <c r="I10" s="2" t="s">
        <v>12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" t="s">
        <v>24</v>
      </c>
      <c r="B11" s="2" t="s">
        <v>23</v>
      </c>
      <c r="C11" s="12">
        <v>45936.0</v>
      </c>
      <c r="D11" s="6">
        <v>2007.11</v>
      </c>
      <c r="E11" s="6">
        <f t="shared" si="2"/>
        <v>2007.11</v>
      </c>
      <c r="F11" s="6" t="s">
        <v>10</v>
      </c>
      <c r="G11" s="5">
        <f t="shared" si="3"/>
        <v>2007.11</v>
      </c>
      <c r="H11" s="4"/>
      <c r="I11" s="2" t="s">
        <v>12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2" t="s">
        <v>25</v>
      </c>
      <c r="B12" s="4"/>
      <c r="C12" s="12">
        <v>45933.0</v>
      </c>
      <c r="D12" s="6">
        <v>15125.0</v>
      </c>
      <c r="E12" s="6">
        <f t="shared" si="2"/>
        <v>15125</v>
      </c>
      <c r="F12" s="6" t="s">
        <v>10</v>
      </c>
      <c r="G12" s="5">
        <f t="shared" si="3"/>
        <v>15125</v>
      </c>
      <c r="H12" s="4"/>
      <c r="I12" s="2" t="s">
        <v>12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2" t="s">
        <v>26</v>
      </c>
      <c r="B13" s="4"/>
      <c r="C13" s="12">
        <v>45926.0</v>
      </c>
      <c r="D13" s="6">
        <v>4565.0</v>
      </c>
      <c r="E13" s="6">
        <f t="shared" si="2"/>
        <v>4565</v>
      </c>
      <c r="F13" s="6" t="s">
        <v>10</v>
      </c>
      <c r="G13" s="5">
        <f t="shared" si="3"/>
        <v>4565</v>
      </c>
      <c r="H13" s="4"/>
      <c r="I13" s="2" t="s">
        <v>12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2" t="s">
        <v>27</v>
      </c>
      <c r="B14" s="4"/>
      <c r="C14" s="12">
        <v>45930.0</v>
      </c>
      <c r="D14" s="2">
        <v>236.44</v>
      </c>
      <c r="E14" s="6">
        <f t="shared" si="2"/>
        <v>236.44</v>
      </c>
      <c r="F14" s="6" t="s">
        <v>10</v>
      </c>
      <c r="G14" s="5">
        <f t="shared" si="3"/>
        <v>236.44</v>
      </c>
      <c r="H14" s="4"/>
      <c r="I14" s="2" t="s">
        <v>12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2" t="s">
        <v>28</v>
      </c>
      <c r="B15" s="4"/>
      <c r="C15" s="12">
        <v>45847.0</v>
      </c>
      <c r="D15" s="2">
        <v>532.0</v>
      </c>
      <c r="E15" s="6">
        <f t="shared" si="2"/>
        <v>532</v>
      </c>
      <c r="F15" s="6" t="s">
        <v>10</v>
      </c>
      <c r="G15" s="5">
        <f t="shared" si="3"/>
        <v>532</v>
      </c>
      <c r="H15" s="4"/>
      <c r="I15" s="2" t="s">
        <v>12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2" t="s">
        <v>28</v>
      </c>
      <c r="B16" s="4"/>
      <c r="C16" s="12">
        <v>45847.0</v>
      </c>
      <c r="D16" s="2">
        <v>608.0</v>
      </c>
      <c r="E16" s="6">
        <f t="shared" si="2"/>
        <v>608</v>
      </c>
      <c r="F16" s="6" t="s">
        <v>10</v>
      </c>
      <c r="G16" s="5">
        <f t="shared" si="3"/>
        <v>608</v>
      </c>
      <c r="H16" s="4"/>
      <c r="I16" s="2" t="s">
        <v>12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2" t="s">
        <v>29</v>
      </c>
      <c r="B17" s="4"/>
      <c r="C17" s="12">
        <v>45903.0</v>
      </c>
      <c r="D17" s="2">
        <v>1282.54</v>
      </c>
      <c r="E17" s="6">
        <f t="shared" si="2"/>
        <v>1282.54</v>
      </c>
      <c r="F17" s="6" t="s">
        <v>10</v>
      </c>
      <c r="G17" s="5">
        <f t="shared" si="3"/>
        <v>1282.54</v>
      </c>
      <c r="H17" s="4"/>
      <c r="I17" s="2" t="s">
        <v>12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D18" s="17"/>
      <c r="E18" s="17"/>
      <c r="F18" s="17"/>
      <c r="G18" s="17"/>
    </row>
    <row r="19">
      <c r="D19" s="17"/>
      <c r="E19" s="17">
        <f>SUM(E2:E15)</f>
        <v>31450.58</v>
      </c>
      <c r="F19" s="17"/>
      <c r="G19" s="17">
        <f>SUM(G2:G15)</f>
        <v>35232.18</v>
      </c>
    </row>
    <row r="20">
      <c r="D20" s="17"/>
      <c r="E20" s="17"/>
      <c r="F20" s="17"/>
      <c r="G20" s="17"/>
    </row>
    <row r="21">
      <c r="D21" s="17"/>
      <c r="E21" s="17"/>
      <c r="F21" s="17"/>
      <c r="G21" s="17"/>
    </row>
    <row r="22">
      <c r="D22" s="17"/>
      <c r="E22" s="17"/>
      <c r="F22" s="17"/>
      <c r="G22" s="17"/>
    </row>
    <row r="23">
      <c r="C23" s="8"/>
      <c r="D23" s="9"/>
      <c r="E23" s="17"/>
      <c r="F23" s="17"/>
      <c r="G23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2">
      <c r="A2" s="18" t="s">
        <v>30</v>
      </c>
      <c r="B2" s="19"/>
      <c r="C2" s="19"/>
      <c r="D2" s="19"/>
      <c r="E2" s="19"/>
      <c r="F2" s="19"/>
      <c r="G2" s="19"/>
      <c r="H2" s="20"/>
    </row>
    <row r="3">
      <c r="A3" s="21" t="s">
        <v>31</v>
      </c>
      <c r="B3" s="22" t="s">
        <v>32</v>
      </c>
      <c r="C3" s="23" t="s">
        <v>33</v>
      </c>
      <c r="D3" s="24"/>
      <c r="E3" s="25" t="s">
        <v>34</v>
      </c>
      <c r="F3" s="26">
        <v>6.03195224E8</v>
      </c>
      <c r="G3" s="27"/>
      <c r="H3" s="28"/>
    </row>
    <row r="4">
      <c r="A4" s="29"/>
      <c r="B4" s="30" t="s">
        <v>35</v>
      </c>
      <c r="C4" s="23" t="s">
        <v>36</v>
      </c>
      <c r="D4" s="24"/>
      <c r="E4" s="31"/>
      <c r="F4" s="32"/>
      <c r="G4" s="33"/>
      <c r="H4" s="34"/>
    </row>
    <row r="5">
      <c r="A5" s="35"/>
      <c r="B5" s="36"/>
      <c r="C5" s="36"/>
      <c r="D5" s="36"/>
      <c r="E5" s="36"/>
      <c r="F5" s="37"/>
      <c r="G5" s="36"/>
      <c r="H5" s="38"/>
    </row>
    <row r="6">
      <c r="A6" s="39" t="s">
        <v>37</v>
      </c>
      <c r="B6" s="23" t="s">
        <v>38</v>
      </c>
      <c r="C6" s="40"/>
      <c r="D6" s="24"/>
      <c r="E6" s="23" t="s">
        <v>39</v>
      </c>
      <c r="F6" s="24"/>
      <c r="G6" s="23" t="s">
        <v>40</v>
      </c>
      <c r="H6" s="41"/>
    </row>
    <row r="7">
      <c r="A7" s="29"/>
      <c r="B7" s="42" t="s">
        <v>41</v>
      </c>
      <c r="C7" s="33"/>
      <c r="D7" s="43"/>
      <c r="E7" s="44" t="s">
        <v>42</v>
      </c>
      <c r="F7" s="43"/>
      <c r="G7" s="45" t="s">
        <v>43</v>
      </c>
      <c r="H7" s="46"/>
    </row>
    <row r="8">
      <c r="A8" s="35"/>
      <c r="B8" s="36"/>
      <c r="C8" s="36"/>
      <c r="D8" s="36"/>
      <c r="E8" s="36"/>
      <c r="F8" s="37"/>
      <c r="G8" s="36"/>
      <c r="H8" s="38"/>
    </row>
    <row r="9">
      <c r="A9" s="47" t="s">
        <v>44</v>
      </c>
      <c r="B9" s="25" t="s">
        <v>45</v>
      </c>
      <c r="C9" s="23" t="s">
        <v>46</v>
      </c>
      <c r="D9" s="24"/>
      <c r="E9" s="23" t="s">
        <v>47</v>
      </c>
      <c r="F9" s="24"/>
      <c r="G9" s="25" t="s">
        <v>48</v>
      </c>
      <c r="H9" s="48" t="s">
        <v>49</v>
      </c>
    </row>
    <row r="10">
      <c r="A10" s="49"/>
      <c r="B10" s="50" t="s">
        <v>50</v>
      </c>
      <c r="C10" s="42" t="s">
        <v>51</v>
      </c>
      <c r="D10" s="43"/>
      <c r="E10" s="42">
        <v>6.337609142E9</v>
      </c>
      <c r="F10" s="43"/>
      <c r="G10" s="25" t="s">
        <v>52</v>
      </c>
      <c r="H10" s="51">
        <v>7.5</v>
      </c>
    </row>
    <row r="11">
      <c r="A11" s="35"/>
      <c r="B11" s="36"/>
      <c r="C11" s="36"/>
      <c r="D11" s="36"/>
      <c r="E11" s="36"/>
      <c r="F11" s="36"/>
      <c r="G11" s="36"/>
      <c r="H11" s="38"/>
    </row>
    <row r="12">
      <c r="A12" s="52" t="s">
        <v>53</v>
      </c>
      <c r="B12" s="53" t="s">
        <v>54</v>
      </c>
      <c r="C12" s="27"/>
      <c r="D12" s="27"/>
      <c r="E12" s="27"/>
      <c r="F12" s="54"/>
      <c r="G12" s="55"/>
      <c r="H12" s="56"/>
    </row>
    <row r="13">
      <c r="A13" s="57"/>
      <c r="B13" s="58" t="s">
        <v>55</v>
      </c>
      <c r="C13" s="40"/>
      <c r="D13" s="40"/>
      <c r="E13" s="40"/>
      <c r="F13" s="24"/>
      <c r="G13" s="59"/>
      <c r="H13" s="60"/>
    </row>
    <row r="14">
      <c r="A14" s="61" t="s">
        <v>56</v>
      </c>
      <c r="B14" s="62" t="s">
        <v>57</v>
      </c>
      <c r="C14" s="62" t="s">
        <v>58</v>
      </c>
      <c r="D14" s="63" t="s">
        <v>59</v>
      </c>
      <c r="E14" s="63" t="s">
        <v>60</v>
      </c>
      <c r="F14" s="64" t="s">
        <v>61</v>
      </c>
      <c r="G14" s="65"/>
      <c r="H14" s="66"/>
    </row>
    <row r="15">
      <c r="A15" s="67">
        <v>45934.0</v>
      </c>
      <c r="B15" s="68" t="s">
        <v>62</v>
      </c>
      <c r="C15" s="68" t="s">
        <v>63</v>
      </c>
      <c r="D15" s="69">
        <v>155.0</v>
      </c>
      <c r="E15" s="70"/>
      <c r="F15" s="71" t="s">
        <v>64</v>
      </c>
      <c r="G15" s="72"/>
      <c r="H15" s="73"/>
    </row>
    <row r="16">
      <c r="A16" s="74">
        <v>45935.0</v>
      </c>
      <c r="B16" s="75" t="s">
        <v>65</v>
      </c>
      <c r="C16" s="75" t="s">
        <v>66</v>
      </c>
      <c r="D16" s="76">
        <v>155.0</v>
      </c>
      <c r="E16" s="31"/>
      <c r="F16" s="42" t="s">
        <v>67</v>
      </c>
      <c r="G16" s="33"/>
      <c r="H16" s="34"/>
    </row>
    <row r="17">
      <c r="A17" s="31"/>
      <c r="B17" s="70"/>
      <c r="C17" s="70"/>
      <c r="D17" s="70"/>
      <c r="E17" s="70"/>
      <c r="F17" s="77"/>
      <c r="G17" s="40"/>
      <c r="H17" s="41"/>
    </row>
    <row r="18">
      <c r="A18" s="31"/>
      <c r="B18" s="31"/>
      <c r="C18" s="31"/>
      <c r="D18" s="31"/>
      <c r="E18" s="31"/>
      <c r="F18" s="77"/>
      <c r="G18" s="40"/>
      <c r="H18" s="41"/>
    </row>
    <row r="19">
      <c r="A19" s="70"/>
      <c r="B19" s="70"/>
      <c r="C19" s="70"/>
      <c r="D19" s="70"/>
      <c r="E19" s="70"/>
      <c r="F19" s="77"/>
      <c r="G19" s="40"/>
      <c r="H19" s="41"/>
    </row>
    <row r="20">
      <c r="A20" s="31"/>
      <c r="B20" s="31"/>
      <c r="C20" s="31"/>
      <c r="D20" s="31"/>
      <c r="E20" s="31"/>
      <c r="F20" s="77"/>
      <c r="G20" s="40"/>
      <c r="H20" s="41"/>
    </row>
    <row r="21">
      <c r="A21" s="70"/>
      <c r="B21" s="70"/>
      <c r="C21" s="70"/>
      <c r="D21" s="70"/>
      <c r="E21" s="70"/>
      <c r="F21" s="77"/>
      <c r="G21" s="40"/>
      <c r="H21" s="41"/>
    </row>
    <row r="22">
      <c r="A22" s="31"/>
      <c r="B22" s="31"/>
      <c r="C22" s="31"/>
      <c r="D22" s="31"/>
      <c r="E22" s="31"/>
      <c r="F22" s="77"/>
      <c r="G22" s="40"/>
      <c r="H22" s="41"/>
    </row>
    <row r="23">
      <c r="A23" s="78"/>
      <c r="B23" s="78"/>
      <c r="C23" s="78"/>
      <c r="D23" s="78"/>
      <c r="E23" s="78"/>
      <c r="F23" s="79"/>
      <c r="G23" s="80"/>
      <c r="H23" s="81"/>
    </row>
    <row r="24">
      <c r="A24" s="29"/>
      <c r="B24" s="71" t="s">
        <v>68</v>
      </c>
      <c r="C24" s="82"/>
      <c r="D24" s="83">
        <v>310.0</v>
      </c>
      <c r="E24" s="83">
        <v>0.0</v>
      </c>
      <c r="F24" s="84"/>
      <c r="G24" s="33"/>
      <c r="H24" s="34"/>
    </row>
    <row r="25">
      <c r="A25" s="85"/>
      <c r="B25" s="86"/>
      <c r="C25" s="86"/>
      <c r="D25" s="86"/>
      <c r="E25" s="86"/>
      <c r="F25" s="86"/>
      <c r="G25" s="86"/>
      <c r="H25" s="87"/>
    </row>
    <row r="26">
      <c r="A26" s="88" t="s">
        <v>69</v>
      </c>
      <c r="B26" s="89"/>
      <c r="C26" s="90"/>
      <c r="D26" s="31"/>
      <c r="E26" s="91"/>
      <c r="F26" s="75" t="s">
        <v>70</v>
      </c>
      <c r="G26" s="75" t="s">
        <v>71</v>
      </c>
      <c r="H26" s="92" t="s">
        <v>72</v>
      </c>
    </row>
    <row r="27">
      <c r="A27" s="47">
        <v>1.0</v>
      </c>
      <c r="B27" s="93" t="s">
        <v>73</v>
      </c>
      <c r="D27" s="94">
        <v>2232.0</v>
      </c>
      <c r="E27" s="95"/>
      <c r="F27" s="70"/>
      <c r="G27" s="70"/>
      <c r="H27" s="96"/>
    </row>
    <row r="28">
      <c r="A28" s="97">
        <v>2.0</v>
      </c>
      <c r="B28" s="93" t="s">
        <v>74</v>
      </c>
      <c r="D28" s="70"/>
      <c r="E28" s="37"/>
      <c r="F28" s="70"/>
      <c r="G28" s="70"/>
      <c r="H28" s="96"/>
    </row>
    <row r="29">
      <c r="A29" s="97">
        <v>3.0</v>
      </c>
      <c r="B29" s="93" t="s">
        <v>75</v>
      </c>
      <c r="D29" s="70"/>
      <c r="E29" s="37"/>
      <c r="F29" s="70"/>
      <c r="G29" s="70"/>
      <c r="H29" s="96"/>
    </row>
    <row r="30">
      <c r="A30" s="97">
        <v>4.0</v>
      </c>
      <c r="B30" s="93" t="s">
        <v>76</v>
      </c>
      <c r="D30" s="70"/>
      <c r="E30" s="37"/>
      <c r="F30" s="70"/>
      <c r="G30" s="70"/>
      <c r="H30" s="96"/>
    </row>
    <row r="31">
      <c r="A31" s="97">
        <v>5.0</v>
      </c>
      <c r="B31" s="93" t="s">
        <v>77</v>
      </c>
      <c r="D31" s="70"/>
      <c r="E31" s="37"/>
      <c r="F31" s="70"/>
      <c r="G31" s="70"/>
      <c r="H31" s="96"/>
    </row>
    <row r="32">
      <c r="A32" s="97">
        <v>7.0</v>
      </c>
      <c r="B32" s="93" t="s">
        <v>78</v>
      </c>
      <c r="D32" s="70"/>
      <c r="E32" s="37"/>
      <c r="F32" s="70"/>
      <c r="G32" s="70"/>
      <c r="H32" s="96"/>
    </row>
    <row r="33">
      <c r="A33" s="97">
        <v>8.0</v>
      </c>
      <c r="B33" s="93" t="s">
        <v>79</v>
      </c>
      <c r="D33" s="70"/>
      <c r="E33" s="37"/>
      <c r="F33" s="70"/>
      <c r="G33" s="70"/>
      <c r="H33" s="96"/>
    </row>
    <row r="34">
      <c r="A34" s="97">
        <v>9.0</v>
      </c>
      <c r="B34" s="93" t="s">
        <v>80</v>
      </c>
      <c r="D34" s="70"/>
      <c r="E34" s="37"/>
      <c r="F34" s="70"/>
      <c r="G34" s="70"/>
      <c r="H34" s="96"/>
    </row>
    <row r="35">
      <c r="A35" s="97">
        <v>10.0</v>
      </c>
      <c r="B35" s="93" t="s">
        <v>81</v>
      </c>
      <c r="D35" s="70"/>
      <c r="E35" s="37"/>
      <c r="F35" s="70"/>
      <c r="G35" s="70"/>
      <c r="H35" s="96"/>
    </row>
    <row r="36">
      <c r="A36" s="97">
        <v>11.0</v>
      </c>
      <c r="B36" s="93" t="s">
        <v>82</v>
      </c>
      <c r="D36" s="70"/>
      <c r="E36" s="37"/>
      <c r="F36" s="70"/>
      <c r="G36" s="70"/>
      <c r="H36" s="96"/>
    </row>
    <row r="37">
      <c r="A37" s="98">
        <v>12.0</v>
      </c>
      <c r="B37" s="99" t="s">
        <v>37</v>
      </c>
      <c r="C37" s="33"/>
      <c r="D37" s="100"/>
      <c r="E37" s="101"/>
      <c r="F37" s="70"/>
      <c r="G37" s="70"/>
      <c r="H37" s="96"/>
    </row>
    <row r="38">
      <c r="A38" s="102"/>
      <c r="B38" s="103"/>
      <c r="C38" s="95"/>
      <c r="D38" s="104"/>
      <c r="E38" s="104"/>
      <c r="F38" s="104"/>
      <c r="G38" s="104"/>
      <c r="H38" s="105"/>
    </row>
    <row r="39">
      <c r="A39" s="97">
        <v>-1.0</v>
      </c>
      <c r="B39" s="93" t="s">
        <v>83</v>
      </c>
      <c r="C39" s="106"/>
      <c r="D39" s="70"/>
      <c r="E39" s="70"/>
      <c r="F39" s="70"/>
      <c r="G39" s="70"/>
      <c r="H39" s="96"/>
    </row>
    <row r="40">
      <c r="A40" s="98">
        <v>-2.0</v>
      </c>
      <c r="B40" s="99" t="s">
        <v>84</v>
      </c>
      <c r="C40" s="43"/>
      <c r="D40" s="100"/>
      <c r="E40" s="100"/>
      <c r="F40" s="100"/>
      <c r="G40" s="100"/>
      <c r="H40" s="107"/>
    </row>
    <row r="41">
      <c r="A41" s="102"/>
      <c r="B41" s="108"/>
      <c r="C41" s="37"/>
      <c r="D41" s="70"/>
      <c r="E41" s="104"/>
      <c r="F41" s="70"/>
      <c r="G41" s="70"/>
      <c r="H41" s="96"/>
    </row>
    <row r="42">
      <c r="A42" s="97">
        <v>13.0</v>
      </c>
      <c r="B42" s="93" t="s">
        <v>85</v>
      </c>
      <c r="C42" s="106"/>
      <c r="D42" s="70"/>
      <c r="E42" s="70"/>
      <c r="F42" s="70"/>
      <c r="G42" s="70"/>
      <c r="H42" s="96"/>
    </row>
    <row r="43">
      <c r="A43" s="98">
        <v>14.0</v>
      </c>
      <c r="B43" s="99" t="s">
        <v>86</v>
      </c>
      <c r="C43" s="43"/>
      <c r="D43" s="100"/>
      <c r="E43" s="100"/>
      <c r="F43" s="100"/>
      <c r="G43" s="100"/>
      <c r="H43" s="107"/>
    </row>
    <row r="44">
      <c r="A44" s="35"/>
      <c r="B44" s="36"/>
      <c r="C44" s="36"/>
      <c r="D44" s="36"/>
      <c r="E44" s="36"/>
      <c r="F44" s="36"/>
      <c r="G44" s="36"/>
      <c r="H44" s="38"/>
    </row>
    <row r="45">
      <c r="A45" s="109" t="s">
        <v>87</v>
      </c>
      <c r="B45" s="40"/>
      <c r="C45" s="40"/>
      <c r="D45" s="77"/>
      <c r="E45" s="40"/>
      <c r="F45" s="110" t="s">
        <v>88</v>
      </c>
      <c r="G45" s="111"/>
      <c r="H45" s="95"/>
    </row>
    <row r="46">
      <c r="A46" s="109" t="s">
        <v>89</v>
      </c>
      <c r="B46" s="40"/>
      <c r="C46" s="40"/>
      <c r="D46" s="77"/>
      <c r="E46" s="40"/>
      <c r="F46" s="100"/>
      <c r="G46" s="36"/>
      <c r="H46" s="37"/>
    </row>
    <row r="47">
      <c r="A47" s="112" t="s">
        <v>90</v>
      </c>
      <c r="B47" s="113"/>
      <c r="C47" s="113"/>
      <c r="D47" s="114"/>
      <c r="E47" s="113"/>
      <c r="F47" s="115" t="s">
        <v>91</v>
      </c>
      <c r="G47" s="116">
        <v>45936.0</v>
      </c>
      <c r="H47" s="101"/>
    </row>
    <row r="48">
      <c r="A48" s="109" t="s">
        <v>92</v>
      </c>
      <c r="B48" s="40"/>
      <c r="C48" s="40"/>
      <c r="D48" s="58">
        <v>2232.0</v>
      </c>
      <c r="E48" s="24"/>
      <c r="F48" s="99" t="s">
        <v>93</v>
      </c>
      <c r="G48" s="101"/>
      <c r="H48" s="107"/>
    </row>
    <row r="49">
      <c r="A49" s="109" t="s">
        <v>94</v>
      </c>
      <c r="B49" s="40"/>
      <c r="C49" s="40"/>
      <c r="D49" s="117">
        <v>0.0</v>
      </c>
      <c r="E49" s="24"/>
      <c r="F49" s="86"/>
      <c r="G49" s="86"/>
      <c r="H49" s="87"/>
    </row>
    <row r="50">
      <c r="A50" s="112" t="s">
        <v>95</v>
      </c>
      <c r="B50" s="113"/>
      <c r="C50" s="113"/>
      <c r="D50" s="118">
        <v>2232.0</v>
      </c>
      <c r="E50" s="119"/>
      <c r="F50" s="120"/>
      <c r="G50" s="121" t="s">
        <v>96</v>
      </c>
      <c r="H50" s="122"/>
    </row>
    <row r="51">
      <c r="A51" s="123"/>
    </row>
  </sheetData>
  <mergeCells count="56">
    <mergeCell ref="A2:H2"/>
    <mergeCell ref="C3:D3"/>
    <mergeCell ref="F3:H3"/>
    <mergeCell ref="C4:D4"/>
    <mergeCell ref="F4:H4"/>
    <mergeCell ref="E6:F6"/>
    <mergeCell ref="G6:H6"/>
    <mergeCell ref="B6:D6"/>
    <mergeCell ref="B7:D7"/>
    <mergeCell ref="E7:F7"/>
    <mergeCell ref="A9:A10"/>
    <mergeCell ref="C9:D9"/>
    <mergeCell ref="E9:F9"/>
    <mergeCell ref="C10:D10"/>
    <mergeCell ref="E10:F10"/>
    <mergeCell ref="B12:F12"/>
    <mergeCell ref="B13:F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B24:C24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9:C39"/>
    <mergeCell ref="B40:C40"/>
    <mergeCell ref="A47:C47"/>
    <mergeCell ref="A48:C48"/>
    <mergeCell ref="D48:E48"/>
    <mergeCell ref="A49:C49"/>
    <mergeCell ref="D49:E49"/>
    <mergeCell ref="A50:C50"/>
    <mergeCell ref="D50:E50"/>
    <mergeCell ref="B42:C42"/>
    <mergeCell ref="B43:C43"/>
    <mergeCell ref="A45:C45"/>
    <mergeCell ref="D45:E45"/>
    <mergeCell ref="A46:C46"/>
    <mergeCell ref="D46:E46"/>
    <mergeCell ref="D47:E4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7.13"/>
    <col customWidth="1" min="3" max="3" width="16.25"/>
    <col customWidth="1" min="4" max="7" width="13.63"/>
  </cols>
  <sheetData>
    <row r="1">
      <c r="A1" s="124" t="s">
        <v>97</v>
      </c>
      <c r="B1" s="125"/>
      <c r="C1" s="125"/>
      <c r="D1" s="125"/>
      <c r="E1" s="125"/>
      <c r="F1" s="125"/>
      <c r="G1" s="125"/>
    </row>
    <row r="2">
      <c r="A2" s="126" t="s">
        <v>98</v>
      </c>
      <c r="B2" s="127" t="s">
        <v>99</v>
      </c>
      <c r="C2" s="128" t="s">
        <v>100</v>
      </c>
      <c r="D2" s="128" t="s">
        <v>101</v>
      </c>
      <c r="E2" s="128" t="s">
        <v>102</v>
      </c>
      <c r="F2" s="129" t="s">
        <v>103</v>
      </c>
      <c r="G2" s="130" t="s">
        <v>104</v>
      </c>
    </row>
    <row r="3">
      <c r="A3" s="131" t="s">
        <v>105</v>
      </c>
      <c r="B3" s="132" t="s">
        <v>106</v>
      </c>
      <c r="C3" s="133">
        <v>120000.0</v>
      </c>
      <c r="D3" s="134">
        <f>SUMIFS('Náklady 2024'!$L$2:$L$38,'Náklady 2024'!$E$2:$E$38,B3)</f>
        <v>100600</v>
      </c>
      <c r="E3" s="135">
        <f t="shared" ref="E3:E21" si="1">C3-D3</f>
        <v>19400</v>
      </c>
      <c r="F3" s="136">
        <v>102000.0</v>
      </c>
      <c r="G3" s="137">
        <f t="shared" ref="G3:G21" si="2">F3-D3</f>
        <v>1400</v>
      </c>
    </row>
    <row r="4">
      <c r="A4" s="131" t="s">
        <v>105</v>
      </c>
      <c r="B4" s="138" t="s">
        <v>107</v>
      </c>
      <c r="C4" s="134">
        <v>0.0</v>
      </c>
      <c r="D4" s="134">
        <f>SUMIFS('Náklady 2024'!$L$2:$L$38,'Náklady 2024'!$E$2:$E$38,B4)</f>
        <v>0</v>
      </c>
      <c r="E4" s="135">
        <f t="shared" si="1"/>
        <v>0</v>
      </c>
      <c r="F4" s="139">
        <v>0.0</v>
      </c>
      <c r="G4" s="140">
        <f t="shared" si="2"/>
        <v>0</v>
      </c>
    </row>
    <row r="5">
      <c r="A5" s="131" t="s">
        <v>105</v>
      </c>
      <c r="B5" s="141" t="s">
        <v>108</v>
      </c>
      <c r="C5" s="134">
        <v>6000.0</v>
      </c>
      <c r="D5" s="134">
        <f>SUMIFS('Náklady 2024'!$L$2:$L$38,'Náklady 2024'!$E$2:$E$38,B5)</f>
        <v>10000</v>
      </c>
      <c r="E5" s="135">
        <f t="shared" si="1"/>
        <v>-4000</v>
      </c>
      <c r="F5" s="139">
        <v>6000.0</v>
      </c>
      <c r="G5" s="140">
        <f t="shared" si="2"/>
        <v>-4000</v>
      </c>
    </row>
    <row r="6">
      <c r="A6" s="131" t="s">
        <v>105</v>
      </c>
      <c r="B6" s="138" t="s">
        <v>109</v>
      </c>
      <c r="C6" s="134">
        <v>3000.0</v>
      </c>
      <c r="D6" s="134">
        <f>SUMIFS('Náklady 2024'!$L$2:$L$38,'Náklady 2024'!$E$2:$E$38,B6)</f>
        <v>4697</v>
      </c>
      <c r="E6" s="135">
        <f t="shared" si="1"/>
        <v>-1697</v>
      </c>
      <c r="F6" s="139">
        <v>869.0</v>
      </c>
      <c r="G6" s="140">
        <f t="shared" si="2"/>
        <v>-3828</v>
      </c>
    </row>
    <row r="7">
      <c r="A7" s="131" t="s">
        <v>105</v>
      </c>
      <c r="B7" s="142" t="s">
        <v>110</v>
      </c>
      <c r="C7" s="134">
        <v>6000.0</v>
      </c>
      <c r="D7" s="134">
        <f>SUMIFS('Náklady 2024'!$L$2:$L$38,'Náklady 2024'!$E$2:$E$38,B7)</f>
        <v>1000</v>
      </c>
      <c r="E7" s="135">
        <f t="shared" si="1"/>
        <v>5000</v>
      </c>
      <c r="F7" s="139">
        <v>4535.0</v>
      </c>
      <c r="G7" s="140">
        <f t="shared" si="2"/>
        <v>3535</v>
      </c>
    </row>
    <row r="8">
      <c r="A8" s="131" t="s">
        <v>111</v>
      </c>
      <c r="B8" s="141" t="s">
        <v>112</v>
      </c>
      <c r="C8" s="134">
        <v>7000.0</v>
      </c>
      <c r="D8" s="134">
        <f>SUMIFS('Náklady 2024'!$L$2:$L$38,'Náklady 2024'!$E$2:$E$38,B8)</f>
        <v>8442</v>
      </c>
      <c r="E8" s="135">
        <f t="shared" si="1"/>
        <v>-1442</v>
      </c>
      <c r="F8" s="139">
        <v>6500.0</v>
      </c>
      <c r="G8" s="140">
        <f t="shared" si="2"/>
        <v>-1942</v>
      </c>
    </row>
    <row r="9">
      <c r="A9" s="143" t="s">
        <v>113</v>
      </c>
      <c r="B9" s="138" t="s">
        <v>114</v>
      </c>
      <c r="C9" s="134">
        <v>2500.0</v>
      </c>
      <c r="D9" s="134">
        <f>SUMIFS('Náklady 2024'!$L$2:$L$38,'Náklady 2024'!$E$2:$E$38,B9)</f>
        <v>1689</v>
      </c>
      <c r="E9" s="135">
        <f t="shared" si="1"/>
        <v>811</v>
      </c>
      <c r="F9" s="139">
        <v>2389.0</v>
      </c>
      <c r="G9" s="140">
        <f t="shared" si="2"/>
        <v>700</v>
      </c>
    </row>
    <row r="10">
      <c r="A10" s="143" t="s">
        <v>113</v>
      </c>
      <c r="B10" s="144" t="s">
        <v>115</v>
      </c>
      <c r="C10" s="134"/>
      <c r="D10" s="134">
        <f>SUMIFS('Náklady 2024'!$L$2:$L$38,'Náklady 2024'!$E$2:$E$38,B10)</f>
        <v>1200</v>
      </c>
      <c r="E10" s="135">
        <f t="shared" si="1"/>
        <v>-1200</v>
      </c>
      <c r="F10" s="139"/>
      <c r="G10" s="140">
        <f t="shared" si="2"/>
        <v>-1200</v>
      </c>
    </row>
    <row r="11">
      <c r="A11" s="131" t="s">
        <v>116</v>
      </c>
      <c r="B11" s="144" t="s">
        <v>117</v>
      </c>
      <c r="C11" s="134">
        <v>2000.0</v>
      </c>
      <c r="D11" s="134">
        <f>SUMIFS('Náklady 2024'!$L$2:$L$38,'Náklady 2024'!$E$2:$E$38,B11)</f>
        <v>1500</v>
      </c>
      <c r="E11" s="135">
        <f t="shared" si="1"/>
        <v>500</v>
      </c>
      <c r="F11" s="139">
        <v>1500.0</v>
      </c>
      <c r="G11" s="140">
        <f t="shared" si="2"/>
        <v>0</v>
      </c>
    </row>
    <row r="12">
      <c r="A12" s="131" t="s">
        <v>116</v>
      </c>
      <c r="B12" s="138" t="s">
        <v>118</v>
      </c>
      <c r="C12" s="134">
        <v>700.0</v>
      </c>
      <c r="D12" s="134">
        <f>SUMIFS('Náklady 2024'!$L$2:$L$38,'Náklady 2024'!$E$2:$E$38,B12)</f>
        <v>700</v>
      </c>
      <c r="E12" s="135">
        <f t="shared" si="1"/>
        <v>0</v>
      </c>
      <c r="F12" s="139">
        <v>700.0</v>
      </c>
      <c r="G12" s="140">
        <f t="shared" si="2"/>
        <v>0</v>
      </c>
    </row>
    <row r="13">
      <c r="A13" s="131" t="s">
        <v>116</v>
      </c>
      <c r="B13" s="138" t="s">
        <v>119</v>
      </c>
      <c r="C13" s="134">
        <v>2000.0</v>
      </c>
      <c r="D13" s="134">
        <f>SUMIFS('Náklady 2024'!$L$2:$L$38,'Náklady 2024'!$E$2:$E$38,B13)</f>
        <v>2000</v>
      </c>
      <c r="E13" s="135">
        <f t="shared" si="1"/>
        <v>0</v>
      </c>
      <c r="F13" s="139">
        <v>1800.0</v>
      </c>
      <c r="G13" s="140">
        <f t="shared" si="2"/>
        <v>-200</v>
      </c>
    </row>
    <row r="14">
      <c r="A14" s="131" t="s">
        <v>120</v>
      </c>
      <c r="B14" s="145" t="s">
        <v>121</v>
      </c>
      <c r="C14" s="134">
        <f>15000*1.21</f>
        <v>18150</v>
      </c>
      <c r="D14" s="134">
        <f>SUMIFS('Náklady 2024'!$L$2:$L$38,'Náklady 2024'!$E$2:$E$38,B14)</f>
        <v>18150</v>
      </c>
      <c r="E14" s="135">
        <f t="shared" si="1"/>
        <v>0</v>
      </c>
      <c r="F14" s="139">
        <v>14520.0</v>
      </c>
      <c r="G14" s="140">
        <f t="shared" si="2"/>
        <v>-3630</v>
      </c>
    </row>
    <row r="15">
      <c r="A15" s="131" t="s">
        <v>122</v>
      </c>
      <c r="B15" s="138" t="s">
        <v>123</v>
      </c>
      <c r="C15" s="134">
        <v>5000.0</v>
      </c>
      <c r="D15" s="134">
        <f>SUMIFS('Náklady 2024'!$L$2:$L$38,'Náklady 2024'!$E$2:$E$38,B15)</f>
        <v>3000</v>
      </c>
      <c r="E15" s="135">
        <f t="shared" si="1"/>
        <v>2000</v>
      </c>
      <c r="F15" s="139">
        <v>4000.0</v>
      </c>
      <c r="G15" s="140">
        <f t="shared" si="2"/>
        <v>1000</v>
      </c>
    </row>
    <row r="16">
      <c r="A16" s="131" t="s">
        <v>122</v>
      </c>
      <c r="B16" s="138" t="s">
        <v>124</v>
      </c>
      <c r="C16" s="134">
        <v>4000.0</v>
      </c>
      <c r="D16" s="134">
        <f>SUMIFS('Náklady 2024'!$L$2:$L$38,'Náklady 2024'!$E$2:$E$38,B16)</f>
        <v>6755</v>
      </c>
      <c r="E16" s="135">
        <f t="shared" si="1"/>
        <v>-2755</v>
      </c>
      <c r="F16" s="139">
        <v>3005.0</v>
      </c>
      <c r="G16" s="140">
        <f t="shared" si="2"/>
        <v>-3750</v>
      </c>
    </row>
    <row r="17">
      <c r="A17" s="131" t="s">
        <v>125</v>
      </c>
      <c r="B17" s="144" t="s">
        <v>126</v>
      </c>
      <c r="C17" s="146">
        <v>4000.0</v>
      </c>
      <c r="D17" s="134">
        <f>SUMIFS('Náklady 2024'!$L$2:$L$38,'Náklady 2024'!$E$2:$E$38,B17)</f>
        <v>594</v>
      </c>
      <c r="E17" s="135">
        <f t="shared" si="1"/>
        <v>3406</v>
      </c>
      <c r="F17" s="139"/>
      <c r="G17" s="140">
        <f t="shared" si="2"/>
        <v>-594</v>
      </c>
    </row>
    <row r="18">
      <c r="A18" s="131" t="s">
        <v>125</v>
      </c>
      <c r="B18" s="147" t="s">
        <v>127</v>
      </c>
      <c r="C18" s="106"/>
      <c r="D18" s="134">
        <f>SUMIFS('Náklady 2024'!$L$2:$L$38,'Náklady 2024'!$E$2:$E$38,B18)</f>
        <v>3265</v>
      </c>
      <c r="E18" s="135">
        <f t="shared" si="1"/>
        <v>-3265</v>
      </c>
      <c r="F18" s="139">
        <v>3577.0</v>
      </c>
      <c r="G18" s="140">
        <f t="shared" si="2"/>
        <v>312</v>
      </c>
    </row>
    <row r="19">
      <c r="A19" s="131" t="s">
        <v>125</v>
      </c>
      <c r="B19" s="144" t="s">
        <v>28</v>
      </c>
      <c r="C19" s="43"/>
      <c r="D19" s="134">
        <f>SUMIFS('Náklady 2024'!$L$2:$L$38,'Náklady 2024'!$E$2:$E$38,B19)</f>
        <v>1020</v>
      </c>
      <c r="E19" s="135">
        <f t="shared" si="1"/>
        <v>-1020</v>
      </c>
      <c r="F19" s="139"/>
      <c r="G19" s="140">
        <f t="shared" si="2"/>
        <v>-1020</v>
      </c>
    </row>
    <row r="20">
      <c r="A20" s="131" t="s">
        <v>20</v>
      </c>
      <c r="B20" s="145" t="s">
        <v>128</v>
      </c>
      <c r="C20" s="134">
        <v>57000.0</v>
      </c>
      <c r="D20" s="134">
        <f>SUMIFS('Náklady 2024'!$L$2:$L$38,'Náklady 2024'!$E$2:$E$38,B20)</f>
        <v>45600</v>
      </c>
      <c r="E20" s="135">
        <f t="shared" si="1"/>
        <v>11400</v>
      </c>
      <c r="F20" s="139">
        <v>50100.0</v>
      </c>
      <c r="G20" s="140">
        <f t="shared" si="2"/>
        <v>4500</v>
      </c>
    </row>
    <row r="21">
      <c r="A21" s="148" t="s">
        <v>129</v>
      </c>
      <c r="B21" s="149" t="s">
        <v>130</v>
      </c>
      <c r="C21" s="150">
        <v>0.0</v>
      </c>
      <c r="D21" s="134">
        <f>SUMIFS('Náklady 2024'!$L$2:$L$38,'Náklady 2024'!$E$2:$E$38,B21)</f>
        <v>0</v>
      </c>
      <c r="E21" s="135">
        <f t="shared" si="1"/>
        <v>0</v>
      </c>
      <c r="F21" s="151">
        <v>17726.0</v>
      </c>
      <c r="G21" s="140">
        <f t="shared" si="2"/>
        <v>17726</v>
      </c>
    </row>
    <row r="22">
      <c r="A22" s="152" t="s">
        <v>131</v>
      </c>
      <c r="B22" s="153"/>
      <c r="C22" s="154">
        <f t="shared" ref="C22:G22" si="3">SUM(C3:C21)</f>
        <v>237350</v>
      </c>
      <c r="D22" s="154">
        <f t="shared" si="3"/>
        <v>210212</v>
      </c>
      <c r="E22" s="155">
        <f t="shared" si="3"/>
        <v>27138</v>
      </c>
      <c r="F22" s="156">
        <f t="shared" si="3"/>
        <v>219221</v>
      </c>
      <c r="G22" s="157">
        <f t="shared" si="3"/>
        <v>9009</v>
      </c>
    </row>
    <row r="23">
      <c r="C23" s="158" t="s">
        <v>132</v>
      </c>
      <c r="D23" s="159">
        <f>C22-D22</f>
        <v>27138</v>
      </c>
    </row>
    <row r="24">
      <c r="A24" s="160" t="s">
        <v>133</v>
      </c>
    </row>
    <row r="25">
      <c r="A25" s="161" t="s">
        <v>69</v>
      </c>
      <c r="B25" s="162" t="s">
        <v>134</v>
      </c>
      <c r="C25" s="162" t="s">
        <v>135</v>
      </c>
      <c r="D25" s="162" t="s">
        <v>136</v>
      </c>
      <c r="G25" s="163" t="s">
        <v>137</v>
      </c>
      <c r="H25" s="164" t="s">
        <v>100</v>
      </c>
      <c r="I25" s="165" t="s">
        <v>101</v>
      </c>
    </row>
    <row r="26">
      <c r="A26" s="166" t="s">
        <v>138</v>
      </c>
      <c r="B26" s="167">
        <v>219.0</v>
      </c>
      <c r="C26" s="168">
        <v>0.0</v>
      </c>
      <c r="D26" s="134">
        <f t="shared" ref="D26:D36" si="4">B26*C26</f>
        <v>0</v>
      </c>
      <c r="G26" s="169" t="s">
        <v>139</v>
      </c>
      <c r="H26" s="170">
        <v>239700.0</v>
      </c>
      <c r="I26" s="171">
        <f>D39</f>
        <v>237790</v>
      </c>
    </row>
    <row r="27">
      <c r="A27" s="148" t="s">
        <v>140</v>
      </c>
      <c r="B27" s="167">
        <v>253.0</v>
      </c>
      <c r="C27" s="168">
        <v>200.0</v>
      </c>
      <c r="D27" s="134">
        <f t="shared" si="4"/>
        <v>50600</v>
      </c>
      <c r="G27" s="172" t="s">
        <v>141</v>
      </c>
      <c r="H27" s="173">
        <v>-237350.0</v>
      </c>
      <c r="I27" s="174">
        <f>-D22</f>
        <v>-210212</v>
      </c>
    </row>
    <row r="28">
      <c r="A28" s="175" t="s">
        <v>142</v>
      </c>
      <c r="B28" s="167">
        <v>64.0</v>
      </c>
      <c r="C28" s="168">
        <v>200.0</v>
      </c>
      <c r="D28" s="134">
        <f t="shared" si="4"/>
        <v>12800</v>
      </c>
      <c r="G28" s="176" t="s">
        <v>131</v>
      </c>
      <c r="H28" s="177">
        <f t="shared" ref="H28:I28" si="5">H26+H27</f>
        <v>2350</v>
      </c>
      <c r="I28" s="178">
        <f t="shared" si="5"/>
        <v>27578</v>
      </c>
    </row>
    <row r="29">
      <c r="A29" s="179" t="s">
        <v>143</v>
      </c>
      <c r="B29" s="167">
        <v>62.0</v>
      </c>
      <c r="C29" s="168">
        <v>150.0</v>
      </c>
      <c r="D29" s="134">
        <f t="shared" si="4"/>
        <v>9300</v>
      </c>
    </row>
    <row r="30">
      <c r="A30" s="180" t="s">
        <v>144</v>
      </c>
      <c r="B30" s="167">
        <v>125.0</v>
      </c>
      <c r="C30" s="168">
        <v>150.0</v>
      </c>
      <c r="D30" s="134">
        <f t="shared" si="4"/>
        <v>18750</v>
      </c>
      <c r="G30" s="181" t="s">
        <v>145</v>
      </c>
      <c r="H30" s="182" t="s">
        <v>136</v>
      </c>
      <c r="I30" s="181" t="s">
        <v>146</v>
      </c>
      <c r="J30" s="183" t="s">
        <v>147</v>
      </c>
      <c r="K30" s="7" t="s">
        <v>148</v>
      </c>
    </row>
    <row r="31">
      <c r="A31" s="175" t="s">
        <v>149</v>
      </c>
      <c r="B31" s="167">
        <v>123.0</v>
      </c>
      <c r="C31" s="168">
        <v>230.0</v>
      </c>
      <c r="D31" s="134">
        <f t="shared" si="4"/>
        <v>28290</v>
      </c>
      <c r="G31" s="169" t="s">
        <v>150</v>
      </c>
      <c r="H31" s="184">
        <f>D37</f>
        <v>152790</v>
      </c>
      <c r="I31" s="184">
        <f>SUMIF('Náklady 2024'!$I$2:$I$38,G31,'Náklady 2024'!$L$2:$L$38)</f>
        <v>176567</v>
      </c>
      <c r="J31" s="171">
        <f t="shared" ref="J31:J34" si="6">H31-I31</f>
        <v>-23777</v>
      </c>
      <c r="K31" s="159">
        <v>44500.0</v>
      </c>
      <c r="L31" s="159">
        <f>J31+K31</f>
        <v>20723</v>
      </c>
    </row>
    <row r="32">
      <c r="A32" s="179" t="s">
        <v>151</v>
      </c>
      <c r="B32" s="167">
        <v>113.0</v>
      </c>
      <c r="C32" s="168">
        <v>170.0</v>
      </c>
      <c r="D32" s="134">
        <f t="shared" si="4"/>
        <v>19210</v>
      </c>
      <c r="G32" s="169" t="s">
        <v>152</v>
      </c>
      <c r="H32" s="185">
        <v>0.0</v>
      </c>
      <c r="I32" s="139">
        <f>SUMIF('Náklady 2024'!$I$2:$I$38,G32,'Náklady 2024'!$L$2:$L$38)</f>
        <v>9895</v>
      </c>
      <c r="J32" s="186">
        <f t="shared" si="6"/>
        <v>-9895</v>
      </c>
    </row>
    <row r="33">
      <c r="A33" s="180" t="s">
        <v>153</v>
      </c>
      <c r="B33" s="167">
        <v>77.0</v>
      </c>
      <c r="C33" s="168">
        <v>170.0</v>
      </c>
      <c r="D33" s="134">
        <f t="shared" si="4"/>
        <v>13090</v>
      </c>
      <c r="G33" s="169" t="s">
        <v>154</v>
      </c>
      <c r="H33" s="139">
        <f>D38</f>
        <v>85000</v>
      </c>
      <c r="I33" s="139">
        <f>SUMIF('Náklady 2024'!$I$2:$I$38,G33,'Náklady 2024'!$L$2:$L$38)</f>
        <v>23750</v>
      </c>
      <c r="J33" s="186">
        <f t="shared" si="6"/>
        <v>61250</v>
      </c>
    </row>
    <row r="34">
      <c r="A34" s="187" t="s">
        <v>155</v>
      </c>
      <c r="B34" s="167">
        <v>15.0</v>
      </c>
      <c r="C34" s="168">
        <v>50.0</v>
      </c>
      <c r="D34" s="134">
        <f t="shared" si="4"/>
        <v>750</v>
      </c>
      <c r="G34" s="188" t="s">
        <v>156</v>
      </c>
      <c r="H34" s="189">
        <f t="shared" ref="H34:I34" si="7">SUM(H31:H33)</f>
        <v>237790</v>
      </c>
      <c r="I34" s="189">
        <f t="shared" si="7"/>
        <v>210212</v>
      </c>
      <c r="J34" s="190">
        <f t="shared" si="6"/>
        <v>27578</v>
      </c>
    </row>
    <row r="35">
      <c r="A35" s="179" t="s">
        <v>157</v>
      </c>
      <c r="B35" s="167">
        <v>0.0</v>
      </c>
      <c r="C35" s="168">
        <v>-50.0</v>
      </c>
      <c r="D35" s="134">
        <f t="shared" si="4"/>
        <v>0</v>
      </c>
    </row>
    <row r="36">
      <c r="A36" s="179" t="s">
        <v>158</v>
      </c>
      <c r="B36" s="167">
        <v>0.0</v>
      </c>
      <c r="C36" s="168">
        <v>50.0</v>
      </c>
      <c r="D36" s="150">
        <f t="shared" si="4"/>
        <v>0</v>
      </c>
    </row>
    <row r="37">
      <c r="C37" s="175" t="s">
        <v>159</v>
      </c>
      <c r="D37" s="191">
        <f>SUM(D26:D36)</f>
        <v>152790</v>
      </c>
    </row>
    <row r="38">
      <c r="C38" s="180" t="s">
        <v>160</v>
      </c>
      <c r="D38" s="192">
        <v>85000.0</v>
      </c>
      <c r="E38" s="193" t="s">
        <v>161</v>
      </c>
    </row>
    <row r="39">
      <c r="C39" s="180" t="s">
        <v>162</v>
      </c>
      <c r="D39" s="192">
        <f>D37+D38</f>
        <v>237790</v>
      </c>
    </row>
  </sheetData>
  <mergeCells count="1">
    <mergeCell ref="C17:C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88"/>
    <col customWidth="1" min="6" max="6" width="2.0"/>
    <col customWidth="1" min="7" max="7" width="8.13"/>
  </cols>
  <sheetData>
    <row r="1">
      <c r="A1" s="1" t="s">
        <v>163</v>
      </c>
      <c r="B1" s="1" t="s">
        <v>164</v>
      </c>
      <c r="C1" s="1" t="s">
        <v>165</v>
      </c>
      <c r="D1" s="1" t="s">
        <v>166</v>
      </c>
      <c r="E1" s="1" t="s">
        <v>167</v>
      </c>
      <c r="F1" s="1"/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</row>
    <row r="2" hidden="1">
      <c r="A2" s="7" t="s">
        <v>176</v>
      </c>
      <c r="B2" s="7" t="s">
        <v>177</v>
      </c>
      <c r="C2" s="7" t="s">
        <v>23</v>
      </c>
      <c r="D2" s="194">
        <v>350.0</v>
      </c>
      <c r="E2" s="7" t="s">
        <v>28</v>
      </c>
      <c r="F2" s="7" t="str">
        <f>IF(ISNA(VLOOKUP(E2, 'Rozpočet 2024'!$B$3:$B$21, 1, FALSE)),"!",".")</f>
        <v>.</v>
      </c>
      <c r="G2" s="7" t="s">
        <v>10</v>
      </c>
      <c r="H2" s="7" t="s">
        <v>10</v>
      </c>
      <c r="I2" s="7" t="s">
        <v>150</v>
      </c>
      <c r="J2" s="7" t="s">
        <v>178</v>
      </c>
      <c r="K2" s="195" t="s">
        <v>10</v>
      </c>
      <c r="L2" s="196">
        <f t="shared" ref="L2:L38" si="1">IF(G2="ano",D2,0)</f>
        <v>350</v>
      </c>
      <c r="M2" s="197">
        <f t="shared" ref="M2:M37" si="2">IF(K2="ano",D2,0)</f>
        <v>350</v>
      </c>
      <c r="N2" s="7" t="s">
        <v>179</v>
      </c>
      <c r="O2" s="7" t="s">
        <v>180</v>
      </c>
    </row>
    <row r="3" hidden="1">
      <c r="A3" s="7" t="s">
        <v>176</v>
      </c>
      <c r="B3" s="7" t="s">
        <v>177</v>
      </c>
      <c r="C3" s="7" t="s">
        <v>23</v>
      </c>
      <c r="D3" s="194">
        <v>670.0</v>
      </c>
      <c r="E3" s="7" t="s">
        <v>28</v>
      </c>
      <c r="F3" s="7" t="str">
        <f>IF(ISNA(VLOOKUP(E3, 'Rozpočet 2024'!$B$3:$B$21, 1, FALSE)),"!",".")</f>
        <v>.</v>
      </c>
      <c r="G3" s="7" t="s">
        <v>10</v>
      </c>
      <c r="H3" s="7" t="s">
        <v>10</v>
      </c>
      <c r="I3" s="7" t="s">
        <v>150</v>
      </c>
      <c r="J3" s="7" t="s">
        <v>178</v>
      </c>
      <c r="K3" s="195" t="s">
        <v>10</v>
      </c>
      <c r="L3" s="196">
        <f t="shared" si="1"/>
        <v>670</v>
      </c>
      <c r="M3" s="197">
        <f t="shared" si="2"/>
        <v>670</v>
      </c>
      <c r="N3" s="7" t="s">
        <v>179</v>
      </c>
      <c r="O3" s="7" t="s">
        <v>181</v>
      </c>
    </row>
    <row r="4" hidden="1">
      <c r="A4" s="7" t="s">
        <v>182</v>
      </c>
      <c r="B4" s="7" t="s">
        <v>183</v>
      </c>
      <c r="C4" s="7" t="s">
        <v>23</v>
      </c>
      <c r="D4" s="194">
        <v>700.0</v>
      </c>
      <c r="E4" s="7" t="s">
        <v>118</v>
      </c>
      <c r="F4" s="7" t="str">
        <f>IF(ISNA(VLOOKUP(E4, 'Rozpočet 2024'!$B$3:$B$21, 1, FALSE)),"!",".")</f>
        <v>.</v>
      </c>
      <c r="G4" s="7" t="s">
        <v>10</v>
      </c>
      <c r="H4" s="7" t="s">
        <v>10</v>
      </c>
      <c r="I4" s="7" t="s">
        <v>150</v>
      </c>
      <c r="J4" s="7" t="s">
        <v>178</v>
      </c>
      <c r="K4" s="7" t="s">
        <v>184</v>
      </c>
      <c r="L4" s="196">
        <f t="shared" si="1"/>
        <v>700</v>
      </c>
      <c r="M4" s="196">
        <f t="shared" si="2"/>
        <v>0</v>
      </c>
      <c r="N4" s="7" t="s">
        <v>179</v>
      </c>
    </row>
    <row r="5" hidden="1">
      <c r="A5" s="7" t="s">
        <v>185</v>
      </c>
      <c r="B5" s="7" t="s">
        <v>186</v>
      </c>
      <c r="C5" s="7" t="s">
        <v>23</v>
      </c>
      <c r="D5" s="194">
        <v>2000.0</v>
      </c>
      <c r="E5" s="7" t="s">
        <v>119</v>
      </c>
      <c r="F5" s="7" t="str">
        <f>IF(ISNA(VLOOKUP(E5, 'Rozpočet 2024'!$B$3:$B$21, 1, FALSE)),"!",".")</f>
        <v>.</v>
      </c>
      <c r="G5" s="7" t="s">
        <v>10</v>
      </c>
      <c r="H5" s="7" t="s">
        <v>10</v>
      </c>
      <c r="I5" s="7" t="s">
        <v>150</v>
      </c>
      <c r="J5" s="7" t="s">
        <v>178</v>
      </c>
      <c r="K5" s="7" t="s">
        <v>184</v>
      </c>
      <c r="L5" s="196">
        <f t="shared" si="1"/>
        <v>2000</v>
      </c>
      <c r="M5" s="196">
        <f t="shared" si="2"/>
        <v>0</v>
      </c>
      <c r="N5" s="7" t="s">
        <v>179</v>
      </c>
    </row>
    <row r="6" hidden="1">
      <c r="A6" s="7" t="s">
        <v>187</v>
      </c>
      <c r="B6" s="7" t="s">
        <v>188</v>
      </c>
      <c r="C6" s="7" t="s">
        <v>23</v>
      </c>
      <c r="D6" s="194">
        <v>1500.0</v>
      </c>
      <c r="E6" s="7" t="s">
        <v>117</v>
      </c>
      <c r="F6" s="7" t="str">
        <f>IF(ISNA(VLOOKUP(E6, 'Rozpočet 2024'!$B$3:$B$21, 1, FALSE)),"!",".")</f>
        <v>.</v>
      </c>
      <c r="G6" s="7" t="s">
        <v>10</v>
      </c>
      <c r="H6" s="7" t="s">
        <v>10</v>
      </c>
      <c r="I6" s="7" t="s">
        <v>150</v>
      </c>
      <c r="J6" s="7" t="s">
        <v>178</v>
      </c>
      <c r="K6" s="7" t="s">
        <v>184</v>
      </c>
      <c r="L6" s="196">
        <f t="shared" si="1"/>
        <v>1500</v>
      </c>
      <c r="M6" s="196">
        <f t="shared" si="2"/>
        <v>0</v>
      </c>
      <c r="N6" s="7" t="s">
        <v>179</v>
      </c>
    </row>
    <row r="7" hidden="1">
      <c r="A7" s="7" t="s">
        <v>189</v>
      </c>
      <c r="C7" s="7" t="s">
        <v>190</v>
      </c>
      <c r="D7" s="198">
        <v>5600.0</v>
      </c>
      <c r="E7" s="7" t="s">
        <v>106</v>
      </c>
      <c r="F7" s="7" t="str">
        <f>IF(ISNA(VLOOKUP(E7, 'Rozpočet 2024'!$B$3:$B$21, 1, FALSE)),"!",".")</f>
        <v>.</v>
      </c>
      <c r="G7" s="7" t="s">
        <v>10</v>
      </c>
      <c r="H7" s="195" t="s">
        <v>10</v>
      </c>
      <c r="I7" s="7" t="s">
        <v>154</v>
      </c>
      <c r="J7" s="8">
        <v>45608.0</v>
      </c>
      <c r="K7" s="199" t="s">
        <v>10</v>
      </c>
      <c r="L7" s="196">
        <f t="shared" si="1"/>
        <v>5600</v>
      </c>
      <c r="M7" s="197">
        <f t="shared" si="2"/>
        <v>5600</v>
      </c>
      <c r="N7" s="7" t="s">
        <v>191</v>
      </c>
      <c r="O7" s="7" t="s">
        <v>192</v>
      </c>
    </row>
    <row r="8" hidden="1">
      <c r="A8" s="7" t="s">
        <v>189</v>
      </c>
      <c r="C8" s="7" t="s">
        <v>190</v>
      </c>
      <c r="D8" s="198">
        <v>95000.0</v>
      </c>
      <c r="E8" s="7" t="s">
        <v>106</v>
      </c>
      <c r="F8" s="7" t="str">
        <f>IF(ISNA(VLOOKUP(E8, 'Rozpočet 2024'!$B$3:$B$21, 1, FALSE)),"!",".")</f>
        <v>.</v>
      </c>
      <c r="G8" s="7" t="s">
        <v>10</v>
      </c>
      <c r="H8" s="195" t="s">
        <v>10</v>
      </c>
      <c r="I8" s="7" t="s">
        <v>150</v>
      </c>
      <c r="J8" s="8">
        <v>45626.0</v>
      </c>
      <c r="K8" s="7" t="s">
        <v>184</v>
      </c>
      <c r="L8" s="196">
        <f t="shared" si="1"/>
        <v>95000</v>
      </c>
      <c r="M8" s="196">
        <f t="shared" si="2"/>
        <v>0</v>
      </c>
    </row>
    <row r="9" hidden="1">
      <c r="A9" s="7" t="s">
        <v>193</v>
      </c>
      <c r="C9" s="7" t="s">
        <v>23</v>
      </c>
      <c r="D9" s="198">
        <v>8000.0</v>
      </c>
      <c r="E9" s="7" t="s">
        <v>108</v>
      </c>
      <c r="F9" s="7" t="str">
        <f>IF(ISNA(VLOOKUP(E9, 'Rozpočet 2024'!$B$3:$B$21, 1, FALSE)),"!",".")</f>
        <v>.</v>
      </c>
      <c r="G9" s="7" t="s">
        <v>10</v>
      </c>
      <c r="H9" s="195" t="s">
        <v>10</v>
      </c>
      <c r="I9" s="7" t="s">
        <v>150</v>
      </c>
      <c r="J9" s="8">
        <v>45626.0</v>
      </c>
      <c r="K9" s="199" t="s">
        <v>184</v>
      </c>
      <c r="L9" s="196">
        <f t="shared" si="1"/>
        <v>8000</v>
      </c>
      <c r="M9" s="196">
        <f t="shared" si="2"/>
        <v>0</v>
      </c>
      <c r="N9" s="14"/>
    </row>
    <row r="10" hidden="1">
      <c r="A10" s="7" t="s">
        <v>194</v>
      </c>
      <c r="C10" s="7" t="s">
        <v>23</v>
      </c>
      <c r="D10" s="198">
        <v>2000.0</v>
      </c>
      <c r="E10" s="7" t="s">
        <v>108</v>
      </c>
      <c r="F10" s="7" t="str">
        <f>IF(ISNA(VLOOKUP(E10, 'Rozpočet 2024'!$B$3:$B$21, 1, FALSE)),"!",".")</f>
        <v>.</v>
      </c>
      <c r="G10" s="7" t="s">
        <v>10</v>
      </c>
      <c r="H10" s="195" t="s">
        <v>10</v>
      </c>
      <c r="I10" s="7" t="s">
        <v>150</v>
      </c>
      <c r="J10" s="8">
        <v>45626.0</v>
      </c>
      <c r="K10" s="199" t="s">
        <v>184</v>
      </c>
      <c r="L10" s="196">
        <f t="shared" si="1"/>
        <v>2000</v>
      </c>
      <c r="M10" s="196">
        <f t="shared" si="2"/>
        <v>0</v>
      </c>
      <c r="N10" s="14"/>
    </row>
    <row r="11" hidden="1">
      <c r="A11" s="7" t="s">
        <v>195</v>
      </c>
      <c r="C11" s="7" t="s">
        <v>190</v>
      </c>
      <c r="D11" s="198">
        <v>2000.0</v>
      </c>
      <c r="E11" s="7" t="s">
        <v>109</v>
      </c>
      <c r="F11" s="7" t="str">
        <f>IF(ISNA(VLOOKUP(E11, 'Rozpočet 2024'!$B$3:$B$21, 1, FALSE)),"!",".")</f>
        <v>.</v>
      </c>
      <c r="G11" s="7" t="s">
        <v>10</v>
      </c>
      <c r="H11" s="195" t="s">
        <v>10</v>
      </c>
      <c r="I11" s="7" t="s">
        <v>150</v>
      </c>
      <c r="J11" s="8">
        <v>45626.0</v>
      </c>
      <c r="K11" s="7" t="s">
        <v>184</v>
      </c>
      <c r="L11" s="196">
        <f t="shared" si="1"/>
        <v>2000</v>
      </c>
      <c r="M11" s="196">
        <f t="shared" si="2"/>
        <v>0</v>
      </c>
      <c r="N11" s="7" t="s">
        <v>196</v>
      </c>
    </row>
    <row r="12" hidden="1">
      <c r="A12" s="7" t="s">
        <v>197</v>
      </c>
      <c r="B12" s="7" t="s">
        <v>198</v>
      </c>
      <c r="C12" s="7" t="s">
        <v>199</v>
      </c>
      <c r="D12" s="194">
        <v>1116.0</v>
      </c>
      <c r="E12" s="7" t="s">
        <v>109</v>
      </c>
      <c r="F12" s="7" t="str">
        <f>IF(ISNA(VLOOKUP(E12, 'Rozpočet 2024'!$B$3:$B$21, 1, FALSE)),"!",".")</f>
        <v>.</v>
      </c>
      <c r="G12" s="7" t="s">
        <v>10</v>
      </c>
      <c r="H12" s="7" t="s">
        <v>10</v>
      </c>
      <c r="I12" s="7" t="s">
        <v>150</v>
      </c>
      <c r="J12" s="7" t="s">
        <v>178</v>
      </c>
      <c r="K12" s="195" t="s">
        <v>10</v>
      </c>
      <c r="L12" s="196">
        <f t="shared" si="1"/>
        <v>1116</v>
      </c>
      <c r="M12" s="197">
        <f t="shared" si="2"/>
        <v>1116</v>
      </c>
      <c r="N12" s="7"/>
      <c r="O12" s="7" t="s">
        <v>200</v>
      </c>
    </row>
    <row r="13" hidden="1">
      <c r="A13" s="7" t="s">
        <v>201</v>
      </c>
      <c r="B13" s="7" t="s">
        <v>198</v>
      </c>
      <c r="C13" s="7" t="s">
        <v>199</v>
      </c>
      <c r="D13" s="194">
        <v>1581.0</v>
      </c>
      <c r="E13" s="7" t="s">
        <v>109</v>
      </c>
      <c r="F13" s="7" t="str">
        <f>IF(ISNA(VLOOKUP(E13, 'Rozpočet 2024'!$B$3:$B$21, 1, FALSE)),"!",".")</f>
        <v>.</v>
      </c>
      <c r="G13" s="7" t="s">
        <v>10</v>
      </c>
      <c r="H13" s="7" t="s">
        <v>10</v>
      </c>
      <c r="I13" s="7" t="s">
        <v>150</v>
      </c>
      <c r="J13" s="7" t="s">
        <v>178</v>
      </c>
      <c r="K13" s="195" t="s">
        <v>10</v>
      </c>
      <c r="L13" s="196">
        <f t="shared" si="1"/>
        <v>1581</v>
      </c>
      <c r="M13" s="197">
        <f t="shared" si="2"/>
        <v>1581</v>
      </c>
      <c r="N13" s="7"/>
      <c r="O13" s="7" t="s">
        <v>200</v>
      </c>
    </row>
    <row r="14" hidden="1">
      <c r="A14" s="7" t="s">
        <v>202</v>
      </c>
      <c r="C14" s="7" t="s">
        <v>23</v>
      </c>
      <c r="D14" s="194">
        <v>1000.0</v>
      </c>
      <c r="E14" s="7" t="s">
        <v>127</v>
      </c>
      <c r="F14" s="7" t="str">
        <f>IF(ISNA(VLOOKUP(E14, 'Rozpočet 2024'!$B$3:$B$21, 1, FALSE)),"!",".")</f>
        <v>.</v>
      </c>
      <c r="G14" s="7" t="s">
        <v>10</v>
      </c>
      <c r="H14" s="7" t="s">
        <v>10</v>
      </c>
      <c r="I14" s="7" t="s">
        <v>150</v>
      </c>
      <c r="J14" s="7" t="s">
        <v>178</v>
      </c>
      <c r="K14" s="7" t="s">
        <v>184</v>
      </c>
      <c r="L14" s="196">
        <f t="shared" si="1"/>
        <v>1000</v>
      </c>
      <c r="M14" s="196">
        <f t="shared" si="2"/>
        <v>0</v>
      </c>
      <c r="N14" s="7" t="s">
        <v>179</v>
      </c>
    </row>
    <row r="15">
      <c r="A15" s="7" t="s">
        <v>203</v>
      </c>
      <c r="C15" s="7" t="s">
        <v>14</v>
      </c>
      <c r="D15" s="198">
        <v>2265.0</v>
      </c>
      <c r="E15" s="7" t="s">
        <v>127</v>
      </c>
      <c r="F15" s="7" t="str">
        <f>IF(ISNA(VLOOKUP(E15, 'Rozpočet 2024'!$B$3:$B$21, 1, FALSE)),"!",".")</f>
        <v>.</v>
      </c>
      <c r="G15" s="7" t="s">
        <v>10</v>
      </c>
      <c r="H15" s="14" t="s">
        <v>10</v>
      </c>
      <c r="I15" s="7" t="s">
        <v>152</v>
      </c>
      <c r="J15" s="8">
        <v>45646.0</v>
      </c>
      <c r="K15" s="7" t="s">
        <v>184</v>
      </c>
      <c r="L15" s="196">
        <f t="shared" si="1"/>
        <v>2265</v>
      </c>
      <c r="M15" s="196">
        <f t="shared" si="2"/>
        <v>0</v>
      </c>
      <c r="N15" s="14" t="s">
        <v>204</v>
      </c>
    </row>
    <row r="16" hidden="1">
      <c r="A16" s="7" t="s">
        <v>205</v>
      </c>
      <c r="B16" s="7" t="s">
        <v>14</v>
      </c>
      <c r="C16" s="7" t="s">
        <v>206</v>
      </c>
      <c r="D16" s="198">
        <v>4227.0</v>
      </c>
      <c r="E16" s="7" t="s">
        <v>127</v>
      </c>
      <c r="F16" s="7" t="str">
        <f>IF(ISNA(VLOOKUP(E16, 'Rozpočet 2024'!$B$3:$B$21, 1, FALSE)),"!",".")</f>
        <v>.</v>
      </c>
      <c r="G16" s="7" t="s">
        <v>184</v>
      </c>
      <c r="K16" s="195" t="s">
        <v>10</v>
      </c>
      <c r="L16" s="196">
        <f t="shared" si="1"/>
        <v>0</v>
      </c>
      <c r="M16" s="197">
        <f t="shared" si="2"/>
        <v>4227</v>
      </c>
      <c r="N16" s="7" t="s">
        <v>207</v>
      </c>
      <c r="O16" s="7" t="s">
        <v>208</v>
      </c>
    </row>
    <row r="17" hidden="1">
      <c r="A17" s="7" t="s">
        <v>205</v>
      </c>
      <c r="B17" s="7" t="s">
        <v>209</v>
      </c>
      <c r="C17" s="7" t="s">
        <v>206</v>
      </c>
      <c r="D17" s="200"/>
      <c r="E17" s="7" t="s">
        <v>110</v>
      </c>
      <c r="F17" s="7" t="str">
        <f>IF(ISNA(VLOOKUP(E17, 'Rozpočet 2024'!$B$3:$B$21, 1, FALSE)),"!",".")</f>
        <v>.</v>
      </c>
      <c r="G17" s="7" t="s">
        <v>184</v>
      </c>
      <c r="L17" s="196">
        <f t="shared" si="1"/>
        <v>0</v>
      </c>
      <c r="M17" s="196">
        <f t="shared" si="2"/>
        <v>0</v>
      </c>
    </row>
    <row r="18" hidden="1">
      <c r="A18" s="7" t="s">
        <v>205</v>
      </c>
      <c r="B18" s="7" t="s">
        <v>210</v>
      </c>
      <c r="C18" s="7" t="s">
        <v>206</v>
      </c>
      <c r="D18" s="200"/>
      <c r="E18" s="7" t="s">
        <v>110</v>
      </c>
      <c r="F18" s="7" t="str">
        <f>IF(ISNA(VLOOKUP(E18, 'Rozpočet 2024'!$B$3:$B$21, 1, FALSE)),"!",".")</f>
        <v>.</v>
      </c>
      <c r="G18" s="7" t="s">
        <v>184</v>
      </c>
      <c r="L18" s="196">
        <f t="shared" si="1"/>
        <v>0</v>
      </c>
      <c r="M18" s="196">
        <f t="shared" si="2"/>
        <v>0</v>
      </c>
    </row>
    <row r="19" hidden="1">
      <c r="A19" s="7" t="s">
        <v>205</v>
      </c>
      <c r="B19" s="7" t="s">
        <v>211</v>
      </c>
      <c r="C19" s="7" t="s">
        <v>206</v>
      </c>
      <c r="D19" s="201">
        <v>2328.0</v>
      </c>
      <c r="E19" s="7" t="s">
        <v>110</v>
      </c>
      <c r="F19" s="7" t="str">
        <f>IF(ISNA(VLOOKUP(E19, 'Rozpočet 2024'!$B$3:$B$21, 1, FALSE)),"!",".")</f>
        <v>.</v>
      </c>
      <c r="G19" s="7" t="s">
        <v>184</v>
      </c>
      <c r="H19" s="7"/>
      <c r="K19" s="195" t="s">
        <v>10</v>
      </c>
      <c r="L19" s="196">
        <f t="shared" si="1"/>
        <v>0</v>
      </c>
      <c r="M19" s="197">
        <f t="shared" si="2"/>
        <v>2328</v>
      </c>
      <c r="O19" s="7" t="s">
        <v>212</v>
      </c>
    </row>
    <row r="20" hidden="1">
      <c r="A20" s="7" t="s">
        <v>205</v>
      </c>
      <c r="B20" s="7" t="s">
        <v>213</v>
      </c>
      <c r="C20" s="7" t="s">
        <v>206</v>
      </c>
      <c r="D20" s="201">
        <v>1740.0</v>
      </c>
      <c r="E20" s="7" t="s">
        <v>110</v>
      </c>
      <c r="F20" s="7" t="str">
        <f>IF(ISNA(VLOOKUP(E20, 'Rozpočet 2024'!$B$3:$B$21, 1, FALSE)),"!",".")</f>
        <v>.</v>
      </c>
      <c r="G20" s="7" t="s">
        <v>184</v>
      </c>
      <c r="H20" s="7"/>
      <c r="K20" s="14" t="s">
        <v>184</v>
      </c>
      <c r="L20" s="196">
        <f t="shared" si="1"/>
        <v>0</v>
      </c>
      <c r="M20" s="202">
        <f t="shared" si="2"/>
        <v>0</v>
      </c>
      <c r="N20" s="7" t="s">
        <v>214</v>
      </c>
      <c r="O20" s="7" t="s">
        <v>215</v>
      </c>
    </row>
    <row r="21" hidden="1">
      <c r="A21" s="7" t="s">
        <v>205</v>
      </c>
      <c r="B21" s="7" t="s">
        <v>216</v>
      </c>
      <c r="C21" s="7" t="s">
        <v>206</v>
      </c>
      <c r="D21" s="200"/>
      <c r="E21" s="7" t="s">
        <v>110</v>
      </c>
      <c r="F21" s="7" t="str">
        <f>IF(ISNA(VLOOKUP(E21, 'Rozpočet 2024'!$B$3:$B$21, 1, FALSE)),"!",".")</f>
        <v>.</v>
      </c>
      <c r="G21" s="7" t="s">
        <v>184</v>
      </c>
      <c r="H21" s="7"/>
      <c r="K21" s="7"/>
      <c r="L21" s="196">
        <f t="shared" si="1"/>
        <v>0</v>
      </c>
      <c r="M21" s="196">
        <f t="shared" si="2"/>
        <v>0</v>
      </c>
      <c r="O21" s="7"/>
    </row>
    <row r="22" hidden="1">
      <c r="A22" s="7" t="s">
        <v>205</v>
      </c>
      <c r="B22" s="7" t="s">
        <v>217</v>
      </c>
      <c r="C22" s="7" t="s">
        <v>206</v>
      </c>
      <c r="D22" s="201">
        <v>1896.0</v>
      </c>
      <c r="E22" s="7" t="s">
        <v>110</v>
      </c>
      <c r="F22" s="7" t="str">
        <f>IF(ISNA(VLOOKUP(E22, 'Rozpočet 2024'!$B$3:$B$21, 1, FALSE)),"!",".")</f>
        <v>.</v>
      </c>
      <c r="G22" s="7" t="s">
        <v>184</v>
      </c>
      <c r="H22" s="7"/>
      <c r="K22" s="195" t="s">
        <v>10</v>
      </c>
      <c r="L22" s="196">
        <f t="shared" si="1"/>
        <v>0</v>
      </c>
      <c r="M22" s="197">
        <f t="shared" si="2"/>
        <v>1896</v>
      </c>
      <c r="O22" s="7" t="s">
        <v>218</v>
      </c>
    </row>
    <row r="23" hidden="1">
      <c r="A23" s="7" t="s">
        <v>205</v>
      </c>
      <c r="B23" s="7" t="s">
        <v>219</v>
      </c>
      <c r="C23" s="7" t="s">
        <v>206</v>
      </c>
      <c r="D23" s="201">
        <v>1836.0</v>
      </c>
      <c r="E23" s="7" t="s">
        <v>110</v>
      </c>
      <c r="F23" s="7" t="str">
        <f>IF(ISNA(VLOOKUP(E23, 'Rozpočet 2024'!$B$3:$B$21, 1, FALSE)),"!",".")</f>
        <v>.</v>
      </c>
      <c r="G23" s="7" t="s">
        <v>184</v>
      </c>
      <c r="H23" s="7"/>
      <c r="K23" s="195" t="s">
        <v>10</v>
      </c>
      <c r="L23" s="196">
        <f t="shared" si="1"/>
        <v>0</v>
      </c>
      <c r="M23" s="197">
        <f t="shared" si="2"/>
        <v>1836</v>
      </c>
      <c r="O23" s="7" t="s">
        <v>220</v>
      </c>
    </row>
    <row r="24">
      <c r="A24" s="7" t="s">
        <v>221</v>
      </c>
      <c r="B24" s="7" t="s">
        <v>219</v>
      </c>
      <c r="C24" s="7" t="s">
        <v>219</v>
      </c>
      <c r="D24" s="201">
        <v>1000.0</v>
      </c>
      <c r="E24" s="7" t="s">
        <v>110</v>
      </c>
      <c r="F24" s="7" t="str">
        <f>IF(ISNA(VLOOKUP(E24, 'Rozpočet 2024'!$B$3:$B$21, 1, FALSE)),"!",".")</f>
        <v>.</v>
      </c>
      <c r="G24" s="7" t="s">
        <v>10</v>
      </c>
      <c r="H24" s="7" t="s">
        <v>10</v>
      </c>
      <c r="I24" s="7" t="s">
        <v>152</v>
      </c>
      <c r="J24" s="8">
        <v>45600.0</v>
      </c>
      <c r="K24" s="7" t="s">
        <v>184</v>
      </c>
      <c r="L24" s="196">
        <f t="shared" si="1"/>
        <v>1000</v>
      </c>
      <c r="M24" s="196">
        <f t="shared" si="2"/>
        <v>0</v>
      </c>
    </row>
    <row r="25" hidden="1">
      <c r="C25" s="7" t="s">
        <v>17</v>
      </c>
      <c r="D25" s="198"/>
      <c r="E25" s="7" t="s">
        <v>110</v>
      </c>
      <c r="F25" s="7" t="str">
        <f>IF(ISNA(VLOOKUP(E25, 'Rozpočet 2024'!$B$3:$B$21, 1, FALSE)),"!",".")</f>
        <v>.</v>
      </c>
      <c r="G25" s="7" t="s">
        <v>184</v>
      </c>
      <c r="H25" s="7" t="s">
        <v>184</v>
      </c>
      <c r="L25" s="196">
        <f t="shared" si="1"/>
        <v>0</v>
      </c>
      <c r="M25" s="196">
        <f t="shared" si="2"/>
        <v>0</v>
      </c>
    </row>
    <row r="26" hidden="1">
      <c r="A26" s="7" t="s">
        <v>222</v>
      </c>
      <c r="C26" s="7" t="s">
        <v>23</v>
      </c>
      <c r="D26" s="198">
        <v>8442.0</v>
      </c>
      <c r="E26" s="7" t="s">
        <v>112</v>
      </c>
      <c r="F26" s="7" t="str">
        <f>IF(ISNA(VLOOKUP(E26, 'Rozpočet 2024'!$B$3:$B$21, 1, FALSE)),"!",".")</f>
        <v>.</v>
      </c>
      <c r="G26" s="7" t="s">
        <v>10</v>
      </c>
      <c r="H26" s="195" t="s">
        <v>10</v>
      </c>
      <c r="I26" s="7" t="s">
        <v>150</v>
      </c>
      <c r="J26" s="8">
        <v>45626.0</v>
      </c>
      <c r="K26" s="199" t="s">
        <v>184</v>
      </c>
      <c r="L26" s="196">
        <f t="shared" si="1"/>
        <v>8442</v>
      </c>
      <c r="M26" s="196">
        <f t="shared" si="2"/>
        <v>0</v>
      </c>
      <c r="N26" s="7" t="s">
        <v>223</v>
      </c>
    </row>
    <row r="27">
      <c r="A27" s="7" t="s">
        <v>224</v>
      </c>
      <c r="B27" s="7" t="s">
        <v>225</v>
      </c>
      <c r="C27" s="7" t="s">
        <v>226</v>
      </c>
      <c r="D27" s="198">
        <f>264+180</f>
        <v>444</v>
      </c>
      <c r="E27" s="7" t="s">
        <v>114</v>
      </c>
      <c r="F27" s="7" t="str">
        <f>IF(ISNA(VLOOKUP(E27, 'Rozpočet 2024'!$B$3:$B$21, 1, FALSE)),"!",".")</f>
        <v>.</v>
      </c>
      <c r="G27" s="7" t="s">
        <v>10</v>
      </c>
      <c r="H27" s="195" t="s">
        <v>10</v>
      </c>
      <c r="I27" s="7" t="s">
        <v>152</v>
      </c>
      <c r="J27" s="8">
        <v>45586.0</v>
      </c>
      <c r="K27" s="195" t="s">
        <v>10</v>
      </c>
      <c r="L27" s="196">
        <f t="shared" si="1"/>
        <v>444</v>
      </c>
      <c r="M27" s="197">
        <f t="shared" si="2"/>
        <v>444</v>
      </c>
      <c r="O27" s="7" t="s">
        <v>227</v>
      </c>
    </row>
    <row r="28">
      <c r="A28" s="7" t="s">
        <v>228</v>
      </c>
      <c r="C28" s="7" t="s">
        <v>229</v>
      </c>
      <c r="D28" s="198">
        <v>120.0</v>
      </c>
      <c r="E28" s="7" t="s">
        <v>114</v>
      </c>
      <c r="F28" s="7" t="str">
        <f>IF(ISNA(VLOOKUP(E28, 'Rozpočet 2024'!$B$3:$B$21, 1, FALSE)),"!",".")</f>
        <v>.</v>
      </c>
      <c r="G28" s="7" t="s">
        <v>10</v>
      </c>
      <c r="H28" s="195" t="s">
        <v>10</v>
      </c>
      <c r="I28" s="7" t="s">
        <v>152</v>
      </c>
      <c r="J28" s="8">
        <v>45600.0</v>
      </c>
      <c r="K28" s="195" t="s">
        <v>10</v>
      </c>
      <c r="L28" s="196">
        <f t="shared" si="1"/>
        <v>120</v>
      </c>
      <c r="M28" s="197">
        <f t="shared" si="2"/>
        <v>120</v>
      </c>
      <c r="N28" s="7"/>
      <c r="O28" s="7" t="s">
        <v>230</v>
      </c>
    </row>
    <row r="29">
      <c r="A29" s="7" t="s">
        <v>231</v>
      </c>
      <c r="C29" s="7" t="s">
        <v>229</v>
      </c>
      <c r="D29" s="198">
        <v>1125.0</v>
      </c>
      <c r="E29" s="7" t="s">
        <v>114</v>
      </c>
      <c r="F29" s="7" t="str">
        <f>IF(ISNA(VLOOKUP(E29, 'Rozpočet 2024'!$B$3:$B$21, 1, FALSE)),"!",".")</f>
        <v>.</v>
      </c>
      <c r="G29" s="7" t="s">
        <v>10</v>
      </c>
      <c r="H29" s="195" t="s">
        <v>10</v>
      </c>
      <c r="I29" s="7" t="s">
        <v>152</v>
      </c>
      <c r="J29" s="8">
        <v>45600.0</v>
      </c>
      <c r="K29" s="195" t="s">
        <v>10</v>
      </c>
      <c r="L29" s="196">
        <f t="shared" si="1"/>
        <v>1125</v>
      </c>
      <c r="M29" s="197">
        <f t="shared" si="2"/>
        <v>1125</v>
      </c>
      <c r="N29" s="7"/>
      <c r="O29" s="7" t="s">
        <v>232</v>
      </c>
    </row>
    <row r="30" hidden="1">
      <c r="A30" s="7" t="s">
        <v>121</v>
      </c>
      <c r="C30" s="7" t="s">
        <v>233</v>
      </c>
      <c r="D30" s="198">
        <f>15000*1.21</f>
        <v>18150</v>
      </c>
      <c r="E30" s="7" t="s">
        <v>121</v>
      </c>
      <c r="F30" s="7" t="str">
        <f>IF(ISNA(VLOOKUP(E30, 'Rozpočet 2024'!$B$3:$B$21, 1, FALSE)),"!",".")</f>
        <v>.</v>
      </c>
      <c r="G30" s="7" t="s">
        <v>10</v>
      </c>
      <c r="H30" s="195" t="s">
        <v>10</v>
      </c>
      <c r="I30" s="7" t="s">
        <v>154</v>
      </c>
      <c r="J30" s="8">
        <v>45608.0</v>
      </c>
      <c r="K30" s="195" t="s">
        <v>10</v>
      </c>
      <c r="L30" s="196">
        <f t="shared" si="1"/>
        <v>18150</v>
      </c>
      <c r="M30" s="197">
        <f t="shared" si="2"/>
        <v>18150</v>
      </c>
      <c r="N30" s="7" t="s">
        <v>234</v>
      </c>
      <c r="O30" s="7" t="s">
        <v>235</v>
      </c>
    </row>
    <row r="31" hidden="1">
      <c r="A31" s="7" t="s">
        <v>236</v>
      </c>
      <c r="C31" s="7" t="s">
        <v>23</v>
      </c>
      <c r="D31" s="194">
        <v>3000.0</v>
      </c>
      <c r="E31" s="7" t="s">
        <v>123</v>
      </c>
      <c r="F31" s="7" t="str">
        <f>IF(ISNA(VLOOKUP(E31, 'Rozpočet 2024'!$B$3:$B$21, 1, FALSE)),"!",".")</f>
        <v>.</v>
      </c>
      <c r="G31" s="7" t="s">
        <v>10</v>
      </c>
      <c r="H31" s="7" t="s">
        <v>10</v>
      </c>
      <c r="I31" s="7" t="s">
        <v>150</v>
      </c>
      <c r="J31" s="7" t="s">
        <v>178</v>
      </c>
      <c r="K31" s="7" t="s">
        <v>184</v>
      </c>
      <c r="L31" s="196">
        <f t="shared" si="1"/>
        <v>3000</v>
      </c>
      <c r="M31" s="196">
        <f t="shared" si="2"/>
        <v>0</v>
      </c>
      <c r="N31" s="7" t="s">
        <v>179</v>
      </c>
    </row>
    <row r="32" hidden="1">
      <c r="A32" s="7" t="s">
        <v>237</v>
      </c>
      <c r="B32" s="7" t="s">
        <v>238</v>
      </c>
      <c r="C32" s="7" t="s">
        <v>23</v>
      </c>
      <c r="D32" s="194">
        <v>2408.0</v>
      </c>
      <c r="E32" s="7" t="s">
        <v>124</v>
      </c>
      <c r="F32" s="7" t="str">
        <f>IF(ISNA(VLOOKUP(E32, 'Rozpočet 2024'!$B$3:$B$21, 1, FALSE)),"!",".")</f>
        <v>.</v>
      </c>
      <c r="G32" s="7" t="s">
        <v>10</v>
      </c>
      <c r="H32" s="7" t="s">
        <v>10</v>
      </c>
      <c r="I32" s="7" t="s">
        <v>150</v>
      </c>
      <c r="J32" s="7" t="s">
        <v>178</v>
      </c>
      <c r="K32" s="195" t="s">
        <v>10</v>
      </c>
      <c r="L32" s="196">
        <f t="shared" si="1"/>
        <v>2408</v>
      </c>
      <c r="M32" s="197">
        <f t="shared" si="2"/>
        <v>2408</v>
      </c>
      <c r="N32" s="7" t="s">
        <v>179</v>
      </c>
      <c r="O32" s="7" t="s">
        <v>239</v>
      </c>
    </row>
    <row r="33">
      <c r="A33" s="7" t="s">
        <v>240</v>
      </c>
      <c r="B33" s="7" t="s">
        <v>241</v>
      </c>
      <c r="C33" s="7" t="s">
        <v>242</v>
      </c>
      <c r="D33" s="194">
        <v>4347.0</v>
      </c>
      <c r="E33" s="7" t="s">
        <v>124</v>
      </c>
      <c r="F33" s="7" t="str">
        <f>IF(ISNA(VLOOKUP(E33, 'Rozpočet 2024'!$B$3:$B$21, 1, FALSE)),"!",".")</f>
        <v>.</v>
      </c>
      <c r="G33" s="7" t="s">
        <v>10</v>
      </c>
      <c r="H33" s="7" t="s">
        <v>10</v>
      </c>
      <c r="I33" s="7" t="s">
        <v>152</v>
      </c>
      <c r="J33" s="8">
        <v>45593.0</v>
      </c>
      <c r="K33" s="7" t="s">
        <v>184</v>
      </c>
      <c r="L33" s="196">
        <f t="shared" si="1"/>
        <v>4347</v>
      </c>
      <c r="M33" s="197">
        <f t="shared" si="2"/>
        <v>0</v>
      </c>
    </row>
    <row r="34" hidden="1">
      <c r="A34" s="7" t="s">
        <v>243</v>
      </c>
      <c r="C34" s="7" t="s">
        <v>23</v>
      </c>
      <c r="D34" s="194">
        <v>1200.0</v>
      </c>
      <c r="E34" s="7" t="s">
        <v>115</v>
      </c>
      <c r="F34" s="7" t="str">
        <f>IF(ISNA(VLOOKUP(E34, 'Rozpočet 2024'!$B$3:$B$21, 1, FALSE)),"!",".")</f>
        <v>.</v>
      </c>
      <c r="G34" s="7" t="s">
        <v>10</v>
      </c>
      <c r="H34" s="7" t="s">
        <v>10</v>
      </c>
      <c r="I34" s="7" t="s">
        <v>150</v>
      </c>
      <c r="J34" s="7" t="s">
        <v>178</v>
      </c>
      <c r="K34" s="7" t="s">
        <v>184</v>
      </c>
      <c r="L34" s="196">
        <f t="shared" si="1"/>
        <v>1200</v>
      </c>
      <c r="M34" s="196">
        <f t="shared" si="2"/>
        <v>0</v>
      </c>
    </row>
    <row r="35">
      <c r="A35" s="7" t="s">
        <v>244</v>
      </c>
      <c r="B35" s="7" t="s">
        <v>245</v>
      </c>
      <c r="C35" s="7" t="s">
        <v>209</v>
      </c>
      <c r="D35" s="198">
        <v>396.0</v>
      </c>
      <c r="E35" s="7" t="s">
        <v>126</v>
      </c>
      <c r="F35" s="7" t="str">
        <f>IF(ISNA(VLOOKUP(E35, 'Rozpočet 2024'!$B$3:$B$21, 1, FALSE)),"!",".")</f>
        <v>.</v>
      </c>
      <c r="G35" s="7" t="s">
        <v>10</v>
      </c>
      <c r="H35" s="195" t="s">
        <v>10</v>
      </c>
      <c r="I35" s="7" t="s">
        <v>152</v>
      </c>
      <c r="J35" s="8">
        <v>45590.0</v>
      </c>
      <c r="K35" s="195" t="s">
        <v>10</v>
      </c>
      <c r="L35" s="196">
        <f t="shared" si="1"/>
        <v>396</v>
      </c>
      <c r="M35" s="197">
        <f t="shared" si="2"/>
        <v>396</v>
      </c>
      <c r="O35" s="7" t="s">
        <v>246</v>
      </c>
    </row>
    <row r="36">
      <c r="A36" s="7" t="s">
        <v>247</v>
      </c>
      <c r="B36" s="7" t="s">
        <v>248</v>
      </c>
      <c r="C36" s="7" t="s">
        <v>249</v>
      </c>
      <c r="D36" s="198">
        <v>198.0</v>
      </c>
      <c r="E36" s="7" t="s">
        <v>126</v>
      </c>
      <c r="F36" s="7" t="str">
        <f>IF(ISNA(VLOOKUP(E36, 'Rozpočet 2024'!$B$3:$B$21, 1, FALSE)),"!",".")</f>
        <v>.</v>
      </c>
      <c r="G36" s="7" t="s">
        <v>10</v>
      </c>
      <c r="H36" s="195" t="s">
        <v>10</v>
      </c>
      <c r="I36" s="7" t="s">
        <v>152</v>
      </c>
      <c r="J36" s="8">
        <v>45586.0</v>
      </c>
      <c r="K36" s="7" t="s">
        <v>184</v>
      </c>
      <c r="L36" s="196">
        <f t="shared" si="1"/>
        <v>198</v>
      </c>
      <c r="M36" s="196">
        <f t="shared" si="2"/>
        <v>0</v>
      </c>
      <c r="N36" s="7"/>
    </row>
    <row r="37" hidden="1">
      <c r="A37" s="7" t="s">
        <v>250</v>
      </c>
      <c r="C37" s="7" t="s">
        <v>209</v>
      </c>
      <c r="D37" s="201">
        <v>45600.0</v>
      </c>
      <c r="E37" s="7" t="s">
        <v>128</v>
      </c>
      <c r="F37" s="7" t="str">
        <f>IF(ISNA(VLOOKUP(E37, 'Rozpočet 2024'!$B$3:$B$21, 1, FALSE)),"!",".")</f>
        <v>.</v>
      </c>
      <c r="G37" s="7" t="s">
        <v>10</v>
      </c>
      <c r="H37" s="7" t="s">
        <v>10</v>
      </c>
      <c r="I37" s="7" t="s">
        <v>150</v>
      </c>
      <c r="J37" s="7" t="s">
        <v>251</v>
      </c>
      <c r="K37" s="7" t="s">
        <v>10</v>
      </c>
      <c r="L37" s="196">
        <f t="shared" si="1"/>
        <v>45600</v>
      </c>
      <c r="M37" s="202">
        <f t="shared" si="2"/>
        <v>45600</v>
      </c>
      <c r="N37" s="7" t="s">
        <v>179</v>
      </c>
    </row>
    <row r="38" hidden="1">
      <c r="A38" s="7" t="s">
        <v>252</v>
      </c>
      <c r="D38" s="201">
        <v>0.0</v>
      </c>
      <c r="E38" s="7" t="s">
        <v>130</v>
      </c>
      <c r="F38" s="7" t="str">
        <f>IF(ISNA(VLOOKUP(E38, 'Rozpočet 2024'!$B$3:$B$21, 1, FALSE)),"!",".")</f>
        <v>.</v>
      </c>
      <c r="G38" s="7" t="s">
        <v>184</v>
      </c>
      <c r="K38" s="7" t="s">
        <v>184</v>
      </c>
      <c r="L38" s="196">
        <f t="shared" si="1"/>
        <v>0</v>
      </c>
      <c r="M38" s="198"/>
    </row>
    <row r="39">
      <c r="D39" s="198"/>
      <c r="L39" s="198"/>
      <c r="M39" s="198"/>
    </row>
    <row r="40">
      <c r="D40" s="198"/>
      <c r="K40" s="7" t="s">
        <v>156</v>
      </c>
      <c r="L40" s="198">
        <f t="shared" ref="L40:M40" si="3">SUM(L2:L38)</f>
        <v>210212</v>
      </c>
      <c r="M40" s="198">
        <f t="shared" si="3"/>
        <v>87847</v>
      </c>
    </row>
    <row r="41">
      <c r="D41" s="198"/>
      <c r="I41" s="7" t="s">
        <v>150</v>
      </c>
      <c r="J41" s="196">
        <f t="shared" ref="J41:J44" si="4">SUMIF($I$2:$I$38,I41,$L$2:$L$38)</f>
        <v>176567</v>
      </c>
      <c r="L41" s="196"/>
      <c r="M41" s="196"/>
    </row>
    <row r="42">
      <c r="B42" s="7" t="s">
        <v>253</v>
      </c>
      <c r="D42" s="196"/>
      <c r="I42" s="7" t="s">
        <v>152</v>
      </c>
      <c r="J42" s="196">
        <f t="shared" si="4"/>
        <v>9895</v>
      </c>
      <c r="L42" s="7" t="s">
        <v>254</v>
      </c>
      <c r="M42" s="196">
        <f>SUM(M2:M38)</f>
        <v>87847</v>
      </c>
    </row>
    <row r="43">
      <c r="B43" s="7" t="s">
        <v>255</v>
      </c>
      <c r="C43" s="196">
        <v>44500.0</v>
      </c>
      <c r="D43" s="198"/>
      <c r="I43" s="7" t="s">
        <v>154</v>
      </c>
      <c r="J43" s="196">
        <f t="shared" si="4"/>
        <v>23750</v>
      </c>
      <c r="L43" s="7" t="s">
        <v>256</v>
      </c>
      <c r="M43" s="198">
        <v>85000.0</v>
      </c>
    </row>
    <row r="44">
      <c r="B44" s="7" t="s">
        <v>257</v>
      </c>
      <c r="C44" s="198">
        <v>154210.0</v>
      </c>
      <c r="I44" s="7" t="s">
        <v>258</v>
      </c>
      <c r="J44" s="196">
        <f t="shared" si="4"/>
        <v>0</v>
      </c>
      <c r="L44" s="7" t="s">
        <v>259</v>
      </c>
      <c r="M44" s="203">
        <f>M42-M43</f>
        <v>2847</v>
      </c>
      <c r="N44" s="7" t="s">
        <v>260</v>
      </c>
    </row>
    <row r="45">
      <c r="B45" s="7" t="s">
        <v>261</v>
      </c>
      <c r="C45" s="196">
        <f>J47</f>
        <v>176567</v>
      </c>
      <c r="I45" s="1" t="s">
        <v>156</v>
      </c>
      <c r="J45" s="204">
        <f>SUM(J41:J44)</f>
        <v>210212</v>
      </c>
    </row>
    <row r="46">
      <c r="C46" s="196">
        <f>C43+C44-C45</f>
        <v>22143</v>
      </c>
    </row>
    <row r="47">
      <c r="B47" s="7" t="s">
        <v>262</v>
      </c>
      <c r="C47" s="196">
        <v>138832.0</v>
      </c>
      <c r="G47" s="7" t="s">
        <v>263</v>
      </c>
      <c r="H47" s="7" t="s">
        <v>10</v>
      </c>
      <c r="I47" s="7" t="s">
        <v>150</v>
      </c>
      <c r="J47" s="196">
        <f t="shared" ref="J47:J52" si="5">SUMIFS($L$2:$L$38,$H$2:$H$38,H47,$I$2:$I$38,I47)</f>
        <v>176567</v>
      </c>
    </row>
    <row r="48">
      <c r="B48" s="7" t="s">
        <v>264</v>
      </c>
      <c r="C48" s="196">
        <f>C47-C46</f>
        <v>116689</v>
      </c>
      <c r="D48" s="7" t="s">
        <v>265</v>
      </c>
      <c r="H48" s="7" t="s">
        <v>184</v>
      </c>
      <c r="I48" s="7" t="s">
        <v>150</v>
      </c>
      <c r="J48" s="196">
        <f t="shared" si="5"/>
        <v>0</v>
      </c>
    </row>
    <row r="49">
      <c r="H49" s="7" t="s">
        <v>10</v>
      </c>
      <c r="I49" s="7" t="s">
        <v>152</v>
      </c>
      <c r="J49" s="196">
        <f t="shared" si="5"/>
        <v>9895</v>
      </c>
    </row>
    <row r="50">
      <c r="H50" s="7" t="s">
        <v>184</v>
      </c>
      <c r="I50" s="7" t="s">
        <v>152</v>
      </c>
      <c r="J50" s="196">
        <f t="shared" si="5"/>
        <v>0</v>
      </c>
    </row>
    <row r="51">
      <c r="H51" s="7" t="s">
        <v>10</v>
      </c>
      <c r="I51" s="7" t="s">
        <v>154</v>
      </c>
      <c r="J51" s="196">
        <f t="shared" si="5"/>
        <v>23750</v>
      </c>
    </row>
    <row r="52">
      <c r="H52" s="7" t="s">
        <v>184</v>
      </c>
      <c r="I52" s="7" t="s">
        <v>154</v>
      </c>
      <c r="J52" s="196">
        <f t="shared" si="5"/>
        <v>0</v>
      </c>
    </row>
  </sheetData>
  <autoFilter ref="$A$1:$N$38">
    <filterColumn colId="8">
      <filters>
        <filter val="Air OVT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163</v>
      </c>
      <c r="B1" s="7" t="s">
        <v>164</v>
      </c>
      <c r="C1" s="7" t="s">
        <v>165</v>
      </c>
      <c r="D1" s="7" t="s">
        <v>166</v>
      </c>
      <c r="E1" s="7" t="s">
        <v>169</v>
      </c>
      <c r="F1" s="7" t="s">
        <v>171</v>
      </c>
      <c r="G1" s="7" t="s">
        <v>266</v>
      </c>
      <c r="H1" s="7" t="s">
        <v>174</v>
      </c>
    </row>
    <row r="2">
      <c r="A2" s="195" t="s">
        <v>176</v>
      </c>
      <c r="B2" s="7" t="s">
        <v>177</v>
      </c>
      <c r="C2" s="7" t="s">
        <v>23</v>
      </c>
      <c r="D2" s="198">
        <v>1020.0</v>
      </c>
      <c r="E2" s="7" t="s">
        <v>267</v>
      </c>
      <c r="F2" s="205">
        <v>45209.0</v>
      </c>
      <c r="G2" s="7" t="s">
        <v>268</v>
      </c>
      <c r="H2" s="198">
        <v>0.0</v>
      </c>
    </row>
    <row r="3">
      <c r="A3" s="195" t="s">
        <v>182</v>
      </c>
      <c r="B3" s="7" t="s">
        <v>269</v>
      </c>
      <c r="C3" s="7" t="s">
        <v>23</v>
      </c>
      <c r="D3" s="198">
        <v>500.0</v>
      </c>
      <c r="E3" s="7" t="s">
        <v>267</v>
      </c>
      <c r="F3" s="7" t="s">
        <v>270</v>
      </c>
      <c r="G3" s="7" t="s">
        <v>268</v>
      </c>
      <c r="H3" s="198">
        <v>0.0</v>
      </c>
    </row>
    <row r="4">
      <c r="A4" s="195" t="s">
        <v>271</v>
      </c>
      <c r="C4" s="7" t="s">
        <v>23</v>
      </c>
      <c r="D4" s="198">
        <v>1500.0</v>
      </c>
      <c r="E4" s="7" t="s">
        <v>267</v>
      </c>
      <c r="F4" s="7" t="s">
        <v>270</v>
      </c>
      <c r="G4" s="7" t="s">
        <v>268</v>
      </c>
      <c r="H4" s="198">
        <v>0.0</v>
      </c>
    </row>
    <row r="5">
      <c r="A5" s="195" t="s">
        <v>272</v>
      </c>
      <c r="B5" s="7" t="s">
        <v>273</v>
      </c>
      <c r="C5" s="7" t="s">
        <v>23</v>
      </c>
      <c r="D5" s="198">
        <v>3000.0</v>
      </c>
      <c r="E5" s="7" t="s">
        <v>267</v>
      </c>
      <c r="F5" s="7" t="s">
        <v>270</v>
      </c>
      <c r="G5" s="7" t="s">
        <v>268</v>
      </c>
      <c r="H5" s="198">
        <v>0.0</v>
      </c>
    </row>
    <row r="6">
      <c r="A6" s="195" t="s">
        <v>274</v>
      </c>
      <c r="C6" s="7" t="s">
        <v>23</v>
      </c>
      <c r="D6" s="198">
        <v>1500.0</v>
      </c>
      <c r="E6" s="7" t="s">
        <v>267</v>
      </c>
      <c r="F6" s="7" t="s">
        <v>270</v>
      </c>
      <c r="G6" s="7" t="s">
        <v>268</v>
      </c>
      <c r="H6" s="198">
        <v>0.0</v>
      </c>
    </row>
    <row r="7">
      <c r="A7" s="195" t="s">
        <v>275</v>
      </c>
      <c r="C7" s="7" t="s">
        <v>276</v>
      </c>
      <c r="D7" s="198">
        <v>800.0</v>
      </c>
      <c r="E7" s="7" t="s">
        <v>267</v>
      </c>
      <c r="F7" s="7" t="s">
        <v>270</v>
      </c>
      <c r="G7" s="7" t="s">
        <v>277</v>
      </c>
      <c r="H7" s="198">
        <v>790.0</v>
      </c>
    </row>
    <row r="8">
      <c r="A8" s="195" t="s">
        <v>275</v>
      </c>
      <c r="C8" s="7" t="s">
        <v>190</v>
      </c>
      <c r="D8" s="198">
        <v>1200.0</v>
      </c>
      <c r="E8" s="7" t="s">
        <v>267</v>
      </c>
      <c r="F8" s="7" t="s">
        <v>270</v>
      </c>
      <c r="G8" s="7" t="s">
        <v>277</v>
      </c>
      <c r="H8" s="198">
        <v>1208.0</v>
      </c>
    </row>
    <row r="9">
      <c r="A9" s="195" t="s">
        <v>275</v>
      </c>
      <c r="C9" s="7" t="s">
        <v>23</v>
      </c>
      <c r="D9" s="198">
        <v>200.0</v>
      </c>
      <c r="E9" s="7" t="s">
        <v>267</v>
      </c>
      <c r="F9" s="7" t="s">
        <v>270</v>
      </c>
      <c r="G9" s="7" t="s">
        <v>277</v>
      </c>
      <c r="H9" s="198">
        <v>194.7</v>
      </c>
    </row>
    <row r="10">
      <c r="A10" s="7" t="s">
        <v>243</v>
      </c>
      <c r="B10" s="7"/>
      <c r="C10" s="7" t="s">
        <v>23</v>
      </c>
      <c r="D10" s="198">
        <v>800.0</v>
      </c>
      <c r="E10" s="7" t="s">
        <v>267</v>
      </c>
      <c r="F10" s="7" t="s">
        <v>270</v>
      </c>
      <c r="G10" s="7" t="s">
        <v>278</v>
      </c>
      <c r="H10" s="198">
        <v>796.0</v>
      </c>
    </row>
    <row r="11">
      <c r="A11" s="7" t="s">
        <v>279</v>
      </c>
      <c r="B11" s="7" t="s">
        <v>121</v>
      </c>
      <c r="C11" s="7" t="s">
        <v>280</v>
      </c>
      <c r="D11" s="198">
        <v>6050.0</v>
      </c>
      <c r="E11" s="7" t="s">
        <v>281</v>
      </c>
      <c r="F11" s="8">
        <v>45250.0</v>
      </c>
      <c r="G11" s="7" t="s">
        <v>278</v>
      </c>
      <c r="H11" s="198">
        <v>6050.0</v>
      </c>
    </row>
    <row r="12">
      <c r="A12" s="7" t="s">
        <v>282</v>
      </c>
      <c r="B12" s="7" t="s">
        <v>282</v>
      </c>
      <c r="C12" s="7" t="s">
        <v>283</v>
      </c>
      <c r="D12" s="198">
        <v>1100.0</v>
      </c>
      <c r="E12" s="14" t="s">
        <v>284</v>
      </c>
      <c r="H12" s="198"/>
      <c r="I12" s="7" t="s">
        <v>285</v>
      </c>
    </row>
    <row r="13">
      <c r="A13" s="7" t="s">
        <v>205</v>
      </c>
      <c r="B13" s="7" t="s">
        <v>14</v>
      </c>
      <c r="C13" s="7" t="s">
        <v>258</v>
      </c>
      <c r="D13" s="198">
        <v>0.0</v>
      </c>
      <c r="E13" s="7" t="s">
        <v>286</v>
      </c>
      <c r="F13" s="8">
        <v>45244.0</v>
      </c>
      <c r="G13" s="7" t="s">
        <v>278</v>
      </c>
      <c r="H13" s="198">
        <v>2863.0</v>
      </c>
    </row>
    <row r="14">
      <c r="A14" s="7" t="s">
        <v>287</v>
      </c>
      <c r="B14" s="7" t="s">
        <v>288</v>
      </c>
      <c r="C14" s="7" t="s">
        <v>23</v>
      </c>
      <c r="D14" s="198">
        <v>1500.0</v>
      </c>
      <c r="E14" s="14" t="s">
        <v>284</v>
      </c>
      <c r="G14" s="7" t="s">
        <v>184</v>
      </c>
      <c r="H14" s="198"/>
      <c r="I14" s="7" t="s">
        <v>285</v>
      </c>
    </row>
    <row r="15">
      <c r="A15" s="7" t="s">
        <v>289</v>
      </c>
      <c r="B15" s="7" t="s">
        <v>290</v>
      </c>
      <c r="C15" s="7" t="s">
        <v>190</v>
      </c>
      <c r="D15" s="198">
        <v>21200.0</v>
      </c>
      <c r="E15" s="7" t="s">
        <v>281</v>
      </c>
      <c r="G15" s="7" t="s">
        <v>278</v>
      </c>
      <c r="H15" s="198">
        <v>21200.0</v>
      </c>
    </row>
    <row r="16">
      <c r="A16" s="7" t="s">
        <v>289</v>
      </c>
      <c r="B16" s="7" t="s">
        <v>290</v>
      </c>
      <c r="D16" s="198">
        <v>35074.0</v>
      </c>
      <c r="E16" s="7" t="s">
        <v>291</v>
      </c>
      <c r="H16" s="196"/>
    </row>
    <row r="17">
      <c r="D17" s="196"/>
      <c r="H17" s="196"/>
    </row>
    <row r="18">
      <c r="C18" s="7" t="s">
        <v>292</v>
      </c>
      <c r="D18" s="196">
        <f>SUM(D2:D16)</f>
        <v>75444</v>
      </c>
      <c r="G18" s="7" t="s">
        <v>254</v>
      </c>
      <c r="H18" s="196">
        <f>SUM(H3:H16)</f>
        <v>33101.7</v>
      </c>
    </row>
    <row r="19">
      <c r="D19" s="196"/>
    </row>
    <row r="20">
      <c r="C20" s="7" t="s">
        <v>293</v>
      </c>
      <c r="D20" s="198">
        <v>61075.0</v>
      </c>
      <c r="G20" s="7" t="s">
        <v>256</v>
      </c>
      <c r="H20" s="198">
        <v>33000.0</v>
      </c>
    </row>
    <row r="21">
      <c r="C21" s="7" t="s">
        <v>294</v>
      </c>
      <c r="D21" s="198">
        <v>33000.0</v>
      </c>
      <c r="G21" s="7" t="s">
        <v>259</v>
      </c>
      <c r="H21" s="196">
        <f>H20-H18</f>
        <v>-101.7</v>
      </c>
      <c r="I21" s="7" t="s">
        <v>295</v>
      </c>
    </row>
    <row r="22">
      <c r="C22" s="7" t="s">
        <v>296</v>
      </c>
      <c r="D22" s="196">
        <f>D20+D21</f>
        <v>94075</v>
      </c>
    </row>
    <row r="23">
      <c r="D23" s="196"/>
    </row>
    <row r="24">
      <c r="C24" s="206" t="s">
        <v>297</v>
      </c>
      <c r="D24" s="207">
        <f>D22-D18</f>
        <v>18631</v>
      </c>
    </row>
  </sheetData>
  <drawing r:id="rId1"/>
</worksheet>
</file>