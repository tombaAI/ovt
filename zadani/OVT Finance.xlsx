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zpočet - průběžný stav" sheetId="1" r:id="rId4"/>
    <sheet state="visible" name="Rozpočet 2026" sheetId="2" r:id="rId5"/>
    <sheet state="visible" name="Rozpočet 2025" sheetId="3" r:id="rId6"/>
    <sheet state="visible" name="Rozpočet 2024" sheetId="4" r:id="rId7"/>
    <sheet state="visible" name="Vývoj rozpočtu" sheetId="5" r:id="rId8"/>
    <sheet state="visible" name="Rozpočet 2023" sheetId="6" r:id="rId9"/>
    <sheet state="visible" name="Rozpočet 2022" sheetId="7" r:id="rId10"/>
    <sheet state="visible" name="Rozpočet 2021" sheetId="8" r:id="rId11"/>
    <sheet state="visible" name="Rozpočet 2020" sheetId="9" r:id="rId12"/>
    <sheet state="visible" name="Rozpočet 2019" sheetId="10" r:id="rId13"/>
    <sheet state="visible" name="Rozpočet 2018" sheetId="11" r:id="rId14"/>
    <sheet state="visible" name="Rozpočet 2017" sheetId="12" r:id="rId15"/>
    <sheet state="visible" name="Změny členská základna" sheetId="13" r:id="rId16"/>
    <sheet state="visible" name="Postupy" sheetId="14" r:id="rId17"/>
    <sheet state="visible" name="Účtenky" sheetId="15" r:id="rId18"/>
    <sheet state="visible" name="Výbor hlasování" sheetId="16" r:id="rId19"/>
    <sheet state="visible" name="_OVT_odkazy" sheetId="17" r:id="rId20"/>
  </sheets>
  <definedNames>
    <definedName hidden="1" localSheetId="0" name="_xlnm._FilterDatabase">'Rozpočet - průběžný stav'!$A$1:$AA$399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tc={5af5e52b-977f-4223-ae1e-a98e155664a4}</author>
    <author>tc={6e988fc8-b1f6-4d53-a093-90ea6c89faf3}</author>
    <author>tc={b77dbfb0-1b4b-4b3b-b044-247d6ddb1f80}</author>
    <author>tc={b7e26e65-0f0b-4cbd-a482-f95080d84236}</author>
    <author>tc={d7337a6a-c4d2-4c48-8097-5b5d0c655a7d}</author>
  </authors>
  <commentList>
    <comment authorId="0" ref="Q190">
      <text>
        <t xml:space="preserve">Zůstatek v TJ je k 31.12.2019 =88071, ale chybí tam platba na 5059 za přeúčtování TOM v lednu 2019, která bude připočítána až ke konci ledna 2020. Proto ta úprava</t>
      </text>
    </comment>
    <comment authorId="1" xr:uid="{5af5e52b-977f-4223-ae1e-a98e155664a4}" ref="S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Mělo by být, ale zkontrolovat
</t>
      </text>
    </comment>
    <comment authorId="2" xr:uid="{6e988fc8-b1f6-4d53-a093-90ea6c89faf3}" ref="Q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stav ke konci roku byl 45205, pokud ale před dám dotace materiál a ČSK vratka, pak to musí být o tyto příjmy povýšeno
</t>
      </text>
    </comment>
    <comment authorId="3" xr:uid="{b77dbfb0-1b4b-4b3b-b044-247d6ddb1f80}" ref="T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pokladna Hamerák u Hrabáků
</t>
      </text>
    </comment>
    <comment authorId="4" xr:uid="{b7e26e65-0f0b-4cbd-a482-f95080d84236}" ref="I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4164 Kč. Snižuji o 200 aby to sedělo na hotovost v pokladně Hameráku u Hrabáků
</t>
      </text>
    </comment>
    <comment authorId="5" xr:uid="{d7337a6a-c4d2-4c48-8097-5b5d0c655a7d}" ref="S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Pokladna obálka u Tomáše Bauera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9">
      <text>
        <t xml:space="preserve">Nebudeme plánovat do výdajů, bude pouze, pokud bude Hamerák a pak bude ve finančním výsledku Hameráku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9">
      <text>
        <t xml:space="preserve">Nebudeme plánovat do výdajů, bude pouze, pokud bude Hamerák a pak bude ve finančním výsledku Hameráku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tc={2cfb78ee-4595-48d4-855c-b1cc8757603b}</author>
  </authors>
  <commentList>
    <comment authorId="0" xr:uid="{2cfb78ee-4595-48d4-855c-b1cc8757603b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Původně 3, ale na VH jsme opravovali na 5 - Ešus, tak jsme si to psali i mailem ve výboru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tc={0f250500-cd5e-40c0-944a-91edb01d6cbe}</author>
    <author>tc={48342166-7ac2-4b5e-be64-bcef0dee52b9}</author>
    <author>tc={4d3c78ac-d41e-43ad-a49e-fa7f5a9f9a92}</author>
    <author>tc={888dda1b-0f1a-4e6f-9c1c-89e942c5853d}</author>
    <author>tc={8db6448f-0b73-4109-afd2-bc9ee593f571}</author>
    <author>tc={9a6637b8-d4be-4a98-91e4-9d342471a646}</author>
    <author>tc={b3326bec-8bdf-4350-b7ea-e357c078d10a}</author>
    <author>tc={b4bbd231-c479-41f2-93ae-fd073f82d8fc}</author>
    <author>tc={d634dbde-d392-4a5d-9e88-2191d29275c9}</author>
  </authors>
  <commentList>
    <comment authorId="0" xr:uid="{0f250500-cd5e-40c0-944a-91edb01d6cbe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Ešus vratka z Doubravy
</t>
      </text>
    </comment>
    <comment authorId="1" xr:uid="{48342166-7ac2-4b5e-be64-bcef0dee52b9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-1200 je ponížení ve prospěch zálohy za Roztoky, ta je v nákladech také odečtena níže v Podpora činnosti / Podpora ČPV
</t>
      </text>
    </comment>
    <comment authorId="2" xr:uid="{4d3c78ac-d41e-43ad-a49e-fa7f5a9f9a92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Lidské zdroje: 17.000
Opravy: 5.374 (minus Kukla cca 1100)
pozn.: již v 2017 účtován Materiál: 8.451,
</t>
      </text>
    </comment>
    <comment authorId="3" xr:uid="{888dda1b-0f1a-4e6f-9c1c-89e942c5853d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705 - webhosting
</t>
      </text>
    </comment>
    <comment authorId="4" xr:uid="{8db6448f-0b73-4109-afd2-bc9ee593f571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schema: 1000-800-600 (to bylo schválené pro soutěž 2017)
Reply:
	přesunuto do Podpory činnosti
</t>
      </text>
    </comment>
    <comment authorId="5" xr:uid="{9a6637b8-d4be-4a98-91e4-9d342471a646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56.600Kč je předpis příspěvků+krakorečného pro současnou členskou základnu. Počítám se změnami členů v rozsahu jako v 2017, takže budeme mít o 5% míň.
Reply:
	Přidal jsem 3 příchozí dorostence á 800, dle Tomíka: Aktuálně do OVT přechází každý, kdo je 1.1.2018 starší 18-ti let. Aktuálně Háňa Bernardová, Betty Poštůlkováí, Štěpán Hořejší a tuším že ještě Filip Havlíček.
</t>
      </text>
    </comment>
    <comment authorId="6" xr:uid="{b3326bec-8bdf-4350-b7ea-e357c078d10a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schema: 1000-800-600 (to bylo schválené pro soutěž 2017)
</t>
      </text>
    </comment>
    <comment authorId="7" xr:uid="{b4bbd231-c479-41f2-93ae-fd073f82d8fc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 ve výši jako v 2017 (po změnách, kdy TOM dostane půlku šatny)
</t>
      </text>
    </comment>
    <comment authorId="8" xr:uid="{d634dbde-d392-4a5d-9e88-2191d29275c9}" ref="D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Otava 2500, Úhlava/resp. Roztoky kanál 1200
Reply:
	+1200 je záloha na Roztoky pro TOM, příjmově je to v běžném provozu v příjmech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tc={141d0b84-2e6f-459a-a726-58879dc44b7d}</author>
    <author>tc={3a9523f8-b125-42aa-bca6-4074c4e99b30}</author>
    <author>tc={afa2528a-de81-456e-9c03-eb73155e2646}</author>
    <author>tc={d3f05398-c278-4432-8034-6a771d109ed4}</author>
    <author>tc={de478563-181b-4300-8513-20cce630ed97}</author>
  </authors>
  <commentList>
    <comment authorId="0" xr:uid="{141d0b84-2e6f-459a-a726-58879dc44b7d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plán, provedeme s JKL cca 1.12.2017
</t>
      </text>
    </comment>
    <comment authorId="1" xr:uid="{3a9523f8-b125-42aa-bca6-4074c4e99b30}" ref="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39.621 původní, sníženo o 200 aby to sedělo na pokladnu Hameráku  Hrabáků
</t>
      </text>
    </comment>
    <comment authorId="2" xr:uid="{afa2528a-de81-456e-9c03-eb73155e2646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nejsou v tom náklady na Hamerák, ty tu samostatně v ročním rozpočtu 2017 nejsou.
</t>
      </text>
    </comment>
    <comment authorId="3" xr:uid="{d3f05398-c278-4432-8034-6a771d109ed4}" ref="E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mínus, protože je to v nákladech a TOM nám tuhle částku pošle za půlku klubovny. Vyřešíme s JKL cca 1.12.2017
</t>
      </text>
    </comment>
    <comment authorId="4" xr:uid="{de478563-181b-4300-8513-20cce630ed97}" ref="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dotace zahraniční akce z 2016, kterou Štěpán s Hrabošem nedokázali vyúčtovat v 2016..
</t>
      </text>
    </comment>
  </commentList>
</comments>
</file>

<file path=xl/sharedStrings.xml><?xml version="1.0" encoding="utf-8"?>
<sst xmlns="http://schemas.openxmlformats.org/spreadsheetml/2006/main" count="3850" uniqueCount="754">
  <si>
    <t>Klíč</t>
  </si>
  <si>
    <t>Skupina</t>
  </si>
  <si>
    <t>Kategorie</t>
  </si>
  <si>
    <t>Ověření</t>
  </si>
  <si>
    <t>Položka</t>
  </si>
  <si>
    <t>Datum evidence</t>
  </si>
  <si>
    <t>Datum zaúčtování</t>
  </si>
  <si>
    <t>Účet</t>
  </si>
  <si>
    <t>Příjem</t>
  </si>
  <si>
    <t>Výdaj</t>
  </si>
  <si>
    <t>Obrat</t>
  </si>
  <si>
    <t>Záloha</t>
  </si>
  <si>
    <t>Převod</t>
  </si>
  <si>
    <t>Bilance</t>
  </si>
  <si>
    <t>Rok</t>
  </si>
  <si>
    <t>Poznámka</t>
  </si>
  <si>
    <t>TJ účet</t>
  </si>
  <si>
    <t>Air účet</t>
  </si>
  <si>
    <t>Fio účet</t>
  </si>
  <si>
    <t>Hotovost 2</t>
  </si>
  <si>
    <t>Hotovost 3</t>
  </si>
  <si>
    <t>Kontrolní součet</t>
  </si>
  <si>
    <t>stav</t>
  </si>
  <si>
    <t>datum stavu</t>
  </si>
  <si>
    <t>datum účet TJ</t>
  </si>
  <si>
    <t>datum účet Air</t>
  </si>
  <si>
    <t>datum účet Fio</t>
  </si>
  <si>
    <t>Převody</t>
  </si>
  <si>
    <t>Převod z 2016</t>
  </si>
  <si>
    <t>Počáteční stav 2017</t>
  </si>
  <si>
    <t>2017</t>
  </si>
  <si>
    <t>bez vlivu</t>
  </si>
  <si>
    <t>Běžný provoz</t>
  </si>
  <si>
    <t>Příspěvky ČSK</t>
  </si>
  <si>
    <t>Příspěvky</t>
  </si>
  <si>
    <t>Vybrané příspěvky na VH</t>
  </si>
  <si>
    <t>y 2017</t>
  </si>
  <si>
    <t>Hamerák-akce</t>
  </si>
  <si>
    <t>Hamerák materiál</t>
  </si>
  <si>
    <t>Záloha - Jáchym Kopřiva</t>
  </si>
  <si>
    <t>kde je 1000?</t>
  </si>
  <si>
    <t>Jáchym K - schody Hamerák</t>
  </si>
  <si>
    <t>Oddílová soutěž</t>
  </si>
  <si>
    <t>Jáchym K - soutěž 1. místo</t>
  </si>
  <si>
    <t>převod</t>
  </si>
  <si>
    <t>z hotovosti na účet</t>
  </si>
  <si>
    <t>Jáchym K - převod na účet</t>
  </si>
  <si>
    <t>OK / kromě 1000</t>
  </si>
  <si>
    <t>Příspěvky členů TJ účet (do 21.3. Čermák)</t>
  </si>
  <si>
    <t>Interní nájmy</t>
  </si>
  <si>
    <t>Interní nájmy (krakorce, klubovna, sklad)</t>
  </si>
  <si>
    <t>Interní nájmy (tělocvična)</t>
  </si>
  <si>
    <t>příspěvky Jirka Klíma</t>
  </si>
  <si>
    <t>z hotovosti na účet (E60)</t>
  </si>
  <si>
    <t>příspěvky Klára Machová</t>
  </si>
  <si>
    <t>OK</t>
  </si>
  <si>
    <t>z hotovosti na účet (T)</t>
  </si>
  <si>
    <t>Příspěvky M.Kalátová+M.Pelc</t>
  </si>
  <si>
    <t>Tomáš Matějka přeplatek</t>
  </si>
  <si>
    <t>příspěvky Air Gábina, Fiala, Ouškatá, Lucka+Dominika, Lina, Jakub, Anna Dostálová, Pavel Bastl</t>
  </si>
  <si>
    <t>Evka Matějková 1. místo</t>
  </si>
  <si>
    <t>Podpora činnosti</t>
  </si>
  <si>
    <t>Dotace ČPV</t>
  </si>
  <si>
    <t>Dotace Sázava (Jakub)</t>
  </si>
  <si>
    <t>Oddílový den</t>
  </si>
  <si>
    <t>Dotace (Jakub)</t>
  </si>
  <si>
    <t>Záloha Jakub</t>
  </si>
  <si>
    <t>přeplatek Jakub loď</t>
  </si>
  <si>
    <t>Dotace (Evka)</t>
  </si>
  <si>
    <t>Dotace eskymáky</t>
  </si>
  <si>
    <t>Podpora eskymáků (Mára)</t>
  </si>
  <si>
    <t>Údržba vleků</t>
  </si>
  <si>
    <t>STK vlek (Mára)</t>
  </si>
  <si>
    <t>Příspěvky členů TJ účet (22.3.-7.4. Pilatova)</t>
  </si>
  <si>
    <t>Záloha Jakub zpět</t>
  </si>
  <si>
    <t>Elis 2. loď</t>
  </si>
  <si>
    <t>31.4.2017</t>
  </si>
  <si>
    <t>Dotace záchrana</t>
  </si>
  <si>
    <t>Dotace záchrana Roudnice</t>
  </si>
  <si>
    <t>Bára Kostková 3. místo</t>
  </si>
  <si>
    <t>Jáchym K - barvy na brigádě</t>
  </si>
  <si>
    <t>Jáchym K - spojovací, karbolka, tmel</t>
  </si>
  <si>
    <t>Ešus cesťák schody</t>
  </si>
  <si>
    <t>Dotace zahraniční</t>
  </si>
  <si>
    <t>Švýcarsko (Štěpán)</t>
  </si>
  <si>
    <t>Kostlivci</t>
  </si>
  <si>
    <t>Dotace zahraniční akce 2016 (Štěpán)</t>
  </si>
  <si>
    <t>Majka Hořejší 2. místo</t>
  </si>
  <si>
    <t>Dotace Úhlava</t>
  </si>
  <si>
    <t>Hamerák záloha</t>
  </si>
  <si>
    <t>Soňa Pilátová - záloha jídlo</t>
  </si>
  <si>
    <t>z účtu (T) na hotovost</t>
  </si>
  <si>
    <t>Hamerák náklady</t>
  </si>
  <si>
    <t>JHMD</t>
  </si>
  <si>
    <t>Ešus záloha na náklady</t>
  </si>
  <si>
    <t>Hamerák finance</t>
  </si>
  <si>
    <t>Faktura za pivo</t>
  </si>
  <si>
    <t>Ubytování Hamerák</t>
  </si>
  <si>
    <t>Rybáři</t>
  </si>
  <si>
    <t>ČSK dotace</t>
  </si>
  <si>
    <t>Přeúčtování TOM nájmy</t>
  </si>
  <si>
    <t>Ešus příjem za hrnky</t>
  </si>
  <si>
    <t>Vyúčtování akce s Milanem</t>
  </si>
  <si>
    <t>Oddílové vánoce</t>
  </si>
  <si>
    <t>Dotace Vánoční Jiřetín (od Ešusa)</t>
  </si>
  <si>
    <t>Dotace Vánoční Jiřetín (pokl. Hamerák)</t>
  </si>
  <si>
    <t>Příjmy</t>
  </si>
  <si>
    <t>Dar Kondor, s.r.o.</t>
  </si>
  <si>
    <t>Nákup vybavení</t>
  </si>
  <si>
    <t>Sportovní vybavení (z dotace)</t>
  </si>
  <si>
    <t>Náklady TJ</t>
  </si>
  <si>
    <t>Propagace (?)</t>
  </si>
  <si>
    <t>Převod do 2018</t>
  </si>
  <si>
    <t>Koncový stav 2017</t>
  </si>
  <si>
    <t>2017b</t>
  </si>
  <si>
    <t>Převod z 2017</t>
  </si>
  <si>
    <t>Počáteční stav 2018</t>
  </si>
  <si>
    <t>2018</t>
  </si>
  <si>
    <t>Příspěvky Sáďa za 2017</t>
  </si>
  <si>
    <t>Air</t>
  </si>
  <si>
    <t>Hotovost 1</t>
  </si>
  <si>
    <t>Za dotace z TJ na hotovost</t>
  </si>
  <si>
    <t>Příjmy dotace</t>
  </si>
  <si>
    <t>Dotace program 10 - trenéři</t>
  </si>
  <si>
    <t>Příspěvky ČSK - vratka</t>
  </si>
  <si>
    <t>TJ</t>
  </si>
  <si>
    <t>U Tomáše</t>
  </si>
  <si>
    <t>U Milana</t>
  </si>
  <si>
    <t>Dotace program 10 - materiál</t>
  </si>
  <si>
    <t>Dotace program 10 - opravy</t>
  </si>
  <si>
    <t>Vjezdové karty</t>
  </si>
  <si>
    <t>mezi</t>
  </si>
  <si>
    <t>Dotace program 10 - opravy - Kukla výdaj (předběžně)</t>
  </si>
  <si>
    <t>hotovost</t>
  </si>
  <si>
    <t>Jáchym Kopřiva 1. místo</t>
  </si>
  <si>
    <t>časový nesoulad plateb a stavu</t>
  </si>
  <si>
    <t>Výbor večeře</t>
  </si>
  <si>
    <t>Večeře výboru Hameráku</t>
  </si>
  <si>
    <t>Chybná platba Chochola - příjem na TJ, výdaj z Air</t>
  </si>
  <si>
    <t>příspěvky ČSK</t>
  </si>
  <si>
    <t>Příjmy ostatní</t>
  </si>
  <si>
    <t>Doubrava vratka od Ešuse</t>
  </si>
  <si>
    <t>Roman Liška 2. loď</t>
  </si>
  <si>
    <t>Podpora ČPV</t>
  </si>
  <si>
    <t>Dotace Otava (Roman L.)</t>
  </si>
  <si>
    <t>Příspěvky účet TJ do 30.4.</t>
  </si>
  <si>
    <t>Pavel Bastl (TJ)</t>
  </si>
  <si>
    <t>Příspěvky Air do 7.5 - Dostálová, Fiala, Bundáš loď, Chochola, Bernardová H+B, Chvojková, Novák, Veselý, Závišková</t>
  </si>
  <si>
    <t>Materiál</t>
  </si>
  <si>
    <t>Gril</t>
  </si>
  <si>
    <t>Bivoj (přes Báru na Air účet)</t>
  </si>
  <si>
    <t>Evka Matějková 3. místo</t>
  </si>
  <si>
    <t>Tomáš Matějka 2. místo</t>
  </si>
  <si>
    <t>Podpora zahraniční zájezd</t>
  </si>
  <si>
    <t>Rakousko (Štěpán)</t>
  </si>
  <si>
    <t>Doplatek Jakub Chochola</t>
  </si>
  <si>
    <t>hotově</t>
  </si>
  <si>
    <t>Ešus - šrouby</t>
  </si>
  <si>
    <t>Náklady příprava</t>
  </si>
  <si>
    <t>Ešus cesťák JH (dohodnout vlaky)</t>
  </si>
  <si>
    <t>Jáchym vše na kola vleku, malý vlek dřevo</t>
  </si>
  <si>
    <t>Sáďa + Terka</t>
  </si>
  <si>
    <t>Záloha kanál Roztoky září (1200 je TOM)</t>
  </si>
  <si>
    <t>Ešus náklady pošta</t>
  </si>
  <si>
    <t>Zapůjčení vleku KV</t>
  </si>
  <si>
    <t>Výdaje ostatní</t>
  </si>
  <si>
    <t>Webhosting</t>
  </si>
  <si>
    <t>Ešus náklady pádelník</t>
  </si>
  <si>
    <t>Majka Hořejší 1. místo</t>
  </si>
  <si>
    <t>Doplatek Aleš Němec loď</t>
  </si>
  <si>
    <t>Dotace Můj klub</t>
  </si>
  <si>
    <t>Ešus náklady pádelník (Karbolka 3l / část; viz mail 3.10.2018</t>
  </si>
  <si>
    <t>Ešus náklady pádelník (barvy, štětce) (mail 1.10.2018)</t>
  </si>
  <si>
    <t>Jáchym náklady pádelník (spojovací materiál) (mail 27.9.2018)</t>
  </si>
  <si>
    <t>Jáchym náklady pádelník (petlice) (mail 17.10.2018)</t>
  </si>
  <si>
    <t>Jirka Klíma 3. místo (v hotovosti 11.10.)</t>
  </si>
  <si>
    <t>Roman Liška oprava branek Hamerák (mail 15.10.2018)</t>
  </si>
  <si>
    <t>Jáchym náklady pádelník (plachta) (mail 20.10.2018)</t>
  </si>
  <si>
    <t>ZPÉT: Evka Matějková 3. místo</t>
  </si>
  <si>
    <t>Dotace Vánoční Jiřetín (Evka jídlo 1000 a Ešus pivo 1450)</t>
  </si>
  <si>
    <t>?</t>
  </si>
  <si>
    <t>Příjmy dary</t>
  </si>
  <si>
    <t>Počáteční stav 2019</t>
  </si>
  <si>
    <t>2018b</t>
  </si>
  <si>
    <t>Koncový stav 2018</t>
  </si>
  <si>
    <t>2019</t>
  </si>
  <si>
    <t>Přeúčtování TOM</t>
  </si>
  <si>
    <t>ČSK, nájmy, Roztoky, vlek</t>
  </si>
  <si>
    <t>Gábina za brigádu 2018</t>
  </si>
  <si>
    <t>Příspěvky na VH (B+H Bernardová, Klíma, Měrková, Beitler, 4xHořejší, G. Vodička, Šálek, V. Machálek, Šrail)</t>
  </si>
  <si>
    <t>Příspěvky TJ účet do 12.2. (A. Chochola, Kostková, Kopřiva, Keller, Karabec, Kříž, Menčík, P. Machálek, Liška, Bauer, Matějka, Herynek)</t>
  </si>
  <si>
    <t>Jan Kukla hotově</t>
  </si>
  <si>
    <t>Hořejší vratka (sleva TOM pro Vaška a Štěpána)</t>
  </si>
  <si>
    <t>TJ Převod programu VIII. /oprava k dotaci Můj klub, asi za rok 2018/</t>
  </si>
  <si>
    <t>Příspěvky TJ od 13.2. do 1.4. (Vašut až Kovářová)</t>
  </si>
  <si>
    <t>ano</t>
  </si>
  <si>
    <t>Jakub přeplatek příspěvky</t>
  </si>
  <si>
    <t>Pelcovi 2x</t>
  </si>
  <si>
    <t>Pavel Bastl</t>
  </si>
  <si>
    <t>Oskar Šefců</t>
  </si>
  <si>
    <t>Martina Hlaváčková</t>
  </si>
  <si>
    <t>Štěpán Klepač</t>
  </si>
  <si>
    <t>Aleš Němec</t>
  </si>
  <si>
    <t>(Ešus zaplatil) Tomík Jekl na brigádu</t>
  </si>
  <si>
    <t>Lina Procházková</t>
  </si>
  <si>
    <t>Ešus barvy na brigádu</t>
  </si>
  <si>
    <t>přes zálohu 3.5./zpět 14.5</t>
  </si>
  <si>
    <t>Jirka Kl., ČPV Sázava</t>
  </si>
  <si>
    <t>Štěpán Itálie</t>
  </si>
  <si>
    <t>Jakub malý vlek pružiny</t>
  </si>
  <si>
    <t>Ešus poštovné</t>
  </si>
  <si>
    <t>Ešus tričko pro rybáře</t>
  </si>
  <si>
    <t>Ešus různé náklady Hamerák</t>
  </si>
  <si>
    <t>Milan Hr., Blanice (nějak se s Kubou blbě dohodli a dotace je tak 3000)</t>
  </si>
  <si>
    <t>Ešus LED na vlek</t>
  </si>
  <si>
    <t>Bundáš náklady papírnictví</t>
  </si>
  <si>
    <t>Tomík nůžkový stan</t>
  </si>
  <si>
    <t>JHMD faktura</t>
  </si>
  <si>
    <t>Propagace (trika na Hamerák, aj.)</t>
  </si>
  <si>
    <t>Hotovost na Hamerák (hotovost u Tomáše Bauera)</t>
  </si>
  <si>
    <t>Hotovost na Hamerák (pokladna u Mejlů)</t>
  </si>
  <si>
    <t>Milan Hrabák</t>
  </si>
  <si>
    <t>Hotovost příjem z Hameráku</t>
  </si>
  <si>
    <t>TJ dotace můj klub</t>
  </si>
  <si>
    <t>Ešus vratka Hamerák</t>
  </si>
  <si>
    <t>Ešus náklady Hamerák</t>
  </si>
  <si>
    <t>Pejsar Jan příspěvky</t>
  </si>
  <si>
    <t>Milan Hrabák náklady doprava</t>
  </si>
  <si>
    <t>Jan Vašut Amos doprava</t>
  </si>
  <si>
    <t>Roman Liška nákupy</t>
  </si>
  <si>
    <t>Simona Kl. doprava</t>
  </si>
  <si>
    <t>Roman Liška doprava</t>
  </si>
  <si>
    <t>U Tomáše/K</t>
  </si>
  <si>
    <t>U Tomáše/TR</t>
  </si>
  <si>
    <t>Dotace Vánoční Jiřetín (Evka jídlo 1800)</t>
  </si>
  <si>
    <t>Karolína Chvojková</t>
  </si>
  <si>
    <t>Úhlava Hugo</t>
  </si>
  <si>
    <t>Oprava přeúčtování 2018</t>
  </si>
  <si>
    <t>Propagace</t>
  </si>
  <si>
    <t>Počáteční stav 2020</t>
  </si>
  <si>
    <t>2020</t>
  </si>
  <si>
    <t>Koncový stav 2019</t>
  </si>
  <si>
    <t>2019b</t>
  </si>
  <si>
    <t>Srovnání za 2018</t>
  </si>
  <si>
    <t>Opravy za 2018</t>
  </si>
  <si>
    <t>Kukla TP velký vlek</t>
  </si>
  <si>
    <t>na VH</t>
  </si>
  <si>
    <t>Příspěvky na VH</t>
  </si>
  <si>
    <t>Srovnání za 2019</t>
  </si>
  <si>
    <t>Jedna mikina navíc pro A tým</t>
  </si>
  <si>
    <t>Podpora Jeseníky</t>
  </si>
  <si>
    <t>Příspěvky na Fio do 2.8.2020</t>
  </si>
  <si>
    <t>Fio</t>
  </si>
  <si>
    <t>Martin kříž materiál</t>
  </si>
  <si>
    <t>Webhosting Mencmi</t>
  </si>
  <si>
    <t>Příjem půjčení vleků</t>
  </si>
  <si>
    <t>Příjem od KV za půjčení vleku</t>
  </si>
  <si>
    <t>Příspěvky na Fio 3.8. - 31.12.2020</t>
  </si>
  <si>
    <t>ČPV Úhlava, Jáchym</t>
  </si>
  <si>
    <t>Materiál na branky, Roman</t>
  </si>
  <si>
    <t>ČPV Teplá, Střela, Jáchym</t>
  </si>
  <si>
    <t>Dopisy, Ešus</t>
  </si>
  <si>
    <t>Karbolka a štětce, Ešus</t>
  </si>
  <si>
    <t>Kytice Jiří Keller</t>
  </si>
  <si>
    <t>Dotace ČSK na činnost / Hamerák</t>
  </si>
  <si>
    <t>2021</t>
  </si>
  <si>
    <t>Katka Měrková 1. místo</t>
  </si>
  <si>
    <t>Příspěvky na Fio do 3.7.2021</t>
  </si>
  <si>
    <r>
      <rPr/>
      <t xml:space="preserve">Webhosting </t>
    </r>
    <r>
      <rPr>
        <color rgb="FF1155CC"/>
        <u/>
      </rPr>
      <t>Stable.cz</t>
    </r>
  </si>
  <si>
    <t>ČPV Úhlava dotace (Jakub)</t>
  </si>
  <si>
    <t>Příspěvky Jan Kukla</t>
  </si>
  <si>
    <t>Lukáš Kopřiva, Hamerák materiál</t>
  </si>
  <si>
    <t>Hamerák náklady Ešus</t>
  </si>
  <si>
    <t>Z účtu do hotovosti Hamerák</t>
  </si>
  <si>
    <t>Z účtu do hotovosti Hamerák (Nina za mince 50 v hodnotě 15 tisíc)</t>
  </si>
  <si>
    <t>Rybářství</t>
  </si>
  <si>
    <t>Pojištění auta - TJ Bohemians</t>
  </si>
  <si>
    <t>NickNack - kelímky</t>
  </si>
  <si>
    <t>Část hotovosti z Hameráku</t>
  </si>
  <si>
    <t>Milan Hrabák - hrnky a permice</t>
  </si>
  <si>
    <t>Martin Kříž soutěž</t>
  </si>
  <si>
    <t>Duplikát VTP vlek</t>
  </si>
  <si>
    <t>Pavel Šálek - Hamerák náklady na místě (Fejt, Boček, Fučík, 2x nafta)</t>
  </si>
  <si>
    <t>Zbytek hotovosti z Hameráku</t>
  </si>
  <si>
    <t>Dotace Hameráček</t>
  </si>
  <si>
    <t>Vánoce - jídlo Evka Matějková</t>
  </si>
  <si>
    <t>Vánoce - jídlo Tomík Matějka</t>
  </si>
  <si>
    <t>Dar pro AVTS</t>
  </si>
  <si>
    <t>Příspěvky na Fio od 4.7.2021 do konce roku</t>
  </si>
  <si>
    <t>Náklady Bundáš</t>
  </si>
  <si>
    <t>Dotace a výdaje</t>
  </si>
  <si>
    <t>Pokladna H22</t>
  </si>
  <si>
    <t>Propagace - věci od TJ Bohemians</t>
  </si>
  <si>
    <t>2022</t>
  </si>
  <si>
    <t>Jáchym Kopřiva, 2. místo</t>
  </si>
  <si>
    <t>Bára Bernardová, 3. místo</t>
  </si>
  <si>
    <t>Podpora akcí</t>
  </si>
  <si>
    <t>Dotace Sázava (Ešus/Jáchym)</t>
  </si>
  <si>
    <t>Dotace Doubrava (Ešus)</t>
  </si>
  <si>
    <t>Dotace Kamenice (Tomík/Káťa)</t>
  </si>
  <si>
    <t>Dotace zahraniční voda (Štěpán)</t>
  </si>
  <si>
    <t>Martin Kříž - světla a spoj.</t>
  </si>
  <si>
    <t>Dotace Blanice (Ešus)</t>
  </si>
  <si>
    <t>Srovnání za 2020 a 2021</t>
  </si>
  <si>
    <t>Příspěvky v 2022</t>
  </si>
  <si>
    <r>
      <rPr/>
      <t xml:space="preserve">Webhosting </t>
    </r>
    <r>
      <rPr>
        <color rgb="FF1155CC"/>
        <u/>
      </rPr>
      <t>Stable.cz</t>
    </r>
  </si>
  <si>
    <t>Dotace Úhlava (Jáchym)</t>
  </si>
  <si>
    <t>Náklady Mencmi</t>
  </si>
  <si>
    <t>Náklady Jana Ondráčková</t>
  </si>
  <si>
    <t>Z účtu do hotovosti Hamerák (Štěpán Klepač za mince 50 v hodnotě 15 tisíc)</t>
  </si>
  <si>
    <t>Příjem hotovosti z Hameráku</t>
  </si>
  <si>
    <t>Náklady Ondra Racek</t>
  </si>
  <si>
    <t>Náklady NickNack</t>
  </si>
  <si>
    <t>Náklady Rybáři</t>
  </si>
  <si>
    <t>Náklady Lukáš Kopřiva</t>
  </si>
  <si>
    <t>Dotace Tři jezy (Tomík)</t>
  </si>
  <si>
    <t>Příjmy dotace a dary</t>
  </si>
  <si>
    <t>Ešus nechce náklady za H22</t>
  </si>
  <si>
    <t>Náklady Ešus</t>
  </si>
  <si>
    <t>Náklady Libor nafta</t>
  </si>
  <si>
    <t>Náklady Martin Topol</t>
  </si>
  <si>
    <t>Dotace Vánoce (Tomík)</t>
  </si>
  <si>
    <t>Příspěvky Katka Klepačová</t>
  </si>
  <si>
    <t>EOY 2022</t>
  </si>
  <si>
    <t>2023</t>
  </si>
  <si>
    <t>Příspěvky Roman Liška</t>
  </si>
  <si>
    <t>Příspěvky Jan Pejsar</t>
  </si>
  <si>
    <t>Příspěvky Šimon Ostrčil</t>
  </si>
  <si>
    <t>Dotace Doubrava (Klára Mat)</t>
  </si>
  <si>
    <t>Dotace Otava (Jakub)</t>
  </si>
  <si>
    <t>Dotace Kamenice (Tomík)</t>
  </si>
  <si>
    <t>Dotace Sázava (Tomík)</t>
  </si>
  <si>
    <t>Dotace Vrbné (Lukáš Kopřiva)</t>
  </si>
  <si>
    <t>Příspěvky Hořejší</t>
  </si>
  <si>
    <t>Dotace Zahraniční (Štěpán)</t>
  </si>
  <si>
    <t>Příspěvky Karolína Kotovská</t>
  </si>
  <si>
    <t>Dotace Blanice (Jáchym)</t>
  </si>
  <si>
    <r>
      <rPr/>
      <t xml:space="preserve">Webhosting </t>
    </r>
    <r>
      <rPr>
        <color rgb="FF1155CC"/>
        <u/>
      </rPr>
      <t>Stable.cz</t>
    </r>
  </si>
  <si>
    <t>Nebylo: Příjem od KV za půjčení vleku</t>
  </si>
  <si>
    <t>Příspěvky z Fio 15.3.-6.9.</t>
  </si>
  <si>
    <t>Příspěvky Kateřina Klepačová</t>
  </si>
  <si>
    <t>Dotace Úhlava (Hugo)</t>
  </si>
  <si>
    <t>Brandýs n.L.</t>
  </si>
  <si>
    <t>Materiál vlek, mail 21.9., Martin Kříž</t>
  </si>
  <si>
    <t>Hot</t>
  </si>
  <si>
    <t>Materiál vlek, pneu velký vlek, Martin Kříž</t>
  </si>
  <si>
    <t>Materiál vlek, barvy, pneu oprava, Martin Kříž</t>
  </si>
  <si>
    <t>Počítáno v H</t>
  </si>
  <si>
    <t>Jan Kukla Praha</t>
  </si>
  <si>
    <t>Zisk Hamerák 2023</t>
  </si>
  <si>
    <t>Prahou přes 3 jezy</t>
  </si>
  <si>
    <t>Vánoce</t>
  </si>
  <si>
    <t>EOY 2023</t>
  </si>
  <si>
    <t>2024</t>
  </si>
  <si>
    <t>Příspěvky Martina Hlaváčková</t>
  </si>
  <si>
    <t>Věnec Leoš</t>
  </si>
  <si>
    <t>Jídlo na VH</t>
  </si>
  <si>
    <t>Fošna na Hamerák (za 2023)</t>
  </si>
  <si>
    <t>Doubrava</t>
  </si>
  <si>
    <t>Martin Kříž - materiál vlek, mail 15.4.</t>
  </si>
  <si>
    <t>Dotace zahraniční voda Štěpán</t>
  </si>
  <si>
    <t>OVT soutěž - 1. místo Jáchym Kopřiva</t>
  </si>
  <si>
    <t>Oddílová soutěž - Zuzka Čermáková</t>
  </si>
  <si>
    <t>Dotace Sázava</t>
  </si>
  <si>
    <t>Dotace Kamenice Tomáš Matějka</t>
  </si>
  <si>
    <t>Dotace Lukáš Kopřiva Roudnice</t>
  </si>
  <si>
    <t>Příspěvky na Fio 2024</t>
  </si>
  <si>
    <t>Trinity</t>
  </si>
  <si>
    <t>Příspěvky Kuba Chochola</t>
  </si>
  <si>
    <t>Prodloužení domény ovtbohemians.cz + Prodloužení hosting web</t>
  </si>
  <si>
    <t>Martin Kříž - materiál vlek</t>
  </si>
  <si>
    <t>Hamerák Zbyněk Herynek</t>
  </si>
  <si>
    <t>Hamerák provazy</t>
  </si>
  <si>
    <t>Hamerák Bundáš papírnictví</t>
  </si>
  <si>
    <t>Hamerák Kačka Křížová občerstvení</t>
  </si>
  <si>
    <t>Hamerák účty kroužek, motouz</t>
  </si>
  <si>
    <t>Hamerák doprava, díky</t>
  </si>
  <si>
    <t>Ostatní</t>
  </si>
  <si>
    <t>Úroky z Trinity za 2024</t>
  </si>
  <si>
    <t>Hamerák náklady doprava - Ešus</t>
  </si>
  <si>
    <t>Zisk Hamerák 2024</t>
  </si>
  <si>
    <t>EOY 2024</t>
  </si>
  <si>
    <t>_aktualizace stavu</t>
  </si>
  <si>
    <t>2025</t>
  </si>
  <si>
    <t>Příspěvky na Fio do 27.2.2025</t>
  </si>
  <si>
    <t>Příspěvky TJ Bohemians</t>
  </si>
  <si>
    <t>Příspěvky na Fio do 24.6.2025</t>
  </si>
  <si>
    <t>Úroky z Trinity za 2025</t>
  </si>
  <si>
    <t>Souhrnně.. TODO rozepsat</t>
  </si>
  <si>
    <t>pořešit:</t>
  </si>
  <si>
    <t>výše příspěvků</t>
  </si>
  <si>
    <t>co s tělocvičnou?</t>
  </si>
  <si>
    <t>spojit oddíly?</t>
  </si>
  <si>
    <t>Plán</t>
  </si>
  <si>
    <t>Plnění</t>
  </si>
  <si>
    <t>Rozdíl</t>
  </si>
  <si>
    <t>automaticky z průběžného stavu</t>
  </si>
  <si>
    <t>Údaje pro automatické doplnění sloupce "Plnění" z listu "Rozpočet - průběžný stav"</t>
  </si>
  <si>
    <t>Kapitola běžný provoz</t>
  </si>
  <si>
    <t>rozdíl</t>
  </si>
  <si>
    <t xml:space="preserve"> </t>
  </si>
  <si>
    <t>Příjmy běžný provoz celkem</t>
  </si>
  <si>
    <t>Nejlepší ženy:</t>
  </si>
  <si>
    <t>doplnit</t>
  </si>
  <si>
    <t>Výdaje</t>
  </si>
  <si>
    <t>Katka Měrková</t>
  </si>
  <si>
    <t>Kateřina Šedivá</t>
  </si>
  <si>
    <t>Interní nájmy ostatní</t>
  </si>
  <si>
    <t>Bára Bernardová</t>
  </si>
  <si>
    <t>více je TOM, viz přeúčtování TOM</t>
  </si>
  <si>
    <t>Nejlepší muži:</t>
  </si>
  <si>
    <t>náklady na vleky jsou napůl s TOM, viz přeúčtování TOM</t>
  </si>
  <si>
    <t>Jiří Klíma</t>
  </si>
  <si>
    <t>Jáchym Kopřiva</t>
  </si>
  <si>
    <t>webhosting</t>
  </si>
  <si>
    <t>Martin Kříž</t>
  </si>
  <si>
    <t>Výdaje běžný provoz celkem</t>
  </si>
  <si>
    <t>Bilance běžný provoz</t>
  </si>
  <si>
    <t>Kapitola podpora činnosti</t>
  </si>
  <si>
    <t>Příjem Hamerák</t>
  </si>
  <si>
    <t>Příjmy podpora činnosti celkem</t>
  </si>
  <si>
    <t>Hamerák příprava výdaje</t>
  </si>
  <si>
    <t>Výsledek Hamerák:</t>
  </si>
  <si>
    <t>Výdaje podpora činnosti celkem</t>
  </si>
  <si>
    <t>Bilance podpora činnosti</t>
  </si>
  <si>
    <t>Bilance Hamerák</t>
  </si>
  <si>
    <t>Převod z 2019</t>
  </si>
  <si>
    <t>Rekapitulace</t>
  </si>
  <si>
    <t>Převod z 2024</t>
  </si>
  <si>
    <t>Příjmy běžný provoz</t>
  </si>
  <si>
    <t>Příjmy podpora činnosti</t>
  </si>
  <si>
    <t>Celkem příjmy 2025</t>
  </si>
  <si>
    <t>Výdaje běžný provoz</t>
  </si>
  <si>
    <t>Výdaje podpora činnosti</t>
  </si>
  <si>
    <t>Celkem výdaje 2025</t>
  </si>
  <si>
    <t>(Bilance běžný provoz)</t>
  </si>
  <si>
    <t>Příjmy příspěvky - výdaje běžný provoz</t>
  </si>
  <si>
    <t>(Bilance podpora činnosti)</t>
  </si>
  <si>
    <t>Příjmy dotace, dary, Hamerák - výdaje podpora činnosti</t>
  </si>
  <si>
    <t>(Bilance Hamerák)</t>
  </si>
  <si>
    <t>Příjmy Hamerák - výdaje Hamerák</t>
  </si>
  <si>
    <t>Bilance 2025</t>
  </si>
  <si>
    <t>Převod do 2026</t>
  </si>
  <si>
    <t>až po uzavření roku bude odpovídat</t>
  </si>
  <si>
    <t>Stress test</t>
  </si>
  <si>
    <t>Zátěžový test: výsledek příštího roku bez příjmů z Hameráku</t>
  </si>
  <si>
    <t>(převod do dalšího roku mínus výdaje podpora činnosti v 2021 &gt; 80.000?)</t>
  </si>
  <si>
    <t>Povinná rezerva</t>
  </si>
  <si>
    <t>Podpora činnosti - výdaje</t>
  </si>
  <si>
    <t>Převod do 2025</t>
  </si>
  <si>
    <t>zátěžový test - výsledek konec 2022</t>
  </si>
  <si>
    <t>2Y Stress test výsledek?</t>
  </si>
  <si>
    <t>zátěžový test - výsledek konec 2023</t>
  </si>
  <si>
    <t>3Y Stress test výsledek?</t>
  </si>
  <si>
    <t>zátěžový test - výsledek konec 2024</t>
  </si>
  <si>
    <t>4Y Stress test výsledek?</t>
  </si>
  <si>
    <t>zátěžový test - výsledek konec 2025</t>
  </si>
  <si>
    <t>Koeficient rezervy (v letech):</t>
  </si>
  <si>
    <t>jak dlouho vydržíme s plnou podporou činnosti oddílu bez Hameráku</t>
  </si>
  <si>
    <t>Převod z 20223</t>
  </si>
  <si>
    <t>Celkem příjmy 2023</t>
  </si>
  <si>
    <t>Celkem výdaje 2023</t>
  </si>
  <si>
    <t>Bilance 2023</t>
  </si>
  <si>
    <t>Převod do 2024</t>
  </si>
  <si>
    <t>Převod do 2023</t>
  </si>
  <si>
    <t>Stav na konci</t>
  </si>
  <si>
    <t>Rozpočet OVT 2023</t>
  </si>
  <si>
    <t>Převod z roku 2022</t>
  </si>
  <si>
    <t>Plán 2023</t>
  </si>
  <si>
    <t>Plnění 2023</t>
  </si>
  <si>
    <t>Podpora eskymáků</t>
  </si>
  <si>
    <t>Podpora výcviku záchrany</t>
  </si>
  <si>
    <t>Hamerák výbor (večeře)</t>
  </si>
  <si>
    <t>Hamerák ostatní výdaje</t>
  </si>
  <si>
    <t>Převod z 2022</t>
  </si>
  <si>
    <t>Reálně převedeno</t>
  </si>
  <si>
    <t>Rozpočet OVT 2022</t>
  </si>
  <si>
    <t>(2021 plán)</t>
  </si>
  <si>
    <t>Převod z roku 2021</t>
  </si>
  <si>
    <t>Plán 2022</t>
  </si>
  <si>
    <t>(Plán 2021)</t>
  </si>
  <si>
    <t>Plnění 2022</t>
  </si>
  <si>
    <t>Převod z 2021</t>
  </si>
  <si>
    <t>Celkem příjmy 2022</t>
  </si>
  <si>
    <t>Celkem výdaje 2022</t>
  </si>
  <si>
    <t>Bilance 2022</t>
  </si>
  <si>
    <t>Rozpočet OVT 2021</t>
  </si>
  <si>
    <t>(2020 plán)</t>
  </si>
  <si>
    <t>Převod z roku 2020</t>
  </si>
  <si>
    <t>Plán 2020</t>
  </si>
  <si>
    <t>Plnění 2021</t>
  </si>
  <si>
    <t>Příjmy 2021</t>
  </si>
  <si>
    <t>Výdaje 2021</t>
  </si>
  <si>
    <t>Kateřina Měrková</t>
  </si>
  <si>
    <t>Majka Hořejší</t>
  </si>
  <si>
    <t>Interní nájmy - srovnání TOM</t>
  </si>
  <si>
    <t>Šálek Pavel</t>
  </si>
  <si>
    <t>Hamerák příjem</t>
  </si>
  <si>
    <t>Převod z 2020</t>
  </si>
  <si>
    <t>Celkem příjmy 2021</t>
  </si>
  <si>
    <t>Celkem výdaje 2021</t>
  </si>
  <si>
    <t>Bilance 2021</t>
  </si>
  <si>
    <t>Převod do 2022</t>
  </si>
  <si>
    <t>(převod do 2021 mínus výdaje podpora činnosti v 2021 &gt; 80.000?)</t>
  </si>
  <si>
    <t>zátěžový test - výsledek konec 2021</t>
  </si>
  <si>
    <t>Rozpočet OVT 2020</t>
  </si>
  <si>
    <t>(2019 plán)</t>
  </si>
  <si>
    <t>Převod z roku 2019</t>
  </si>
  <si>
    <t>Plán 2019</t>
  </si>
  <si>
    <t>Plnění 2020</t>
  </si>
  <si>
    <t>Příjmy 2020</t>
  </si>
  <si>
    <t>Výdaje 2020</t>
  </si>
  <si>
    <t>Bára Kostková</t>
  </si>
  <si>
    <t>Eva Matějková</t>
  </si>
  <si>
    <t>Tomáš Matějka</t>
  </si>
  <si>
    <t>Filip Havlíček</t>
  </si>
  <si>
    <t>Příjem Hamerák 2020</t>
  </si>
  <si>
    <t>Celkem příjmy 2020</t>
  </si>
  <si>
    <t>Celkem výdaje 2020</t>
  </si>
  <si>
    <t>Bilance 2020</t>
  </si>
  <si>
    <t>Převod do 2021</t>
  </si>
  <si>
    <t>(převod do 2020 mínus výdaje podpora činnosti v X roce &gt; 80.000?)</t>
  </si>
  <si>
    <t>zátěžový test - výsledek konec 2020</t>
  </si>
  <si>
    <t>Rozpočet OVT 2019</t>
  </si>
  <si>
    <t>(2018 plán)</t>
  </si>
  <si>
    <t>Převod z roku 2018</t>
  </si>
  <si>
    <t>Plnění 2019</t>
  </si>
  <si>
    <t>Příjmy 2019</t>
  </si>
  <si>
    <t>Krákorečné</t>
  </si>
  <si>
    <t>Výdaje 2019</t>
  </si>
  <si>
    <t>Příjem Hamerák 2019</t>
  </si>
  <si>
    <t>Převod z 2018</t>
  </si>
  <si>
    <t>Celkem příjmy 2019</t>
  </si>
  <si>
    <t>Celkem výdaje 2019</t>
  </si>
  <si>
    <t>Příjmy Hamerák - výdaje podpora činnosti</t>
  </si>
  <si>
    <t>Bilance 2019</t>
  </si>
  <si>
    <t>Převod do 2020</t>
  </si>
  <si>
    <t>(převod do 2019 mínus výdaje podpora činnosti v 2018 &gt; 80.000?)</t>
  </si>
  <si>
    <t>zátěžový test - výsledek konec 2019</t>
  </si>
  <si>
    <t>Rozpočet OVT 2018</t>
  </si>
  <si>
    <t>(původní 2017)</t>
  </si>
  <si>
    <t>Převod z roku 2017</t>
  </si>
  <si>
    <t>stav k 12.12.2018</t>
  </si>
  <si>
    <t>Příjmy 2018</t>
  </si>
  <si>
    <t>Výdaje 2018</t>
  </si>
  <si>
    <t>Klára Machová</t>
  </si>
  <si>
    <t>Příjem Hamerák 2018</t>
  </si>
  <si>
    <t>pro úplnost, ale částka by měla být nula</t>
  </si>
  <si>
    <t>Celkem příjmy 2018</t>
  </si>
  <si>
    <t>Celkem výdaje 2018</t>
  </si>
  <si>
    <t>Bilance 2018</t>
  </si>
  <si>
    <t>Převod do 2019</t>
  </si>
  <si>
    <t>zátěžový test - výsledek konec 2018</t>
  </si>
  <si>
    <t>Rozpočet OVT 2017</t>
  </si>
  <si>
    <t>Příjmy 2017</t>
  </si>
  <si>
    <t>aktuální k 19.2.2018</t>
  </si>
  <si>
    <t>Ahoj</t>
  </si>
  <si>
    <t>44 800,00 Kč</t>
  </si>
  <si>
    <t>pro upřesnění posílám výsledek loňské soutěže.</t>
  </si>
  <si>
    <t>16 100,00 Kč</t>
  </si>
  <si>
    <t>Muži</t>
  </si>
  <si>
    <t>Krákorečné a nájmy TOM</t>
  </si>
  <si>
    <t>3 792,00 Kč</t>
  </si>
  <si>
    <t>1.Kopřiva</t>
  </si>
  <si>
    <t>Krákorečné celkem</t>
  </si>
  <si>
    <t>19 892,00 Kč</t>
  </si>
  <si>
    <t>2.Klíma</t>
  </si>
  <si>
    <t>Příspěvky celkem</t>
  </si>
  <si>
    <t>64 692,00 Kč</t>
  </si>
  <si>
    <t>3.Matějka</t>
  </si>
  <si>
    <t>Sponzorské dary - firmy</t>
  </si>
  <si>
    <t>Dotace ČSK (materiál)</t>
  </si>
  <si>
    <t>Příjmy celkem</t>
  </si>
  <si>
    <t>Převod z roku 2016</t>
  </si>
  <si>
    <t>90 927,00 Kč</t>
  </si>
  <si>
    <t>Ženy</t>
  </si>
  <si>
    <t>151 827,00 Kč</t>
  </si>
  <si>
    <t>1.Matějková</t>
  </si>
  <si>
    <t>2.Hořejší</t>
  </si>
  <si>
    <t>Výdaje 2017</t>
  </si>
  <si>
    <t>1Q</t>
  </si>
  <si>
    <t>3.Kostková.</t>
  </si>
  <si>
    <t>Interní nájmy krákorce</t>
  </si>
  <si>
    <t>17 235,00 Kč</t>
  </si>
  <si>
    <t>Nárok mají za rok 2016 na 1200, 1000, 800 Kč za první, druhé a třetí místo. Pro letošní rok jsou odměny snížené o 200 Kč.</t>
  </si>
  <si>
    <t>35 370,00 Kč</t>
  </si>
  <si>
    <t>Jáchym</t>
  </si>
  <si>
    <t>Interní nájmy celkem</t>
  </si>
  <si>
    <t>52 605,00 Kč</t>
  </si>
  <si>
    <t>5 200,00 Kč</t>
  </si>
  <si>
    <t>2 000,00 Kč</t>
  </si>
  <si>
    <t>Materiál (mimo Hamerák)</t>
  </si>
  <si>
    <t>Běžný provoz celkem</t>
  </si>
  <si>
    <t>60 305,00 Kč</t>
  </si>
  <si>
    <t>10 000,00 Kč</t>
  </si>
  <si>
    <t>1 000,00 Kč</t>
  </si>
  <si>
    <t>1 500,00 Kč</t>
  </si>
  <si>
    <t>3 000,00 Kč</t>
  </si>
  <si>
    <t>Kostlivci z 2016 (dotace zahr.z.)</t>
  </si>
  <si>
    <t>Podpora činnosti celkem</t>
  </si>
  <si>
    <t>15 500,00 Kč</t>
  </si>
  <si>
    <t>Výdaje celkem</t>
  </si>
  <si>
    <t>75 805,00 Kč</t>
  </si>
  <si>
    <t>Rezerva</t>
  </si>
  <si>
    <t>76 022,00 Kč</t>
  </si>
  <si>
    <t>Příjem 2017 - bez Hameráku</t>
  </si>
  <si>
    <t>Výdaj 2017</t>
  </si>
  <si>
    <t>V tomto jsou i výdaje, které pokrýváme příjmem Hameráku</t>
  </si>
  <si>
    <t>Výdaj 2017 - bez Dotací</t>
  </si>
  <si>
    <t>Toto je čáska: příjmy příspěvky - nájmy a údržba</t>
  </si>
  <si>
    <t>Rezerva 2017 = převod 2018</t>
  </si>
  <si>
    <t>Rekapitulace ještě jednou s rozpadem na skupiny</t>
  </si>
  <si>
    <t>Příjem příspěvky + ost</t>
  </si>
  <si>
    <t>Příjem dotace, dary, atd.</t>
  </si>
  <si>
    <t>Příjem Hamerák 2017</t>
  </si>
  <si>
    <t>Příjmy včetně Hameráku</t>
  </si>
  <si>
    <t>Výdaje komplet OVT</t>
  </si>
  <si>
    <t>Bilance 2017</t>
  </si>
  <si>
    <t>Realita k 23.11.2017 (žluté jsou ještě plán / odhad)</t>
  </si>
  <si>
    <t>Rozdíly</t>
  </si>
  <si>
    <t>Noví členové - žádosti</t>
  </si>
  <si>
    <t>prý má loď v krakorcích a stane se členem</t>
  </si>
  <si>
    <t>Ouškatá</t>
  </si>
  <si>
    <t>má vyplněnou přihlášku, jen mi jí 22.3. nepředala; prý má také loď v krakorcích</t>
  </si>
  <si>
    <t>Kluk od Mencmiho</t>
  </si>
  <si>
    <t>byli 22.3. na bohemce, ozvou se mi mailem a někdy s námi někam pojedou</t>
  </si>
  <si>
    <t>Holka od Mencmiho</t>
  </si>
  <si>
    <t>Žádosti o ukonční</t>
  </si>
  <si>
    <t>Vojta Rabiňák</t>
  </si>
  <si>
    <t>bydlí v Hradci, neúčastní se</t>
  </si>
  <si>
    <t xml:space="preserve">! má ještě loď v krakorcích !! Zelený raptor, měl by být vedle Evčinýho. </t>
  </si>
  <si>
    <t>už nemá (?)</t>
  </si>
  <si>
    <t>Lucka Lišková</t>
  </si>
  <si>
    <t>nejezdí</t>
  </si>
  <si>
    <t>Michal Záviška</t>
  </si>
  <si>
    <t>požádal o ukončení</t>
  </si>
  <si>
    <t>Tonda Čermák</t>
  </si>
  <si>
    <t>protože nejezdí. Zuzka zůstává</t>
  </si>
  <si>
    <t>Milan Kavan</t>
  </si>
  <si>
    <t>Změnil jsem lehce život a už jsem se dva roky žádné akce nezúčastnil.</t>
  </si>
  <si>
    <t>Světlana</t>
  </si>
  <si>
    <t>info od Jakuba</t>
  </si>
  <si>
    <t>Slevy</t>
  </si>
  <si>
    <t>celkové příspěvky</t>
  </si>
  <si>
    <t>Gábina V.</t>
  </si>
  <si>
    <t>leden 2017</t>
  </si>
  <si>
    <t>ekonomická situace</t>
  </si>
  <si>
    <t>Evka Kovářová</t>
  </si>
  <si>
    <t>zdravotní situace</t>
  </si>
  <si>
    <t>Jiří Keller</t>
  </si>
  <si>
    <t>n</t>
  </si>
  <si>
    <t>sleva za zásluhy asi, prostě to tak bylo (Hraboš)</t>
  </si>
  <si>
    <t>Eva Davídková</t>
  </si>
  <si>
    <t>zadarmo, čestná členka</t>
  </si>
  <si>
    <t>Eva Kovářová</t>
  </si>
  <si>
    <t>Martin Karabec</t>
  </si>
  <si>
    <t>odpuštěná brigáda</t>
  </si>
  <si>
    <t>Jak získat výpis z účtu</t>
  </si>
  <si>
    <t>Nejlépe kontaktovat přímo Vojtu Seidla, nebo účetní je Vlasta Žebráková, ale nikdy jsem se jí nedovolal</t>
  </si>
  <si>
    <t>Vojta může poslat výpis z účtu i mailem - ale stejně to přehodí na Žebrákovou, tak zkusit mailem jí..</t>
  </si>
  <si>
    <t>Jak registrovat nové členy</t>
  </si>
  <si>
    <t>1) ČSK - nějak v jejich systému... paní Pavelková</t>
  </si>
  <si>
    <t>2) TJ - donést přihlášku na sekretariát / nebo nechat na vrátnici loděnice Podolí</t>
  </si>
  <si>
    <t>Jak zrušit registraci</t>
  </si>
  <si>
    <t>1) ČSK - asi zase paní Pavelková TBDN</t>
  </si>
  <si>
    <t>2) TJ - stačí info na sekretariát, třeba s přihláškami</t>
  </si>
  <si>
    <t>http://vt.kanoe.cz/?hledat=&amp;oddil=024</t>
  </si>
  <si>
    <t>Dotace:</t>
  </si>
  <si>
    <t>· Podle kilometrů Otava (2500,-), Sázava (1000,-), Blanice (2000,-), Úhlava (2000,-), Teplá a střela (2500,-)</t>
  </si>
  <si>
    <t>· Částka určená na podporu ČPV se nemění (zůstává 10 000,-)</t>
  </si>
  <si>
    <t>Oddílová soutěž:</t>
  </si>
  <si>
    <t>Kdo</t>
  </si>
  <si>
    <t>Za co</t>
  </si>
  <si>
    <t>Datum</t>
  </si>
  <si>
    <t>Částka účtenka</t>
  </si>
  <si>
    <t>Proplaceno</t>
  </si>
  <si>
    <t>Mám elektronicky?</t>
  </si>
  <si>
    <t>Mám fyzicky?</t>
  </si>
  <si>
    <t>Pozn.</t>
  </si>
  <si>
    <t>Jáchym K</t>
  </si>
  <si>
    <t>Hamerák schody</t>
  </si>
  <si>
    <t>pozn.: Na Hameráku jsem od Jáchyma dostal obálku s účtenkami, zatím není doplněno</t>
  </si>
  <si>
    <t>ve složce 2017</t>
  </si>
  <si>
    <t>Evka Matějková</t>
  </si>
  <si>
    <t>Helma (asi) + lékárna</t>
  </si>
  <si>
    <t>ne</t>
  </si>
  <si>
    <t>soutěž 2016</t>
  </si>
  <si>
    <t>Mára Veselý</t>
  </si>
  <si>
    <t>Eskymáky</t>
  </si>
  <si>
    <t>STK</t>
  </si>
  <si>
    <t>300 navíc brzdy</t>
  </si>
  <si>
    <t>nálepka 80km</t>
  </si>
  <si>
    <t>??</t>
  </si>
  <si>
    <t>barvy</t>
  </si>
  <si>
    <t>Karbolka</t>
  </si>
  <si>
    <t>šrouby</t>
  </si>
  <si>
    <t>tmel</t>
  </si>
  <si>
    <t>Ešus</t>
  </si>
  <si>
    <t>cesťák schody Hamerák</t>
  </si>
  <si>
    <t>Jakub Chochola</t>
  </si>
  <si>
    <t>dotace Sázava vyúčtování</t>
  </si>
  <si>
    <t>dotace Roudnice vyúčtování</t>
  </si>
  <si>
    <t>neopren</t>
  </si>
  <si>
    <t>Číslo</t>
  </si>
  <si>
    <t>Otázka</t>
  </si>
  <si>
    <t>Tomík</t>
  </si>
  <si>
    <t>Jakub</t>
  </si>
  <si>
    <t>Michal</t>
  </si>
  <si>
    <t>Evka</t>
  </si>
  <si>
    <t>Bundáš</t>
  </si>
  <si>
    <t>SUM A</t>
  </si>
  <si>
    <t>SUM B</t>
  </si>
  <si>
    <t>SUM C</t>
  </si>
  <si>
    <t>Poznámky</t>
  </si>
  <si>
    <t>Souhlasím s 20% provizí každému, kdo sežene finančního sponzora pro oddíl (v průběhu roku, nebo pro Hamerák)? Formou slevy z příspěvků (do jejich výše).</t>
  </si>
  <si>
    <t>Ano</t>
  </si>
  <si>
    <t>Mencmi: Souhlasím s výhradou - není to zbytečně moc? navrhuji 10%
Tomík: Částku bych neomezoval do maximální výše příspěvků. Když někdo sežene dotaci 50 000,- proč mu nedát více než 800,-</t>
  </si>
  <si>
    <t>Souhlasím s odpuštěním Tomíkovi neodpracovanou brigádu za 2017?</t>
  </si>
  <si>
    <t>DONE</t>
  </si>
  <si>
    <t>Souhlasím s odpuštěním Mencmimu neodpracovanou brigádu za 2017?</t>
  </si>
  <si>
    <t>Souhlasím, že Eva Davídková bude mít do odvolání výjimku z příspěvků (nebude nic platit)?</t>
  </si>
  <si>
    <t>ne, "B" viz níže</t>
  </si>
  <si>
    <t>Tomík: Upřímně ani nevím kdo to je, proč evidujeme tzv. černé duše. Dal bych 400,- za rok ať prostě ten člověk ví že to není jen tak a 400 má každý.. i důchodce. =&gt; var. A (bez nutnosti brigády)</t>
  </si>
  <si>
    <t>Příspěvky Jirky Kellera:
a. Bude mít do odvolání slevu 400 z příspěvků (a jinak platná pravidla včetně brigády)?
b. Bude mít do odvolání slevu 400 z příspěvků a automaticky započítanou odpracovanou brigádu?
c. Bude bez automatické výjimky.</t>
  </si>
  <si>
    <t>"B"</t>
  </si>
  <si>
    <t>B</t>
  </si>
  <si>
    <t>C</t>
  </si>
  <si>
    <t>A</t>
  </si>
  <si>
    <t>Příspěvky Evka Kovářová:
a. Bude mít do odvolání slevu 400 z příspěvků (a jinak platná pravidla včetně brigády)?
b. Bude mít do odvolání slevu 400 z příspěvků a automaticky započítanou odpracovanou brigádu?
c. Bude bez automatické výjimky.</t>
  </si>
  <si>
    <t>Ešus: Evka stejně jako Keller pokud je v důchodu</t>
  </si>
  <si>
    <t>Souhlasím, že Gábina Vavřičková letos bude mít automatickou slevu, stejně jako vloni?</t>
  </si>
  <si>
    <t>Ešus: Rozhodování výboru, vyžadující hlasování, nejde dělat bez předcházející diskuze. Ovšem je třeba diskuzi včas ukončit, a vyhlásit hlasování, pak teprve můžeš vcelku rozumně hlasovat, ale tu diskuzi bych prostě omezil časem- třeba dva dny a pak předseda vyhlásí, anebo ten kdo zadal problém k řešení, hlasování. V případě remízy by měl platit hlas předsedy 2 x .</t>
  </si>
  <si>
    <t>Chci zavést formu hlasování tohoto typu do rozhodování výboru?</t>
  </si>
  <si>
    <t>Chci psát svoje odpovědi na klíčové otázky výboru do sdílené google tabulky, kde budou už před mou odpovědí vidět odpovědi ostatních?</t>
  </si>
  <si>
    <t>Chci psát svoje odpovědi na klíčové otázky výboru do formuláře, kde až po odeslání uvidím, jak kdo z ostatních členů výboru hlasoval?</t>
  </si>
  <si>
    <t>Souhlasíte, aby Karábě dostal slevu formou odpuštění neodpracované brigády?</t>
  </si>
  <si>
    <t>Další hlasování a informace k výboru ZDE:</t>
  </si>
  <si>
    <t>https://docs.google.com/spreadsheets/d/1vdwbddPamS_0UOL-smhYBshcssR23vAklOgjIKziQ-M/edit?usp=sharing</t>
  </si>
  <si>
    <t>Sešit</t>
  </si>
  <si>
    <t>Správce</t>
  </si>
  <si>
    <t>Popis</t>
  </si>
  <si>
    <t>Odkaz</t>
  </si>
  <si>
    <t>OVT Finance</t>
  </si>
  <si>
    <t>Tomáš Bauer</t>
  </si>
  <si>
    <t>Přehled financí OVT, průběžné, roční plány, plnění</t>
  </si>
  <si>
    <t>https://docs.google.com/spreadsheets/d/1R2YB6v5965-Mc2dOhTTuFna0KWHik5YpvTAH5QouS8Q/edit?usp=sharing</t>
  </si>
  <si>
    <t>OVT Příspěvky</t>
  </si>
  <si>
    <t>Tabulka se členy a přehledem příspěvků, včetně plnění</t>
  </si>
  <si>
    <t>https://docs.google.com/spreadsheets/d/1lx6nI87JFlcdVUSR4iVo3_OJIh3xd5aoKikaeBXB6VI/edit?usp=sharing</t>
  </si>
  <si>
    <t>OVT Krakorce</t>
  </si>
  <si>
    <t>Tabulka s loděmi v krakorcích, popis lodí, majitelé</t>
  </si>
  <si>
    <t>https://docs.google.com/spreadsheets/d/1zlJTDRN7AkbIt7hJoxfJv_-az_dCEE_6FPN_axkWiYg/edit?usp=sharing</t>
  </si>
  <si>
    <t>OVT Přeúčtování s TOM</t>
  </si>
  <si>
    <t>Podklady pro přeúčtování od TOM k nám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</si>
</sst>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.yyyy"/>
    <numFmt numFmtId="165" formatCode="d.m.yyyy"/>
    <numFmt numFmtId="166" formatCode="d.m"/>
    <numFmt numFmtId="167" formatCode="#,##0.00&quot;Kč&quot;"/>
    <numFmt numFmtId="168" formatCode="d.m."/>
  </numFmts>
  <fonts count="64">
    <font>
      <sz val="10.0"/>
      <color rgb="FF000000"/>
      <name val="Arial"/>
    </font>
    <font>
      <b/>
      <color rgb="FFFFFFFF"/>
    </font>
    <font/>
    <font>
      <b/>
    </font>
    <font>
      <sz val="8.0"/>
    </font>
    <font>
      <i/>
      <sz val="8.0"/>
    </font>
    <font>
      <color rgb="FFB7B7B7"/>
    </font>
    <font>
      <i/>
    </font>
    <font>
      <i/>
      <sz val="9.0"/>
    </font>
    <font>
      <sz val="9.0"/>
    </font>
    <font>
      <sz val="12.0"/>
      <color rgb="FF000000"/>
      <name val="Arial"/>
    </font>
    <font>
      <u/>
      <color rgb="FF0000FF"/>
    </font>
    <font>
      <name val="Arial"/>
    </font>
    <font>
      <sz val="11.0"/>
      <color rgb="FF000000"/>
      <name val="Inconsolata"/>
    </font>
    <font>
      <color rgb="FFFFFFFF"/>
    </font>
    <font>
      <b/>
      <sz val="18.0"/>
      <color rgb="FF365F91"/>
      <name val="Arial"/>
    </font>
    <font>
      <b/>
      <sz val="14.0"/>
      <color rgb="FF365F91"/>
      <name val="Arial"/>
    </font>
    <font>
      <b/>
      <i/>
      <sz val="14.0"/>
      <color rgb="FF365F91"/>
      <name val="Arial"/>
    </font>
    <font>
      <sz val="14.0"/>
      <color rgb="FF000000"/>
      <name val="Arial"/>
    </font>
    <font>
      <b/>
      <name val="Arial"/>
    </font>
    <font>
      <i/>
      <name val="Arial"/>
    </font>
    <font>
      <b/>
      <sz val="14.0"/>
      <color rgb="FF000000"/>
      <name val="Arial"/>
    </font>
    <font>
      <b/>
      <sz val="12.0"/>
      <color rgb="FF000000"/>
      <name val="Arial"/>
    </font>
    <font>
      <b/>
      <i/>
      <sz val="12.0"/>
      <color rgb="FF000000"/>
      <name val="Arial"/>
    </font>
    <font>
      <sz val="10.0"/>
      <name val="Arial"/>
    </font>
    <font>
      <i/>
      <sz val="9.0"/>
      <name val="Arial"/>
    </font>
    <font>
      <b/>
      <i/>
      <u/>
      <name val="Arial"/>
    </font>
    <font>
      <sz val="3.0"/>
      <name val="Arial"/>
    </font>
    <font>
      <b/>
      <sz val="12.0"/>
      <color rgb="FFFFFFFF"/>
      <name val="Arial"/>
    </font>
    <font>
      <sz val="10.0"/>
      <color rgb="FFFFFFFF"/>
      <name val="Arial"/>
    </font>
    <font>
      <i/>
      <sz val="9.0"/>
      <color rgb="FFFFFFFF"/>
      <name val="Arial"/>
    </font>
    <font>
      <b/>
      <i/>
      <sz val="9.0"/>
      <name val="Arial"/>
    </font>
    <font>
      <i/>
      <sz val="10.0"/>
      <name val="Arial"/>
    </font>
    <font>
      <sz val="12.0"/>
      <color rgb="FFFFFFFF"/>
      <name val="Arial"/>
    </font>
    <font>
      <b/>
      <sz val="3.0"/>
      <color rgb="FF000000"/>
      <name val="Arial"/>
    </font>
    <font>
      <b/>
      <sz val="3.0"/>
      <name val="Arial"/>
    </font>
    <font>
      <b/>
      <sz val="10.0"/>
      <color rgb="FFFFFFFF"/>
      <name val="Arial"/>
    </font>
    <font>
      <b/>
      <sz val="12.0"/>
      <color rgb="FFFFFF00"/>
      <name val="Arial"/>
    </font>
    <font>
      <b/>
      <i/>
      <sz val="9.0"/>
      <color rgb="FFFFFFFF"/>
      <name val="Arial"/>
    </font>
    <font>
      <sz val="12.0"/>
      <name val="Arial"/>
    </font>
    <font>
      <b/>
      <sz val="6.0"/>
      <color rgb="FF000000"/>
      <name val="Arial"/>
    </font>
    <font>
      <sz val="6.0"/>
      <name val="Arial"/>
    </font>
    <font>
      <color rgb="FFFFFFFF"/>
      <name val="Arial"/>
    </font>
    <font>
      <b/>
      <sz val="6.0"/>
      <name val="Arial"/>
    </font>
    <font>
      <b/>
      <color rgb="FFFFFFFF"/>
      <name val="Arial"/>
    </font>
    <font>
      <i/>
      <color rgb="FFFFFFFF"/>
      <name val="Arial"/>
    </font>
    <font>
      <b/>
      <color rgb="FF000000"/>
      <name val="Arial"/>
    </font>
    <font>
      <sz val="9.0"/>
      <name val="Arial"/>
    </font>
    <font>
      <b/>
      <sz val="10.0"/>
      <name val="Arial"/>
    </font>
    <font>
      <sz val="9.0"/>
      <color rgb="FFFFFFFF"/>
      <name val="Arial"/>
    </font>
    <font>
      <b/>
      <sz val="14.0"/>
      <color rgb="FF365F91"/>
      <name val="&quot;Cambria&quot;"/>
    </font>
    <font>
      <sz val="14.0"/>
      <color rgb="FF000000"/>
      <name val="&quot;Times New Roman&quot;"/>
    </font>
    <font>
      <b/>
      <sz val="14.0"/>
      <color rgb="FF000000"/>
      <name val="&quot;Times New Roman&quot;"/>
    </font>
    <font>
      <b/>
      <i/>
      <u/>
      <name val="&quot;Calibri&quot;"/>
    </font>
    <font>
      <name val="&quot;Calibri&quot;"/>
    </font>
    <font>
      <b/>
      <sz val="18.0"/>
      <color rgb="FF365F91"/>
      <name val="&quot;Cambria&quot;"/>
    </font>
    <font>
      <sz val="11.0"/>
      <color rgb="FF000000"/>
      <name val="Calibri"/>
    </font>
    <font>
      <u/>
      <color rgb="FF0000FF"/>
    </font>
    <font>
      <b/>
      <color rgb="FFFF0000"/>
      <name val="&quot;Calibri&quot;"/>
    </font>
    <font>
      <color rgb="FF000000"/>
      <name val="Arial"/>
    </font>
    <font>
      <sz val="12.0"/>
      <name val="&quot;Times New Roman&quot;"/>
    </font>
    <font>
      <sz val="11.0"/>
      <color rgb="FF1F497D"/>
      <name val="&quot;Calibri&quot;"/>
    </font>
    <font>
      <u/>
      <sz val="11.0"/>
      <color rgb="FF1F497D"/>
      <name val="Arial"/>
    </font>
    <font>
      <sz val="11.0"/>
      <name val="&quot;Calibri&quot;"/>
    </font>
  </fonts>
  <fills count="2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CC4125"/>
        <bgColor rgb="FFCC4125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left" readingOrder="0"/>
    </xf>
    <xf borderId="0" fillId="3" fontId="1" numFmtId="3" xfId="0" applyAlignment="1" applyFont="1" applyNumberFormat="1">
      <alignment readingOrder="0"/>
    </xf>
    <xf borderId="0" fillId="3" fontId="1" numFmtId="0" xfId="0" applyFont="1"/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4" fontId="2" numFmtId="164" xfId="0" applyAlignment="1" applyFill="1" applyFont="1" applyNumberFormat="1">
      <alignment horizontal="right" readingOrder="0"/>
    </xf>
    <xf borderId="0" fillId="5" fontId="2" numFmtId="164" xfId="0" applyAlignment="1" applyFill="1" applyFont="1" applyNumberFormat="1">
      <alignment readingOrder="0"/>
    </xf>
    <xf borderId="0" fillId="6" fontId="3" numFmtId="3" xfId="0" applyAlignment="1" applyFill="1" applyFont="1" applyNumberFormat="1">
      <alignment readingOrder="0"/>
    </xf>
    <xf borderId="0" fillId="7" fontId="3" numFmtId="3" xfId="0" applyAlignment="1" applyFill="1" applyFont="1" applyNumberFormat="1">
      <alignment readingOrder="0"/>
    </xf>
    <xf borderId="0" fillId="7" fontId="2" numFmtId="3" xfId="0" applyAlignment="1" applyFont="1" applyNumberFormat="1">
      <alignment readingOrder="0"/>
    </xf>
    <xf borderId="0" fillId="8" fontId="2" numFmtId="3" xfId="0" applyAlignment="1" applyFill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7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9" fontId="2" numFmtId="0" xfId="0" applyAlignment="1" applyFill="1" applyFont="1">
      <alignment readingOrder="0"/>
    </xf>
    <xf borderId="0" fillId="4" fontId="2" numFmtId="164" xfId="0" applyAlignment="1" applyFont="1" applyNumberFormat="1">
      <alignment readingOrder="0"/>
    </xf>
    <xf borderId="0" fillId="6" fontId="2" numFmtId="3" xfId="0" applyAlignment="1" applyFont="1" applyNumberFormat="1">
      <alignment readingOrder="0"/>
    </xf>
    <xf borderId="0" fillId="8" fontId="4" numFmtId="3" xfId="0" applyAlignment="1" applyFont="1" applyNumberFormat="1">
      <alignment readingOrder="0"/>
    </xf>
    <xf borderId="0" fillId="10" fontId="2" numFmtId="0" xfId="0" applyAlignment="1" applyFill="1" applyFont="1">
      <alignment readingOrder="0"/>
    </xf>
    <xf borderId="0" fillId="7" fontId="5" numFmtId="3" xfId="0" applyAlignment="1" applyFont="1" applyNumberFormat="1">
      <alignment readingOrder="0"/>
    </xf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13" fontId="2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4" fontId="2" numFmtId="165" xfId="0" applyAlignment="1" applyFont="1" applyNumberFormat="1">
      <alignment horizontal="right" readingOrder="0"/>
    </xf>
    <xf borderId="0" fillId="4" fontId="2" numFmtId="165" xfId="0" applyAlignment="1" applyFont="1" applyNumberFormat="1">
      <alignment readingOrder="0"/>
    </xf>
    <xf borderId="0" fillId="5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/>
    </xf>
    <xf borderId="0" fillId="7" fontId="7" numFmtId="3" xfId="0" applyAlignment="1" applyFont="1" applyNumberFormat="1">
      <alignment readingOrder="0"/>
    </xf>
    <xf borderId="0" fillId="7" fontId="8" numFmtId="3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7" fontId="9" numFmtId="3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/>
    </xf>
    <xf borderId="0" fillId="6" fontId="2" numFmtId="0" xfId="0" applyFont="1"/>
    <xf borderId="0" fillId="0" fontId="7" numFmtId="165" xfId="0" applyAlignment="1" applyFont="1" applyNumberFormat="1">
      <alignment readingOrder="0"/>
    </xf>
    <xf borderId="0" fillId="7" fontId="2" numFmtId="3" xfId="0" applyFont="1" applyNumberFormat="1"/>
    <xf borderId="0" fillId="15" fontId="10" numFmtId="0" xfId="0" applyAlignment="1" applyFill="1" applyFont="1">
      <alignment readingOrder="0" vertical="bottom"/>
    </xf>
    <xf borderId="0" fillId="7" fontId="2" numFmtId="0" xfId="0" applyFont="1"/>
    <xf borderId="0" fillId="0" fontId="11" numFmtId="0" xfId="0" applyAlignment="1" applyFont="1">
      <alignment readingOrder="0"/>
    </xf>
    <xf borderId="0" fillId="8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14" fontId="12" numFmtId="0" xfId="0" applyAlignment="1" applyFont="1">
      <alignment readingOrder="0"/>
    </xf>
    <xf borderId="0" fillId="16" fontId="13" numFmtId="0" xfId="0" applyAlignment="1" applyFill="1" applyFont="1">
      <alignment readingOrder="0"/>
    </xf>
    <xf borderId="0" fillId="12" fontId="12" numFmtId="0" xfId="0" applyAlignment="1" applyFont="1">
      <alignment readingOrder="0"/>
    </xf>
    <xf borderId="0" fillId="0" fontId="2" numFmtId="1" xfId="0" applyFont="1" applyNumberFormat="1"/>
    <xf borderId="0" fillId="17" fontId="2" numFmtId="49" xfId="0" applyAlignment="1" applyFill="1" applyFont="1" applyNumberFormat="1">
      <alignment readingOrder="0"/>
    </xf>
    <xf borderId="0" fillId="0" fontId="12" numFmtId="0" xfId="0" applyAlignment="1" applyFont="1">
      <alignment vertical="bottom"/>
    </xf>
    <xf borderId="0" fillId="2" fontId="2" numFmtId="49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5" fontId="2" numFmtId="165" xfId="0" applyAlignment="1" applyFont="1" applyNumberFormat="1">
      <alignment horizontal="right" readingOrder="0"/>
    </xf>
    <xf borderId="0" fillId="18" fontId="2" numFmtId="0" xfId="0" applyAlignment="1" applyFill="1" applyFont="1">
      <alignment readingOrder="0"/>
    </xf>
    <xf borderId="0" fillId="18" fontId="2" numFmtId="164" xfId="0" applyAlignment="1" applyFont="1" applyNumberFormat="1">
      <alignment horizontal="right" readingOrder="0"/>
    </xf>
    <xf borderId="0" fillId="3" fontId="14" numFmtId="49" xfId="0" applyAlignment="1" applyFont="1" applyNumberFormat="1">
      <alignment readingOrder="0"/>
    </xf>
    <xf borderId="0" fillId="9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8" fontId="2" numFmtId="0" xfId="0" applyFont="1"/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2" numFmtId="0" xfId="0" applyFont="1"/>
    <xf borderId="0" fillId="0" fontId="18" numFmtId="0" xfId="0" applyAlignment="1" applyFont="1">
      <alignment readingOrder="0" vertical="bottom"/>
    </xf>
    <xf borderId="0" fillId="4" fontId="19" numFmtId="3" xfId="0" applyAlignment="1" applyFont="1" applyNumberFormat="1">
      <alignment readingOrder="0"/>
    </xf>
    <xf borderId="0" fillId="0" fontId="20" numFmtId="0" xfId="0" applyFont="1"/>
    <xf borderId="0" fillId="0" fontId="21" numFmtId="0" xfId="0" applyAlignment="1" applyFont="1">
      <alignment readingOrder="0" vertical="bottom"/>
    </xf>
    <xf borderId="0" fillId="0" fontId="20" numFmtId="0" xfId="0" applyAlignment="1" applyFont="1">
      <alignment readingOrder="0"/>
    </xf>
    <xf borderId="0" fillId="8" fontId="19" numFmtId="0" xfId="0" applyAlignment="1" applyFont="1">
      <alignment readingOrder="0"/>
    </xf>
    <xf borderId="0" fillId="8" fontId="12" numFmtId="0" xfId="0" applyFont="1"/>
    <xf borderId="0" fillId="10" fontId="22" numFmtId="0" xfId="0" applyAlignment="1" applyFont="1">
      <alignment readingOrder="0" vertical="bottom"/>
    </xf>
    <xf borderId="0" fillId="10" fontId="23" numFmtId="0" xfId="0" applyAlignment="1" applyFont="1">
      <alignment readingOrder="0" vertical="bottom"/>
    </xf>
    <xf borderId="0" fillId="11" fontId="22" numFmtId="0" xfId="0" applyAlignment="1" applyFont="1">
      <alignment readingOrder="0" vertical="bottom"/>
    </xf>
    <xf borderId="0" fillId="11" fontId="24" numFmtId="0" xfId="0" applyFont="1"/>
    <xf borderId="0" fillId="11" fontId="24" numFmtId="0" xfId="0" applyAlignment="1" applyFont="1">
      <alignment readingOrder="0"/>
    </xf>
    <xf borderId="0" fillId="11" fontId="25" numFmtId="0" xfId="0" applyAlignment="1" applyFont="1">
      <alignment readingOrder="0"/>
    </xf>
    <xf borderId="0" fillId="10" fontId="10" numFmtId="0" xfId="0" applyAlignment="1" applyFont="1">
      <alignment readingOrder="0" vertical="bottom"/>
    </xf>
    <xf borderId="0" fillId="8" fontId="24" numFmtId="3" xfId="0" applyAlignment="1" applyFont="1" applyNumberFormat="1">
      <alignment readingOrder="0"/>
    </xf>
    <xf borderId="0" fillId="8" fontId="25" numFmtId="3" xfId="0" applyFont="1" applyNumberFormat="1"/>
    <xf borderId="0" fillId="4" fontId="12" numFmtId="0" xfId="0" applyAlignment="1" applyFont="1">
      <alignment readingOrder="0"/>
    </xf>
    <xf borderId="0" fillId="0" fontId="26" numFmtId="0" xfId="0" applyAlignment="1" applyFont="1">
      <alignment readingOrder="0"/>
    </xf>
    <xf borderId="0" fillId="11" fontId="10" numFmtId="0" xfId="0" applyAlignment="1" applyFont="1">
      <alignment readingOrder="0" vertical="bottom"/>
    </xf>
    <xf borderId="0" fillId="11" fontId="24" numFmtId="3" xfId="0" applyAlignment="1" applyFont="1" applyNumberFormat="1">
      <alignment readingOrder="0"/>
    </xf>
    <xf borderId="0" fillId="11" fontId="25" numFmtId="3" xfId="0" applyFont="1" applyNumberFormat="1"/>
    <xf borderId="0" fillId="10" fontId="27" numFmtId="0" xfId="0" applyAlignment="1" applyFont="1">
      <alignment vertical="bottom"/>
    </xf>
    <xf borderId="0" fillId="8" fontId="27" numFmtId="3" xfId="0" applyFont="1" applyNumberFormat="1"/>
    <xf borderId="0" fillId="19" fontId="28" numFmtId="0" xfId="0" applyAlignment="1" applyFill="1" applyFont="1">
      <alignment readingOrder="0" vertical="bottom"/>
    </xf>
    <xf borderId="0" fillId="19" fontId="29" numFmtId="3" xfId="0" applyFont="1" applyNumberFormat="1"/>
    <xf borderId="0" fillId="19" fontId="30" numFmtId="3" xfId="0" applyFont="1" applyNumberFormat="1"/>
    <xf borderId="0" fillId="5" fontId="12" numFmtId="0" xfId="0" applyAlignment="1" applyFont="1">
      <alignment readingOrder="0"/>
    </xf>
    <xf borderId="0" fillId="8" fontId="31" numFmtId="3" xfId="0" applyFont="1" applyNumberFormat="1"/>
    <xf borderId="0" fillId="8" fontId="32" numFmtId="3" xfId="0" applyAlignment="1" applyFont="1" applyNumberFormat="1">
      <alignment readingOrder="0"/>
    </xf>
    <xf borderId="0" fillId="19" fontId="33" numFmtId="0" xfId="0" applyAlignment="1" applyFont="1">
      <alignment readingOrder="0" vertical="bottom"/>
    </xf>
    <xf borderId="0" fillId="19" fontId="29" numFmtId="3" xfId="0" applyAlignment="1" applyFont="1" applyNumberFormat="1">
      <alignment readingOrder="0"/>
    </xf>
    <xf borderId="0" fillId="10" fontId="34" numFmtId="0" xfId="0" applyAlignment="1" applyFont="1">
      <alignment readingOrder="0" vertical="bottom"/>
    </xf>
    <xf borderId="0" fillId="8" fontId="35" numFmtId="3" xfId="0" applyFont="1" applyNumberFormat="1"/>
    <xf borderId="0" fillId="13" fontId="28" numFmtId="0" xfId="0" applyAlignment="1" applyFont="1">
      <alignment readingOrder="0" vertical="bottom"/>
    </xf>
    <xf borderId="0" fillId="13" fontId="36" numFmtId="3" xfId="0" applyFont="1" applyNumberFormat="1"/>
    <xf borderId="0" fillId="3" fontId="37" numFmtId="3" xfId="0" applyFont="1" applyNumberFormat="1"/>
    <xf borderId="0" fillId="13" fontId="38" numFmtId="3" xfId="0" applyFont="1" applyNumberFormat="1"/>
    <xf borderId="0" fillId="0" fontId="39" numFmtId="0" xfId="0" applyAlignment="1" applyFont="1">
      <alignment vertical="bottom"/>
    </xf>
    <xf borderId="0" fillId="0" fontId="12" numFmtId="3" xfId="0" applyFont="1" applyNumberFormat="1"/>
    <xf borderId="0" fillId="0" fontId="25" numFmtId="3" xfId="0" applyFont="1" applyNumberFormat="1"/>
    <xf borderId="0" fillId="15" fontId="22" numFmtId="0" xfId="0" applyAlignment="1" applyFont="1">
      <alignment readingOrder="0" vertical="bottom"/>
    </xf>
    <xf borderId="0" fillId="15" fontId="23" numFmtId="0" xfId="0" applyAlignment="1" applyFont="1">
      <alignment readingOrder="0" vertical="bottom"/>
    </xf>
    <xf borderId="0" fillId="20" fontId="39" numFmtId="0" xfId="0" applyFill="1" applyFont="1"/>
    <xf borderId="0" fillId="20" fontId="19" numFmtId="0" xfId="0" applyFont="1"/>
    <xf borderId="0" fillId="20" fontId="12" numFmtId="0" xfId="0" applyFont="1"/>
    <xf borderId="0" fillId="11" fontId="12" numFmtId="3" xfId="0" applyAlignment="1" applyFont="1" applyNumberFormat="1">
      <alignment readingOrder="0"/>
    </xf>
    <xf borderId="0" fillId="20" fontId="12" numFmtId="3" xfId="0" applyAlignment="1" applyFont="1" applyNumberFormat="1">
      <alignment readingOrder="0"/>
    </xf>
    <xf borderId="0" fillId="20" fontId="25" numFmtId="3" xfId="0" applyFont="1" applyNumberFormat="1"/>
    <xf borderId="0" fillId="11" fontId="12" numFmtId="0" xfId="0" applyAlignment="1" applyFont="1">
      <alignment readingOrder="0"/>
    </xf>
    <xf borderId="0" fillId="11" fontId="19" numFmtId="3" xfId="0" applyAlignment="1" applyFont="1" applyNumberFormat="1">
      <alignment readingOrder="0"/>
    </xf>
    <xf borderId="0" fillId="11" fontId="31" numFmtId="3" xfId="0" applyFont="1" applyNumberFormat="1"/>
    <xf borderId="0" fillId="15" fontId="40" numFmtId="0" xfId="0" applyAlignment="1" applyFont="1">
      <alignment readingOrder="0" vertical="bottom"/>
    </xf>
    <xf borderId="0" fillId="20" fontId="41" numFmtId="3" xfId="0" applyAlignment="1" applyFont="1" applyNumberFormat="1">
      <alignment readingOrder="0"/>
    </xf>
    <xf borderId="0" fillId="19" fontId="42" numFmtId="3" xfId="0" applyAlignment="1" applyFont="1" applyNumberFormat="1">
      <alignment readingOrder="0"/>
    </xf>
    <xf borderId="0" fillId="0" fontId="19" numFmtId="0" xfId="0" applyAlignment="1" applyFont="1">
      <alignment horizontal="right" readingOrder="0"/>
    </xf>
    <xf borderId="0" fillId="0" fontId="19" numFmtId="0" xfId="0" applyFont="1"/>
    <xf borderId="0" fillId="19" fontId="42" numFmtId="3" xfId="0" applyFont="1" applyNumberFormat="1"/>
    <xf borderId="0" fillId="20" fontId="43" numFmtId="3" xfId="0" applyFont="1" applyNumberFormat="1"/>
    <xf borderId="0" fillId="20" fontId="31" numFmtId="3" xfId="0" applyFont="1" applyNumberFormat="1"/>
    <xf borderId="0" fillId="13" fontId="44" numFmtId="3" xfId="0" applyFont="1" applyNumberFormat="1"/>
    <xf borderId="0" fillId="20" fontId="41" numFmtId="3" xfId="0" applyFont="1" applyNumberFormat="1"/>
    <xf borderId="0" fillId="13" fontId="42" numFmtId="3" xfId="0" applyAlignment="1" applyFont="1" applyNumberFormat="1">
      <alignment readingOrder="0"/>
    </xf>
    <xf borderId="0" fillId="13" fontId="44" numFmtId="3" xfId="0" applyAlignment="1" applyFont="1" applyNumberFormat="1">
      <alignment readingOrder="0"/>
    </xf>
    <xf borderId="0" fillId="13" fontId="30" numFmtId="3" xfId="0" applyFont="1" applyNumberFormat="1"/>
    <xf borderId="0" fillId="0" fontId="12" numFmtId="3" xfId="0" applyAlignment="1" applyFont="1" applyNumberFormat="1">
      <alignment readingOrder="0"/>
    </xf>
    <xf borderId="0" fillId="0" fontId="20" numFmtId="3" xfId="0" applyFont="1" applyNumberFormat="1"/>
    <xf borderId="0" fillId="9" fontId="22" numFmtId="0" xfId="0" applyAlignment="1" applyFont="1">
      <alignment readingOrder="0" vertical="bottom"/>
    </xf>
    <xf borderId="0" fillId="9" fontId="23" numFmtId="0" xfId="0" applyAlignment="1" applyFont="1">
      <alignment readingOrder="0" vertical="bottom"/>
    </xf>
    <xf borderId="0" fillId="8" fontId="19" numFmtId="0" xfId="0" applyFont="1"/>
    <xf borderId="0" fillId="13" fontId="45" numFmtId="3" xfId="0" applyFont="1" applyNumberFormat="1"/>
    <xf borderId="0" fillId="9" fontId="10" numFmtId="0" xfId="0" applyAlignment="1" applyFont="1">
      <alignment readingOrder="0" vertical="bottom"/>
    </xf>
    <xf borderId="0" fillId="21" fontId="12" numFmtId="3" xfId="0" applyAlignment="1" applyFill="1" applyFont="1" applyNumberFormat="1">
      <alignment readingOrder="0"/>
    </xf>
    <xf borderId="0" fillId="21" fontId="20" numFmtId="3" xfId="0" applyFont="1" applyNumberFormat="1"/>
    <xf borderId="0" fillId="11" fontId="20" numFmtId="3" xfId="0" applyFont="1" applyNumberFormat="1"/>
    <xf borderId="0" fillId="19" fontId="44" numFmtId="3" xfId="0" applyAlignment="1" applyFont="1" applyNumberFormat="1">
      <alignment readingOrder="0"/>
    </xf>
    <xf borderId="0" fillId="19" fontId="45" numFmtId="3" xfId="0" applyFont="1" applyNumberFormat="1"/>
    <xf borderId="0" fillId="21" fontId="12" numFmtId="3" xfId="0" applyFont="1" applyNumberFormat="1"/>
    <xf borderId="0" fillId="21" fontId="19" numFmtId="3" xfId="0" applyFont="1" applyNumberFormat="1"/>
    <xf borderId="0" fillId="8" fontId="21" numFmtId="0" xfId="0" applyAlignment="1" applyFont="1">
      <alignment readingOrder="0" vertical="bottom"/>
    </xf>
    <xf borderId="0" fillId="0" fontId="12" numFmtId="2" xfId="0" applyFont="1" applyNumberFormat="1"/>
    <xf borderId="0" fillId="0" fontId="3" numFmtId="0" xfId="0" applyAlignment="1" applyFont="1">
      <alignment readingOrder="0"/>
    </xf>
    <xf borderId="0" fillId="0" fontId="19" numFmtId="3" xfId="0" applyFont="1" applyNumberFormat="1"/>
    <xf borderId="0" fillId="13" fontId="42" numFmtId="3" xfId="0" applyFont="1" applyNumberFormat="1"/>
    <xf borderId="0" fillId="4" fontId="46" numFmtId="3" xfId="0" applyAlignment="1" applyFont="1" applyNumberFormat="1">
      <alignment readingOrder="0"/>
    </xf>
    <xf borderId="0" fillId="5" fontId="19" numFmtId="3" xfId="0" applyAlignment="1" applyFont="1" applyNumberFormat="1">
      <alignment readingOrder="0"/>
    </xf>
    <xf borderId="0" fillId="10" fontId="0" numFmtId="0" xfId="0" applyAlignment="1" applyFont="1">
      <alignment readingOrder="0" vertical="bottom"/>
    </xf>
    <xf borderId="0" fillId="8" fontId="47" numFmtId="3" xfId="0" applyAlignment="1" applyFont="1" applyNumberFormat="1">
      <alignment readingOrder="0"/>
    </xf>
    <xf borderId="0" fillId="8" fontId="24" numFmtId="3" xfId="0" applyFont="1" applyNumberFormat="1"/>
    <xf borderId="0" fillId="11" fontId="48" numFmtId="3" xfId="0" applyAlignment="1" applyFont="1" applyNumberFormat="1">
      <alignment readingOrder="0"/>
    </xf>
    <xf borderId="0" fillId="11" fontId="48" numFmtId="3" xfId="0" applyFont="1" applyNumberFormat="1"/>
    <xf borderId="0" fillId="8" fontId="27" numFmtId="3" xfId="0" applyAlignment="1" applyFont="1" applyNumberFormat="1">
      <alignment readingOrder="0"/>
    </xf>
    <xf borderId="0" fillId="8" fontId="25" numFmtId="3" xfId="0" applyAlignment="1" applyFont="1" applyNumberFormat="1">
      <alignment readingOrder="0"/>
    </xf>
    <xf borderId="0" fillId="19" fontId="36" numFmtId="3" xfId="0" applyAlignment="1" applyFont="1" applyNumberFormat="1">
      <alignment readingOrder="0"/>
    </xf>
    <xf borderId="0" fillId="19" fontId="36" numFmtId="3" xfId="0" applyFont="1" applyNumberFormat="1"/>
    <xf borderId="0" fillId="13" fontId="29" numFmtId="3" xfId="0" applyAlignment="1" applyFont="1" applyNumberFormat="1">
      <alignment readingOrder="0"/>
    </xf>
    <xf borderId="0" fillId="15" fontId="0" numFmtId="0" xfId="0" applyAlignment="1" applyFont="1">
      <alignment readingOrder="0" vertical="bottom"/>
    </xf>
    <xf borderId="0" fillId="11" fontId="12" numFmtId="3" xfId="0" applyFont="1" applyNumberFormat="1"/>
    <xf borderId="0" fillId="20" fontId="47" numFmtId="3" xfId="0" applyAlignment="1" applyFont="1" applyNumberFormat="1">
      <alignment readingOrder="0"/>
    </xf>
    <xf borderId="0" fillId="20" fontId="12" numFmtId="3" xfId="0" applyFont="1" applyNumberFormat="1"/>
    <xf borderId="0" fillId="11" fontId="47" numFmtId="3" xfId="0" applyAlignment="1" applyFont="1" applyNumberFormat="1">
      <alignment readingOrder="0"/>
    </xf>
    <xf borderId="0" fillId="11" fontId="19" numFmtId="3" xfId="0" applyFont="1" applyNumberFormat="1"/>
    <xf borderId="0" fillId="19" fontId="49" numFmtId="3" xfId="0" applyAlignment="1" applyFont="1" applyNumberFormat="1">
      <alignment readingOrder="0"/>
    </xf>
    <xf borderId="0" fillId="19" fontId="44" numFmtId="3" xfId="0" applyFont="1" applyNumberFormat="1"/>
    <xf borderId="0" fillId="13" fontId="49" numFmtId="3" xfId="0" applyAlignment="1" applyFont="1" applyNumberFormat="1">
      <alignment readingOrder="0"/>
    </xf>
    <xf borderId="0" fillId="0" fontId="47" numFmtId="3" xfId="0" applyAlignment="1" applyFont="1" applyNumberFormat="1">
      <alignment readingOrder="0"/>
    </xf>
    <xf borderId="0" fillId="9" fontId="0" numFmtId="0" xfId="0" applyAlignment="1" applyFont="1">
      <alignment readingOrder="0" vertical="bottom"/>
    </xf>
    <xf borderId="0" fillId="8" fontId="12" numFmtId="0" xfId="0" applyAlignment="1" applyFont="1">
      <alignment readingOrder="0"/>
    </xf>
    <xf borderId="0" fillId="10" fontId="41" numFmtId="0" xfId="0" applyAlignment="1" applyFont="1">
      <alignment vertical="bottom"/>
    </xf>
    <xf borderId="0" fillId="8" fontId="41" numFmtId="3" xfId="0" applyFont="1" applyNumberFormat="1"/>
    <xf borderId="0" fillId="8" fontId="41" numFmtId="3" xfId="0" applyAlignment="1" applyFont="1" applyNumberFormat="1">
      <alignment readingOrder="0"/>
    </xf>
    <xf borderId="0" fillId="17" fontId="12" numFmtId="0" xfId="0" applyAlignment="1" applyFont="1">
      <alignment readingOrder="0"/>
    </xf>
    <xf borderId="0" fillId="8" fontId="48" numFmtId="3" xfId="0" applyFont="1" applyNumberFormat="1"/>
    <xf borderId="0" fillId="10" fontId="40" numFmtId="0" xfId="0" applyAlignment="1" applyFont="1">
      <alignment readingOrder="0" vertical="bottom"/>
    </xf>
    <xf borderId="0" fillId="8" fontId="43" numFmtId="3" xfId="0" applyFont="1" applyNumberFormat="1"/>
    <xf borderId="0" fillId="12" fontId="44" numFmtId="3" xfId="0" applyFont="1" applyNumberFormat="1"/>
    <xf borderId="0" fillId="0" fontId="2" numFmtId="2" xfId="0" applyFont="1" applyNumberFormat="1"/>
    <xf borderId="0" fillId="0" fontId="50" numFmtId="0" xfId="0" applyAlignment="1" applyFont="1">
      <alignment readingOrder="0"/>
    </xf>
    <xf borderId="0" fillId="0" fontId="51" numFmtId="0" xfId="0" applyAlignment="1" applyFont="1">
      <alignment readingOrder="0" vertical="bottom"/>
    </xf>
    <xf borderId="0" fillId="5" fontId="3" numFmtId="3" xfId="0" applyAlignment="1" applyFont="1" applyNumberFormat="1">
      <alignment readingOrder="0"/>
    </xf>
    <xf borderId="0" fillId="0" fontId="52" numFmtId="0" xfId="0" applyAlignment="1" applyFont="1">
      <alignment readingOrder="0" vertical="bottom"/>
    </xf>
    <xf borderId="0" fillId="8" fontId="3" numFmtId="0" xfId="0" applyAlignment="1" applyFont="1">
      <alignment readingOrder="0"/>
    </xf>
    <xf borderId="0" fillId="8" fontId="52" numFmtId="0" xfId="0" applyAlignment="1" applyFont="1">
      <alignment readingOrder="0" vertical="bottom"/>
    </xf>
    <xf borderId="0" fillId="8" fontId="2" numFmtId="0" xfId="0" applyAlignment="1" applyFont="1">
      <alignment readingOrder="0"/>
    </xf>
    <xf borderId="0" fillId="5" fontId="52" numFmtId="0" xfId="0" applyAlignment="1" applyFont="1">
      <alignment readingOrder="0" vertical="bottom"/>
    </xf>
    <xf borderId="0" fillId="8" fontId="51" numFmtId="0" xfId="0" applyAlignment="1" applyFont="1">
      <alignment readingOrder="0" vertical="bottom"/>
    </xf>
    <xf borderId="0" fillId="0" fontId="9" numFmtId="3" xfId="0" applyAlignment="1" applyFont="1" applyNumberFormat="1">
      <alignment readingOrder="0"/>
    </xf>
    <xf borderId="0" fillId="0" fontId="2" numFmtId="3" xfId="0" applyFont="1" applyNumberFormat="1"/>
    <xf borderId="0" fillId="0" fontId="9" numFmtId="3" xfId="0" applyFont="1" applyNumberFormat="1"/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17" fontId="3" numFmtId="3" xfId="0" applyAlignment="1" applyFont="1" applyNumberFormat="1">
      <alignment readingOrder="0"/>
    </xf>
    <xf borderId="0" fillId="0" fontId="3" numFmtId="3" xfId="0" applyFont="1" applyNumberFormat="1"/>
    <xf borderId="0" fillId="8" fontId="2" numFmtId="0" xfId="0" applyAlignment="1" applyFont="1">
      <alignment vertical="bottom"/>
    </xf>
    <xf borderId="0" fillId="0" fontId="8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20" fontId="52" numFmtId="0" xfId="0" applyAlignment="1" applyFont="1">
      <alignment readingOrder="0" vertical="bottom"/>
    </xf>
    <xf borderId="0" fillId="20" fontId="2" numFmtId="0" xfId="0" applyAlignment="1" applyFont="1">
      <alignment readingOrder="0"/>
    </xf>
    <xf borderId="0" fillId="20" fontId="2" numFmtId="0" xfId="0" applyFont="1"/>
    <xf borderId="0" fillId="20" fontId="3" numFmtId="0" xfId="0" applyFont="1"/>
    <xf borderId="0" fillId="20" fontId="51" numFmtId="0" xfId="0" applyAlignment="1" applyFont="1">
      <alignment readingOrder="0" vertical="bottom"/>
    </xf>
    <xf borderId="0" fillId="0" fontId="3" numFmtId="0" xfId="0" applyAlignment="1" applyFont="1">
      <alignment horizontal="right" readingOrder="0"/>
    </xf>
    <xf borderId="0" fillId="17" fontId="3" numFmtId="3" xfId="0" applyFont="1" applyNumberFormat="1"/>
    <xf borderId="0" fillId="0" fontId="3" numFmtId="3" xfId="0" applyAlignment="1" applyFont="1" applyNumberFormat="1">
      <alignment readingOrder="0"/>
    </xf>
    <xf borderId="0" fillId="8" fontId="3" numFmtId="0" xfId="0" applyFont="1"/>
    <xf borderId="0" fillId="0" fontId="55" numFmtId="0" xfId="0" applyAlignment="1" applyFont="1">
      <alignment readingOrder="0"/>
    </xf>
    <xf borderId="0" fillId="5" fontId="2" numFmtId="3" xfId="0" applyAlignment="1" applyFont="1" applyNumberFormat="1">
      <alignment readingOrder="0"/>
    </xf>
    <xf borderId="0" fillId="8" fontId="0" numFmtId="0" xfId="0" applyAlignment="1" applyFont="1">
      <alignment readingOrder="0" vertical="bottom"/>
    </xf>
    <xf borderId="0" fillId="4" fontId="54" numFmtId="0" xfId="0" applyAlignment="1" applyFont="1">
      <alignment readingOrder="0"/>
    </xf>
    <xf borderId="0" fillId="22" fontId="54" numFmtId="0" xfId="0" applyAlignment="1" applyFill="1" applyFont="1">
      <alignment readingOrder="0"/>
    </xf>
    <xf borderId="0" fillId="22" fontId="2" numFmtId="0" xfId="0" applyAlignment="1" applyFont="1">
      <alignment readingOrder="0"/>
    </xf>
    <xf borderId="0" fillId="20" fontId="0" numFmtId="0" xfId="0" applyAlignment="1" applyFont="1">
      <alignment readingOrder="0" vertical="bottom"/>
    </xf>
    <xf borderId="0" fillId="23" fontId="2" numFmtId="0" xfId="0" applyFill="1" applyFont="1"/>
    <xf borderId="0" fillId="0" fontId="2" numFmtId="0" xfId="0" applyAlignment="1" applyFont="1">
      <alignment horizontal="right" vertical="bottom"/>
    </xf>
    <xf borderId="0" fillId="0" fontId="51" numFmtId="0" xfId="0" applyAlignment="1" applyFont="1">
      <alignment horizontal="right" readingOrder="0" vertical="bottom"/>
    </xf>
    <xf borderId="0" fillId="4" fontId="2" numFmtId="3" xfId="0" applyAlignment="1" applyFont="1" applyNumberFormat="1">
      <alignment readingOrder="0"/>
    </xf>
    <xf borderId="0" fillId="17" fontId="2" numFmtId="3" xfId="0" applyAlignment="1" applyFont="1" applyNumberFormat="1">
      <alignment readingOrder="0"/>
    </xf>
    <xf borderId="0" fillId="0" fontId="51" numFmtId="167" xfId="0" applyAlignment="1" applyFont="1" applyNumberFormat="1">
      <alignment horizontal="right" readingOrder="0" vertical="bottom"/>
    </xf>
    <xf borderId="0" fillId="17" fontId="2" numFmtId="3" xfId="0" applyFont="1" applyNumberFormat="1"/>
    <xf borderId="0" fillId="8" fontId="3" numFmtId="0" xfId="0" applyAlignment="1" applyFont="1">
      <alignment horizontal="right" vertical="bottom"/>
    </xf>
    <xf borderId="0" fillId="8" fontId="3" numFmtId="3" xfId="0" applyFont="1" applyNumberFormat="1"/>
    <xf borderId="0" fillId="0" fontId="52" numFmtId="0" xfId="0" applyAlignment="1" applyFont="1">
      <alignment horizontal="right" readingOrder="0" vertical="bottom"/>
    </xf>
    <xf borderId="0" fillId="0" fontId="2" numFmtId="168" xfId="0" applyAlignment="1" applyFont="1" applyNumberFormat="1">
      <alignment readingOrder="0"/>
    </xf>
    <xf borderId="0" fillId="0" fontId="56" numFmtId="0" xfId="0" applyAlignment="1" applyFont="1">
      <alignment readingOrder="0" shrinkToFit="0" vertical="bottom" wrapText="0"/>
    </xf>
    <xf borderId="0" fillId="5" fontId="3" numFmtId="0" xfId="0" applyAlignment="1" applyFont="1">
      <alignment readingOrder="0"/>
    </xf>
    <xf borderId="0" fillId="0" fontId="57" numFmtId="0" xfId="0" applyAlignment="1" applyFont="1">
      <alignment readingOrder="0"/>
    </xf>
    <xf borderId="0" fillId="0" fontId="58" numFmtId="0" xfId="0" applyAlignment="1" applyFont="1">
      <alignment readingOrder="0"/>
    </xf>
    <xf borderId="0" fillId="0" fontId="58" numFmtId="0" xfId="0" applyFont="1"/>
    <xf borderId="0" fillId="0" fontId="59" numFmtId="0" xfId="0" applyAlignment="1" applyFont="1">
      <alignment readingOrder="0" shrinkToFit="0" vertical="bottom" wrapText="0"/>
    </xf>
    <xf borderId="0" fillId="16" fontId="59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60" numFmtId="0" xfId="0" applyAlignment="1" applyFont="1">
      <alignment readingOrder="0" shrinkToFit="0" wrapText="1"/>
    </xf>
    <xf borderId="0" fillId="0" fontId="61" numFmtId="0" xfId="0" applyAlignment="1" applyFont="1">
      <alignment readingOrder="0"/>
    </xf>
    <xf borderId="0" fillId="0" fontId="62" numFmtId="0" xfId="0" applyAlignment="1" applyFont="1">
      <alignment readingOrder="0"/>
    </xf>
    <xf borderId="0" fillId="0" fontId="6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„Stav na konci“ oproti „Rok“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'Vývoj rozpočtu'!$B$1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'Vývoj rozpočtu'!$A$2:$A$14</c:f>
            </c:strRef>
          </c:cat>
          <c:val>
            <c:numRef>
              <c:f>'Vývoj rozpočtu'!$B$2:$B$14</c:f>
              <c:numCache/>
            </c:numRef>
          </c:val>
          <c:smooth val="0"/>
        </c:ser>
        <c:axId val="370893958"/>
        <c:axId val="26558892"/>
      </c:lineChart>
      <c:catAx>
        <c:axId val="370893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558892"/>
      </c:catAx>
      <c:valAx>
        <c:axId val="26558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Stav na konci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08939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1</xdr:row>
      <xdr:rowOff>114300</xdr:rowOff>
    </xdr:from>
    <xdr:ext cx="7724775" cy="3533775"/>
    <xdr:graphicFrame>
      <xdr:nvGraphicFramePr>
        <xdr:cNvPr id="1" name="Chart 1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omas Bauer" id="{95e43928-55be-408e-9929-e8065268608c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60" dT="2017-12-13T22:13:03.00" personId="{95e43928-55be-408e-9929-e8065268608c}" id="{b77dbfb0-1b4b-4b3b-b044-247d6ddb1f80}" done="0">
    <x18tc:text xml:space="preserve">pokladna Hamerák u Hrabáků</x18tc:text>
  </x18tc:threadedComment>
  <x18tc:threadedComment ref="I58" dT="2018-01-21T20:28:58.00" personId="{95e43928-55be-408e-9929-e8065268608c}" id="{b7e26e65-0f0b-4cbd-a482-f95080d84236}" done="0">
    <x18tc:text xml:space="preserve">4164 Kč. Snižuji o 200 aby to sedělo na hotovost v pokladně Hameráku u Hrabáků</x18tc:text>
  </x18tc:threadedComment>
  <x18tc:threadedComment ref="S60" dT="2017-12-13T22:13:34.00" personId="{95e43928-55be-408e-9929-e8065268608c}" id="{d7337a6a-c4d2-4c48-8097-5b5d0c655a7d}" done="0">
    <x18tc:text xml:space="preserve">Pokladna obálka u Tomáše Bauera</x18tc:text>
  </x18tc:threadedComment>
  <x18tc:threadedComment ref="S98" dT="2018-05-24T12:52:16.00" personId="{95e43928-55be-408e-9929-e8065268608c}" id="{5af5e52b-977f-4223-ae1e-a98e155664a4}" done="1">
    <x18tc:text xml:space="preserve">Mělo by být, ale zkontrolovat</x18tc:text>
  </x18tc:threadedComment>
  <x18tc:threadedComment ref="Q66" dT="2018-02-24T20:32:51.00" personId="{95e43928-55be-408e-9929-e8065268608c}" id="{6e988fc8-b1f6-4d53-a093-90ea6c89faf3}" done="0">
    <x18tc:text xml:space="preserve">stav ke konci roku byl 45205, pokud ale před dám dotace materiál a ČSK vratka, pak to musí být o tyto příjmy povýšeno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1" dT="2020-03-04T17:12:02.00" personId="{95e43928-55be-408e-9929-e8065268608c}" id="{2cfb78ee-4595-48d4-855c-b1cc8757603b}" done="0">
    <x18tc:text xml:space="preserve">Původně 3, ale na VH jsme opravovali na 5 - Ešus, tak jsme si to psali i mailem ve výboru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9" dT="2018-12-12T18:12:35.00" personId="{95e43928-55be-408e-9929-e8065268608c}" id="{0f250500-cd5e-40c0-944a-91edb01d6cbe}" done="0">
    <x18tc:text xml:space="preserve">Ešus vratka z Doubravy</x18tc:text>
  </x18tc:threadedComment>
  <x18tc:threadedComment ref="B17" dT="2017-11-23T21:58:00.00" personId="{95e43928-55be-408e-9929-e8065268608c}" id="{8db6448f-0b73-4109-afd2-bc9ee593f571}" done="0">
    <x18tc:text xml:space="preserve">schema: 1000-800-600 (to bylo schválené pro soutěž 2017)</x18tc:text>
  </x18tc:threadedComment>
  <x18tc:threadedComment ref="B17" dT="2018-05-24T12:37:52.00" personId="{95e43928-55be-408e-9929-e8065268608c}" id="{afbf5e66-448a-4dd7-b801-590d60a4b934}" parentId="{8db6448f-0b73-4109-afd2-bc9ee593f571}">
    <x18tc:text xml:space="preserve">přesunuto do Podpory činnosti</x18tc:text>
  </x18tc:threadedComment>
  <x18tc:threadedComment ref="D33" dT="2018-12-12T18:13:10.00" personId="{95e43928-55be-408e-9929-e8065268608c}" id="{d634dbde-d392-4a5d-9e88-2191d29275c9}" done="0">
    <x18tc:text xml:space="preserve">Otava 2500, Úhlava/resp. Roztoky kanál 1200</x18tc:text>
  </x18tc:threadedComment>
  <x18tc:threadedComment ref="D33" dT="2018-12-12T19:13:24.00" personId="{95e43928-55be-408e-9929-e8065268608c}" id="{386274ce-62c8-48a1-972b-3f6bed4ab01d}" parentId="{d634dbde-d392-4a5d-9e88-2191d29275c9}">
    <x18tc:text xml:space="preserve">+1200 je záloha na Roztoky pro TOM, příjmově je to v běžném provozu v příjmech</x18tc:text>
  </x18tc:threadedComment>
  <x18tc:threadedComment ref="B39" dT="2018-01-03T22:34:18.00" personId="{95e43928-55be-408e-9929-e8065268608c}" id="{b3326bec-8bdf-4350-b7ea-e357c078d10a}" done="0">
    <x18tc:text xml:space="preserve">schema: 1000-800-600 (to bylo schválené pro soutěž 2017)</x18tc:text>
  </x18tc:threadedComment>
  <x18tc:threadedComment ref="D8" dT="2018-12-12T19:47:58.00" personId="{95e43928-55be-408e-9929-e8065268608c}" id="{48342166-7ac2-4b5e-be64-bcef0dee52b9}" done="0">
    <x18tc:text xml:space="preserve">-1200 je ponížení ve prospěch zálohy za Roztoky, ta je v nákladech také odečtena níže v Podpora činnosti / Podpora ČPV</x18tc:text>
  </x18tc:threadedComment>
  <x18tc:threadedComment ref="D20" dT="2018-12-12T18:07:52.00" personId="{95e43928-55be-408e-9929-e8065268608c}" id="{888dda1b-0f1a-4e6f-9c1c-89e942c5853d}" done="0">
    <x18tc:text xml:space="preserve">705 - webhosting</x18tc:text>
  </x18tc:threadedComment>
  <x18tc:threadedComment ref="B6" dT="2017-11-23T21:57:09.00" personId="{95e43928-55be-408e-9929-e8065268608c}" id="{9a6637b8-d4be-4a98-91e4-9d342471a646}" done="0">
    <x18tc:text xml:space="preserve">56.600Kč je předpis příspěvků+krakorečného pro současnou členskou základnu. Počítám se změnami členů v rozsahu jako v 2017, takže budeme mít o 5% míň.</x18tc:text>
  </x18tc:threadedComment>
  <x18tc:threadedComment ref="B6" dT="2017-11-27T13:08:43.00" personId="{95e43928-55be-408e-9929-e8065268608c}" id="{43b39f97-30f3-49e4-9665-0f5d6a7dc339}" parentId="{9a6637b8-d4be-4a98-91e4-9d342471a646}">
    <x18tc:text xml:space="preserve">Přidal jsem 3 příchozí dorostence á 800, dle Tomíka: Aktuálně do OVT přechází každý, kdo je 1.1.2018 starší 18-ti let. Aktuálně Háňa Bernardová, Betty Poštůlkováí, Štěpán Hořejší a tuším že ještě Filip Havlíček.</x18tc:text>
  </x18tc:threadedComment>
  <x18tc:threadedComment ref="B13" dT="2017-11-23T21:57:44.00" personId="{95e43928-55be-408e-9929-e8065268608c}" id="{b4bbd231-c479-41f2-93ae-fd073f82d8fc}" done="0">
    <x18tc:text xml:space="preserve">Je ve výši jako v 2017 (po změnách, kdy TOM dostane půlku šatny)</x18tc:text>
  </x18tc:threadedComment>
  <x18tc:threadedComment ref="B27" dT="2018-01-03T21:57:47.00" personId="{95e43928-55be-408e-9929-e8065268608c}" id="{4d3c78ac-d41e-43ad-a49e-fa7f5a9f9a92}" done="0">
    <x18tc:text xml:space="preserve">Lidské zdroje: 17.000
Opravy: 5.374 (minus Kukla cca 1100)
pozn.: již v 2017 účtován Materiál: 8.451,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1" dT="2018-01-21T20:32:43.00" personId="{95e43928-55be-408e-9929-e8065268608c}" id="{3a9523f8-b125-42aa-bca6-4074c4e99b30}" done="0">
    <x18tc:text xml:space="preserve">39.621 původní, sníženo o 200 aby to sedělo na pokladnu Hameráku  Hrabáků</x18tc:text>
  </x18tc:threadedComment>
  <x18tc:threadedComment ref="E30" dT="2017-11-23T21:41:23.00" personId="{95e43928-55be-408e-9929-e8065268608c}" id="{de478563-181b-4300-8513-20cce630ed97}" done="0">
    <x18tc:text xml:space="preserve">dotace zahraniční akce z 2016, kterou Štěpán s Hrabošem nedokázali vyúčtovat v 2016..</x18tc:text>
  </x18tc:threadedComment>
  <x18tc:threadedComment ref="E18" dT="2017-11-23T21:28:44.00" personId="{95e43928-55be-408e-9929-e8065268608c}" id="{d3f05398-c278-4432-8034-6a771d109ed4}" done="0">
    <x18tc:text xml:space="preserve">mínus, protože je to v nákladech a TOM nám tuhle částku pošle za půlku klubovny. Vyřešíme s JKL cca 1.12.2017</x18tc:text>
  </x18tc:threadedComment>
  <x18tc:threadedComment ref="E22" dT="2017-11-23T21:38:50.00" personId="{95e43928-55be-408e-9929-e8065268608c}" id="{afa2528a-de81-456e-9c03-eb73155e2646}" done="0">
    <x18tc:text xml:space="preserve">nejsou v tom náklady na Hamerák, ty tu samostatně v ročním rozpočtu 2017 nejsou.</x18tc:text>
  </x18tc:threadedComment>
  <x18tc:threadedComment ref="E6" dT="2017-11-23T21:20:04.00" personId="{95e43928-55be-408e-9929-e8065268608c}" id="{141d0b84-2e6f-459a-a726-58879dc44b7d}" done="0">
    <x18tc:text xml:space="preserve">plán, provedeme s JKL cca 1.12.2017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stable.cz/" TargetMode="External"/><Relationship Id="rId5" Type="http://schemas.openxmlformats.org/officeDocument/2006/relationships/hyperlink" Target="http://stable.cz/" TargetMode="External"/><Relationship Id="rId6" Type="http://schemas.openxmlformats.org/officeDocument/2006/relationships/hyperlink" Target="http://stable.cz/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vt.kanoe.cz/?hledat=&amp;oddil=024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dwbddPamS_0UOL-smhYBshcssR23vAklOgjIKziQ-M/edit?usp=sharing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2YB6v5965-Mc2dOhTTuFna0KWHik5YpvTAH5QouS8Q/edit?usp=sharing" TargetMode="External"/><Relationship Id="rId2" Type="http://schemas.openxmlformats.org/officeDocument/2006/relationships/hyperlink" Target="https://docs.google.com/spreadsheets/d/1lx6nI87JFlcdVUSR4iVo3_OJIh3xd5aoKikaeBXB6VI/edit?usp=sharing" TargetMode="External"/><Relationship Id="rId3" Type="http://schemas.openxmlformats.org/officeDocument/2006/relationships/hyperlink" Target="https://docs.google.com/spreadsheets/d/1zlJTDRN7AkbIt7hJoxfJv_-az_dCEE_6FPN_axkWiYg/edit?usp=sharing" TargetMode="External"/><Relationship Id="rId4" Type="http://schemas.openxmlformats.org/officeDocument/2006/relationships/hyperlink" Target="https://docs.google.com/spreadsheets/d/1oDp1ulWoRlNbiH-DAuGObmV_2x0w_J75PVF6zVZQGi8/edit?usp=sharing" TargetMode="External"/><Relationship Id="rId5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5.0"/>
    <col customWidth="1" min="2" max="2" width="13.88"/>
    <col customWidth="1" min="3" max="3" width="15.13"/>
    <col customWidth="1" min="4" max="4" width="4.63"/>
    <col customWidth="1" min="5" max="5" width="23.88"/>
    <col customWidth="1" min="6" max="6" width="10.13"/>
    <col customWidth="1" min="7" max="7" width="9.5"/>
    <col customWidth="1" min="8" max="8" width="7.0"/>
    <col customWidth="1" min="9" max="9" width="7.88"/>
    <col customWidth="1" min="10" max="10" width="7.5"/>
    <col customWidth="1" min="11" max="11" width="3.0"/>
    <col customWidth="1" min="12" max="13" width="8.13"/>
    <col customWidth="1" min="14" max="14" width="8.63"/>
    <col customWidth="1" min="15" max="15" width="8.88"/>
    <col customWidth="1" min="16" max="16" width="9.75"/>
    <col customWidth="1" min="17" max="17" width="7.88"/>
    <col customWidth="1" min="18" max="18" width="9.38"/>
    <col customWidth="1" min="19" max="19" width="11.75"/>
    <col customWidth="1" min="20" max="20" width="11.38"/>
    <col customWidth="1" min="21" max="21" width="11.63"/>
    <col customWidth="1" min="22" max="22" width="12.88"/>
    <col customWidth="1" min="23" max="23" width="4.75"/>
    <col customWidth="1" min="25" max="25" width="14.75"/>
    <col customWidth="1" min="26" max="26" width="15.13"/>
    <col customWidth="1" min="27" max="27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/>
      <c r="AC1" s="5"/>
      <c r="AD1" s="5"/>
      <c r="AE1" s="5"/>
      <c r="AF1" s="5"/>
      <c r="AG1" s="5"/>
    </row>
    <row r="2" hidden="1">
      <c r="A2" s="6" t="str">
        <f t="shared" ref="A2:A399" si="1">O2&amp;"_"&amp;B2&amp;"_"&amp;C2</f>
        <v>2017_Převody_Převod z 2016</v>
      </c>
      <c r="B2" s="7" t="s">
        <v>27</v>
      </c>
      <c r="C2" s="7" t="s">
        <v>28</v>
      </c>
      <c r="D2" s="7"/>
      <c r="E2" s="7" t="s">
        <v>29</v>
      </c>
      <c r="F2" s="8">
        <v>42736.0</v>
      </c>
      <c r="G2" s="9"/>
      <c r="H2" s="10"/>
      <c r="I2" s="11">
        <v>99427.0</v>
      </c>
      <c r="J2" s="12"/>
      <c r="K2" s="13">
        <f t="shared" ref="K2:K67" si="2">I2-J2</f>
        <v>99427</v>
      </c>
      <c r="L2" s="13"/>
      <c r="M2" s="13"/>
      <c r="N2" s="14">
        <f>I2-J2</f>
        <v>99427</v>
      </c>
      <c r="O2" s="6" t="s">
        <v>30</v>
      </c>
      <c r="P2" s="6" t="s">
        <v>31</v>
      </c>
      <c r="Q2" s="15">
        <v>64352.0</v>
      </c>
      <c r="R2" s="15">
        <v>0.0</v>
      </c>
      <c r="S2" s="15">
        <v>0.0</v>
      </c>
      <c r="T2" s="15">
        <v>34075.0</v>
      </c>
      <c r="U2" s="15"/>
      <c r="V2" s="14">
        <f t="shared" ref="V2:V137" si="3">IF(ISBLANK(Q2),"",SUM(Q2:U2)-N2)</f>
        <v>-1000</v>
      </c>
      <c r="W2" s="16"/>
      <c r="X2" s="16"/>
    </row>
    <row r="3" hidden="1">
      <c r="A3" s="6" t="str">
        <f t="shared" si="1"/>
        <v>2017_Běžný provoz_Příspěvky ČSK</v>
      </c>
      <c r="B3" s="17" t="s">
        <v>32</v>
      </c>
      <c r="C3" s="7" t="s">
        <v>33</v>
      </c>
      <c r="D3" s="7"/>
      <c r="E3" s="7" t="s">
        <v>33</v>
      </c>
      <c r="F3" s="8">
        <v>42786.0</v>
      </c>
      <c r="G3" s="18"/>
      <c r="H3" s="19"/>
      <c r="I3" s="12"/>
      <c r="J3" s="12">
        <v>1420.0</v>
      </c>
      <c r="K3" s="20">
        <f t="shared" si="2"/>
        <v>-1420</v>
      </c>
      <c r="L3" s="13"/>
      <c r="M3" s="13"/>
      <c r="N3" s="14">
        <f t="shared" ref="N3:N399" si="4">N2+I3-J3</f>
        <v>98007</v>
      </c>
      <c r="O3" s="6" t="s">
        <v>30</v>
      </c>
      <c r="P3" s="6" t="s">
        <v>31</v>
      </c>
      <c r="Q3" s="15"/>
      <c r="R3" s="15"/>
      <c r="S3" s="15"/>
      <c r="T3" s="15"/>
      <c r="U3" s="15"/>
      <c r="V3" s="14" t="str">
        <f t="shared" si="3"/>
        <v/>
      </c>
      <c r="W3" s="16"/>
      <c r="X3" s="16"/>
    </row>
    <row r="4" hidden="1">
      <c r="A4" s="6" t="str">
        <f t="shared" si="1"/>
        <v>2017_Běžný provoz_Příspěvky</v>
      </c>
      <c r="B4" s="17" t="s">
        <v>32</v>
      </c>
      <c r="C4" s="21" t="s">
        <v>34</v>
      </c>
      <c r="D4" s="7"/>
      <c r="E4" s="7" t="s">
        <v>35</v>
      </c>
      <c r="F4" s="8">
        <v>42787.0</v>
      </c>
      <c r="G4" s="18"/>
      <c r="H4" s="19"/>
      <c r="I4" s="12">
        <v>11750.0</v>
      </c>
      <c r="J4" s="12"/>
      <c r="K4" s="20">
        <f t="shared" si="2"/>
        <v>11750</v>
      </c>
      <c r="L4" s="13"/>
      <c r="M4" s="13"/>
      <c r="N4" s="14">
        <f t="shared" si="4"/>
        <v>109757</v>
      </c>
      <c r="O4" s="6" t="s">
        <v>30</v>
      </c>
      <c r="P4" s="6" t="s">
        <v>36</v>
      </c>
      <c r="Q4" s="22">
        <f>Q2</f>
        <v>64352</v>
      </c>
      <c r="R4" s="15"/>
      <c r="S4" s="15">
        <v>11750.0</v>
      </c>
      <c r="T4" s="15">
        <v>32655.0</v>
      </c>
      <c r="U4" s="15"/>
      <c r="V4" s="14">
        <f t="shared" si="3"/>
        <v>-1000</v>
      </c>
      <c r="W4" s="16"/>
      <c r="X4" s="16"/>
    </row>
    <row r="5" hidden="1">
      <c r="A5" s="6" t="str">
        <f t="shared" si="1"/>
        <v>2017_Hamerák-akce_Hamerák materiál</v>
      </c>
      <c r="B5" s="23" t="s">
        <v>37</v>
      </c>
      <c r="C5" s="24" t="s">
        <v>38</v>
      </c>
      <c r="D5" s="7"/>
      <c r="E5" s="7" t="s">
        <v>39</v>
      </c>
      <c r="F5" s="8">
        <v>42787.0</v>
      </c>
      <c r="G5" s="18"/>
      <c r="H5" s="19"/>
      <c r="I5" s="12"/>
      <c r="J5" s="12"/>
      <c r="K5" s="20">
        <f t="shared" si="2"/>
        <v>0</v>
      </c>
      <c r="L5" s="13">
        <v>3000.0</v>
      </c>
      <c r="M5" s="13"/>
      <c r="N5" s="14">
        <f t="shared" si="4"/>
        <v>109757</v>
      </c>
      <c r="O5" s="6" t="s">
        <v>30</v>
      </c>
      <c r="P5" s="6" t="s">
        <v>31</v>
      </c>
      <c r="Q5" s="22">
        <f>Q4</f>
        <v>64352</v>
      </c>
      <c r="R5" s="15">
        <v>0.0</v>
      </c>
      <c r="S5" s="15">
        <v>8750.0</v>
      </c>
      <c r="T5" s="15">
        <v>32655.0</v>
      </c>
      <c r="U5" s="15">
        <v>3000.0</v>
      </c>
      <c r="V5" s="14">
        <f t="shared" si="3"/>
        <v>-1000</v>
      </c>
      <c r="W5" s="7" t="s">
        <v>40</v>
      </c>
      <c r="X5" s="16">
        <v>42816.0</v>
      </c>
      <c r="Y5" s="16"/>
    </row>
    <row r="6" hidden="1">
      <c r="A6" s="6" t="str">
        <f t="shared" si="1"/>
        <v>2017_Hamerák-akce_Hamerák materiál</v>
      </c>
      <c r="B6" s="23" t="s">
        <v>37</v>
      </c>
      <c r="C6" s="24" t="s">
        <v>38</v>
      </c>
      <c r="D6" s="7"/>
      <c r="E6" s="7" t="s">
        <v>41</v>
      </c>
      <c r="F6" s="8">
        <v>42809.0</v>
      </c>
      <c r="G6" s="18"/>
      <c r="H6" s="19"/>
      <c r="I6" s="12"/>
      <c r="J6" s="12">
        <f>4029+449</f>
        <v>4478</v>
      </c>
      <c r="K6" s="20">
        <f t="shared" si="2"/>
        <v>-4478</v>
      </c>
      <c r="L6" s="13"/>
      <c r="M6" s="13"/>
      <c r="N6" s="14">
        <f t="shared" si="4"/>
        <v>105279</v>
      </c>
      <c r="O6" s="6" t="s">
        <v>30</v>
      </c>
      <c r="P6" s="6" t="s">
        <v>31</v>
      </c>
      <c r="Q6" s="22"/>
      <c r="R6" s="15"/>
      <c r="S6" s="15"/>
      <c r="T6" s="15"/>
      <c r="U6" s="15"/>
      <c r="V6" s="14" t="str">
        <f t="shared" si="3"/>
        <v/>
      </c>
      <c r="W6" s="16"/>
      <c r="X6" s="16"/>
      <c r="Y6" s="16"/>
    </row>
    <row r="7" hidden="1">
      <c r="A7" s="6" t="str">
        <f t="shared" si="1"/>
        <v>2017_Běžný provoz_Oddílová soutěž</v>
      </c>
      <c r="B7" s="17" t="s">
        <v>32</v>
      </c>
      <c r="C7" s="25" t="s">
        <v>42</v>
      </c>
      <c r="D7" s="7"/>
      <c r="E7" s="7" t="s">
        <v>43</v>
      </c>
      <c r="F7" s="8">
        <v>42809.0</v>
      </c>
      <c r="G7" s="18"/>
      <c r="H7" s="19"/>
      <c r="I7" s="12"/>
      <c r="J7" s="12">
        <v>1200.0</v>
      </c>
      <c r="K7" s="20">
        <f t="shared" si="2"/>
        <v>-1200</v>
      </c>
      <c r="L7" s="13"/>
      <c r="M7" s="13"/>
      <c r="N7" s="14">
        <f t="shared" si="4"/>
        <v>104079</v>
      </c>
      <c r="O7" s="6" t="s">
        <v>30</v>
      </c>
      <c r="P7" s="6" t="s">
        <v>36</v>
      </c>
      <c r="Q7" s="22"/>
      <c r="R7" s="15"/>
      <c r="S7" s="15"/>
      <c r="T7" s="15"/>
      <c r="U7" s="15"/>
      <c r="V7" s="14" t="str">
        <f t="shared" si="3"/>
        <v/>
      </c>
      <c r="W7" s="16"/>
      <c r="X7" s="16"/>
      <c r="Y7" s="16"/>
    </row>
    <row r="8" hidden="1">
      <c r="A8" s="6" t="str">
        <f t="shared" si="1"/>
        <v>2017_Převody_převod</v>
      </c>
      <c r="B8" s="7" t="s">
        <v>27</v>
      </c>
      <c r="C8" s="26" t="s">
        <v>44</v>
      </c>
      <c r="D8" s="7"/>
      <c r="E8" s="7" t="s">
        <v>45</v>
      </c>
      <c r="F8" s="8">
        <v>42822.0</v>
      </c>
      <c r="G8" s="18"/>
      <c r="H8" s="19"/>
      <c r="I8" s="12"/>
      <c r="J8" s="12"/>
      <c r="K8" s="20">
        <f t="shared" si="2"/>
        <v>0</v>
      </c>
      <c r="L8" s="13"/>
      <c r="M8" s="13">
        <v>5000.0</v>
      </c>
      <c r="N8" s="14">
        <f t="shared" si="4"/>
        <v>104079</v>
      </c>
      <c r="O8" s="6" t="s">
        <v>30</v>
      </c>
      <c r="P8" s="6" t="s">
        <v>31</v>
      </c>
      <c r="Q8" s="22"/>
      <c r="R8" s="15"/>
      <c r="S8" s="15"/>
      <c r="T8" s="15"/>
      <c r="U8" s="15"/>
      <c r="V8" s="14" t="str">
        <f t="shared" si="3"/>
        <v/>
      </c>
      <c r="W8" s="16"/>
      <c r="X8" s="16"/>
      <c r="Y8" s="16"/>
    </row>
    <row r="9" hidden="1">
      <c r="A9" s="6" t="str">
        <f t="shared" si="1"/>
        <v>2017_Hamerák-akce_Hamerák materiál</v>
      </c>
      <c r="B9" s="23" t="s">
        <v>37</v>
      </c>
      <c r="C9" s="24" t="s">
        <v>38</v>
      </c>
      <c r="D9" s="7"/>
      <c r="E9" s="7" t="s">
        <v>46</v>
      </c>
      <c r="F9" s="8">
        <v>42822.0</v>
      </c>
      <c r="G9" s="18"/>
      <c r="H9" s="19"/>
      <c r="I9" s="12"/>
      <c r="J9" s="12"/>
      <c r="K9" s="20">
        <f t="shared" si="2"/>
        <v>0</v>
      </c>
      <c r="L9" s="13">
        <v>-3000.0</v>
      </c>
      <c r="M9" s="13">
        <v>-2678.0</v>
      </c>
      <c r="N9" s="14">
        <f t="shared" si="4"/>
        <v>104079</v>
      </c>
      <c r="O9" s="6" t="s">
        <v>30</v>
      </c>
      <c r="P9" s="6" t="s">
        <v>31</v>
      </c>
      <c r="Q9" s="22">
        <f>Q5</f>
        <v>64352</v>
      </c>
      <c r="R9" s="15">
        <v>2322.0</v>
      </c>
      <c r="S9" s="15">
        <v>3750.0</v>
      </c>
      <c r="T9" s="15">
        <v>32655.0</v>
      </c>
      <c r="U9" s="15">
        <v>0.0</v>
      </c>
      <c r="V9" s="14">
        <f t="shared" si="3"/>
        <v>-1000</v>
      </c>
      <c r="W9" s="7" t="s">
        <v>47</v>
      </c>
      <c r="X9" s="16">
        <v>42822.0</v>
      </c>
      <c r="Y9" s="16"/>
    </row>
    <row r="10" hidden="1">
      <c r="A10" s="6" t="str">
        <f t="shared" si="1"/>
        <v>2017_Běžný provoz_Příspěvky</v>
      </c>
      <c r="B10" s="17" t="s">
        <v>32</v>
      </c>
      <c r="C10" s="21" t="s">
        <v>34</v>
      </c>
      <c r="D10" s="7"/>
      <c r="E10" s="7" t="s">
        <v>48</v>
      </c>
      <c r="F10" s="8">
        <v>42826.0</v>
      </c>
      <c r="G10" s="18">
        <v>42815.0</v>
      </c>
      <c r="H10" s="19"/>
      <c r="I10" s="12">
        <v>20250.0</v>
      </c>
      <c r="J10" s="12"/>
      <c r="K10" s="20">
        <f t="shared" si="2"/>
        <v>20250</v>
      </c>
      <c r="L10" s="13"/>
      <c r="M10" s="13"/>
      <c r="N10" s="14">
        <f t="shared" si="4"/>
        <v>124329</v>
      </c>
      <c r="O10" s="6" t="s">
        <v>30</v>
      </c>
      <c r="P10" s="6" t="s">
        <v>36</v>
      </c>
      <c r="Q10" s="15"/>
      <c r="R10" s="15"/>
      <c r="S10" s="15"/>
      <c r="T10" s="15"/>
      <c r="U10" s="15"/>
      <c r="V10" s="14" t="str">
        <f t="shared" si="3"/>
        <v/>
      </c>
      <c r="W10" s="16"/>
      <c r="X10" s="16"/>
      <c r="Y10" s="16"/>
    </row>
    <row r="11" hidden="1">
      <c r="A11" s="6" t="str">
        <f t="shared" si="1"/>
        <v>2017_Běžný provoz_Interní nájmy</v>
      </c>
      <c r="B11" s="17" t="s">
        <v>32</v>
      </c>
      <c r="C11" s="27" t="s">
        <v>49</v>
      </c>
      <c r="D11" s="7"/>
      <c r="E11" s="7" t="s">
        <v>50</v>
      </c>
      <c r="F11" s="8">
        <v>42826.0</v>
      </c>
      <c r="G11" s="18">
        <v>42766.0</v>
      </c>
      <c r="H11" s="19"/>
      <c r="I11" s="12"/>
      <c r="J11" s="12">
        <v>8212.0</v>
      </c>
      <c r="K11" s="20">
        <f t="shared" si="2"/>
        <v>-8212</v>
      </c>
      <c r="L11" s="13"/>
      <c r="M11" s="13"/>
      <c r="N11" s="14">
        <f t="shared" si="4"/>
        <v>116117</v>
      </c>
      <c r="O11" s="6" t="s">
        <v>30</v>
      </c>
      <c r="P11" s="6" t="s">
        <v>36</v>
      </c>
      <c r="Q11" s="15"/>
      <c r="R11" s="15"/>
      <c r="S11" s="15"/>
      <c r="T11" s="15"/>
      <c r="U11" s="15"/>
      <c r="V11" s="14" t="str">
        <f t="shared" si="3"/>
        <v/>
      </c>
      <c r="W11" s="16"/>
      <c r="X11" s="16"/>
      <c r="Y11" s="16"/>
      <c r="Z11" s="16"/>
    </row>
    <row r="12" hidden="1">
      <c r="A12" s="6" t="str">
        <f t="shared" si="1"/>
        <v>2017_Běžný provoz_Interní nájmy</v>
      </c>
      <c r="B12" s="17" t="s">
        <v>32</v>
      </c>
      <c r="C12" s="27" t="s">
        <v>49</v>
      </c>
      <c r="D12" s="7"/>
      <c r="E12" s="7" t="s">
        <v>51</v>
      </c>
      <c r="F12" s="8">
        <v>42826.0</v>
      </c>
      <c r="G12" s="18">
        <v>42766.0</v>
      </c>
      <c r="H12" s="19"/>
      <c r="I12" s="12"/>
      <c r="J12" s="12">
        <v>7488.0</v>
      </c>
      <c r="K12" s="20">
        <f t="shared" si="2"/>
        <v>-7488</v>
      </c>
      <c r="L12" s="13"/>
      <c r="M12" s="13"/>
      <c r="N12" s="14">
        <f t="shared" si="4"/>
        <v>108629</v>
      </c>
      <c r="O12" s="6" t="s">
        <v>30</v>
      </c>
      <c r="P12" s="6" t="s">
        <v>36</v>
      </c>
      <c r="Q12" s="22">
        <f>Q$2+20250-8212-7488</f>
        <v>68902</v>
      </c>
      <c r="R12" s="15">
        <v>2322.0</v>
      </c>
      <c r="S12" s="15">
        <v>3750.0</v>
      </c>
      <c r="T12" s="15">
        <v>32655.0</v>
      </c>
      <c r="U12" s="15">
        <v>0.0</v>
      </c>
      <c r="V12" s="14">
        <f t="shared" si="3"/>
        <v>-1000</v>
      </c>
      <c r="W12" s="7" t="s">
        <v>47</v>
      </c>
      <c r="X12" s="16">
        <v>42825.0</v>
      </c>
      <c r="Y12" s="16">
        <v>42815.0</v>
      </c>
      <c r="Z12" s="16"/>
    </row>
    <row r="13" hidden="1">
      <c r="A13" s="6" t="str">
        <f t="shared" si="1"/>
        <v>2017_Běžný provoz_Příspěvky</v>
      </c>
      <c r="B13" s="17" t="s">
        <v>32</v>
      </c>
      <c r="C13" s="21" t="s">
        <v>34</v>
      </c>
      <c r="D13" s="7"/>
      <c r="E13" s="7" t="s">
        <v>52</v>
      </c>
      <c r="F13" s="8">
        <v>42829.0</v>
      </c>
      <c r="G13" s="16"/>
      <c r="H13" s="19"/>
      <c r="I13" s="12">
        <v>400.0</v>
      </c>
      <c r="J13" s="12"/>
      <c r="K13" s="20">
        <f t="shared" si="2"/>
        <v>400</v>
      </c>
      <c r="L13" s="13"/>
      <c r="M13" s="13"/>
      <c r="N13" s="14">
        <f t="shared" si="4"/>
        <v>109029</v>
      </c>
      <c r="O13" s="6" t="s">
        <v>30</v>
      </c>
      <c r="P13" s="6" t="s">
        <v>36</v>
      </c>
      <c r="Q13" s="15"/>
      <c r="R13" s="15"/>
      <c r="S13" s="15"/>
      <c r="T13" s="15"/>
      <c r="U13" s="15"/>
      <c r="V13" s="14" t="str">
        <f t="shared" si="3"/>
        <v/>
      </c>
      <c r="W13" s="16"/>
      <c r="X13" s="16"/>
      <c r="Y13" s="16"/>
      <c r="Z13" s="16"/>
    </row>
    <row r="14" hidden="1">
      <c r="A14" s="6" t="str">
        <f t="shared" si="1"/>
        <v>2017_Převody_převod</v>
      </c>
      <c r="B14" s="7" t="s">
        <v>27</v>
      </c>
      <c r="C14" s="26" t="s">
        <v>44</v>
      </c>
      <c r="D14" s="7"/>
      <c r="E14" s="7" t="s">
        <v>53</v>
      </c>
      <c r="F14" s="8">
        <v>42833.0</v>
      </c>
      <c r="G14" s="16"/>
      <c r="H14" s="19"/>
      <c r="I14" s="12"/>
      <c r="J14" s="12"/>
      <c r="K14" s="20">
        <f t="shared" si="2"/>
        <v>0</v>
      </c>
      <c r="L14" s="13"/>
      <c r="M14" s="13">
        <v>28550.0</v>
      </c>
      <c r="N14" s="14">
        <f t="shared" si="4"/>
        <v>109029</v>
      </c>
      <c r="O14" s="6" t="s">
        <v>30</v>
      </c>
      <c r="P14" s="6" t="s">
        <v>31</v>
      </c>
      <c r="Q14" s="22"/>
      <c r="R14" s="15"/>
      <c r="S14" s="15"/>
      <c r="T14" s="15"/>
      <c r="U14" s="15"/>
      <c r="V14" s="14" t="str">
        <f t="shared" si="3"/>
        <v/>
      </c>
      <c r="W14" s="16"/>
      <c r="X14" s="16"/>
      <c r="Y14" s="16"/>
      <c r="Z14" s="16"/>
    </row>
    <row r="15" hidden="1">
      <c r="A15" s="6" t="str">
        <f t="shared" si="1"/>
        <v>2017_Běžný provoz_Příspěvky</v>
      </c>
      <c r="B15" s="17" t="s">
        <v>32</v>
      </c>
      <c r="C15" s="21" t="s">
        <v>34</v>
      </c>
      <c r="D15" s="7"/>
      <c r="E15" s="7" t="s">
        <v>54</v>
      </c>
      <c r="F15" s="8">
        <v>42834.0</v>
      </c>
      <c r="G15" s="16"/>
      <c r="H15" s="19"/>
      <c r="I15" s="12">
        <v>1450.0</v>
      </c>
      <c r="J15" s="12"/>
      <c r="K15" s="20">
        <f t="shared" si="2"/>
        <v>1450</v>
      </c>
      <c r="L15" s="13"/>
      <c r="M15" s="13"/>
      <c r="N15" s="14">
        <f t="shared" si="4"/>
        <v>110479</v>
      </c>
      <c r="O15" s="6" t="s">
        <v>30</v>
      </c>
      <c r="P15" s="6" t="s">
        <v>36</v>
      </c>
      <c r="Q15" s="22">
        <f>Q$2+20250-8212-7488</f>
        <v>68902</v>
      </c>
      <c r="R15" s="15">
        <v>32322.0</v>
      </c>
      <c r="S15" s="15">
        <v>9255.0</v>
      </c>
      <c r="T15" s="15">
        <v>0.0</v>
      </c>
      <c r="U15" s="15">
        <v>0.0</v>
      </c>
      <c r="V15" s="14">
        <f t="shared" si="3"/>
        <v>0</v>
      </c>
      <c r="W15" s="7" t="s">
        <v>55</v>
      </c>
      <c r="X15" s="16">
        <v>42834.0</v>
      </c>
      <c r="Y15" s="16">
        <v>42815.0</v>
      </c>
      <c r="Z15" s="16"/>
    </row>
    <row r="16" hidden="1">
      <c r="A16" s="6" t="str">
        <f t="shared" si="1"/>
        <v>2017_Převody_převod</v>
      </c>
      <c r="B16" s="7" t="s">
        <v>27</v>
      </c>
      <c r="C16" s="26" t="s">
        <v>44</v>
      </c>
      <c r="D16" s="7"/>
      <c r="E16" s="7" t="s">
        <v>56</v>
      </c>
      <c r="F16" s="8">
        <v>42838.0</v>
      </c>
      <c r="G16" s="16"/>
      <c r="H16" s="19"/>
      <c r="I16" s="12"/>
      <c r="J16" s="12"/>
      <c r="K16" s="20">
        <f t="shared" si="2"/>
        <v>0</v>
      </c>
      <c r="L16" s="13"/>
      <c r="M16" s="13">
        <v>4000.0</v>
      </c>
      <c r="N16" s="14">
        <f t="shared" si="4"/>
        <v>110479</v>
      </c>
      <c r="O16" s="6" t="s">
        <v>30</v>
      </c>
      <c r="P16" s="6" t="s">
        <v>31</v>
      </c>
      <c r="Q16" s="22"/>
      <c r="R16" s="15"/>
      <c r="S16" s="15"/>
      <c r="T16" s="15"/>
      <c r="U16" s="15"/>
      <c r="V16" s="14" t="str">
        <f t="shared" si="3"/>
        <v/>
      </c>
      <c r="W16" s="16"/>
      <c r="X16" s="16"/>
      <c r="Y16" s="16"/>
      <c r="Z16" s="16"/>
    </row>
    <row r="17" hidden="1">
      <c r="A17" s="6" t="str">
        <f t="shared" si="1"/>
        <v>2017_Běžný provoz_Příspěvky</v>
      </c>
      <c r="B17" s="17" t="s">
        <v>32</v>
      </c>
      <c r="C17" s="21" t="s">
        <v>34</v>
      </c>
      <c r="D17" s="7"/>
      <c r="E17" s="7" t="s">
        <v>57</v>
      </c>
      <c r="F17" s="8">
        <v>42844.0</v>
      </c>
      <c r="G17" s="16"/>
      <c r="H17" s="19"/>
      <c r="I17" s="12">
        <v>1600.0</v>
      </c>
      <c r="J17" s="12"/>
      <c r="K17" s="20">
        <f t="shared" si="2"/>
        <v>1600</v>
      </c>
      <c r="L17" s="13"/>
      <c r="M17" s="13"/>
      <c r="N17" s="14">
        <f t="shared" si="4"/>
        <v>112079</v>
      </c>
      <c r="O17" s="6" t="s">
        <v>30</v>
      </c>
      <c r="P17" s="6" t="s">
        <v>36</v>
      </c>
      <c r="Q17" s="22">
        <f>Q$2+20250-8212-7488</f>
        <v>68902</v>
      </c>
      <c r="R17" s="15">
        <v>37922.0</v>
      </c>
      <c r="S17" s="15">
        <v>5255.0</v>
      </c>
      <c r="T17" s="15">
        <v>0.0</v>
      </c>
      <c r="U17" s="15">
        <v>0.0</v>
      </c>
      <c r="V17" s="14">
        <f t="shared" si="3"/>
        <v>0</v>
      </c>
      <c r="W17" s="7" t="s">
        <v>55</v>
      </c>
      <c r="X17" s="16">
        <v>42844.0</v>
      </c>
      <c r="Y17" s="16">
        <v>42815.0</v>
      </c>
      <c r="Z17" s="16"/>
    </row>
    <row r="18" hidden="1">
      <c r="A18" s="6" t="str">
        <f t="shared" si="1"/>
        <v>2017_Hamerák-akce_Hamerák materiál</v>
      </c>
      <c r="B18" s="23" t="s">
        <v>37</v>
      </c>
      <c r="C18" s="24" t="s">
        <v>38</v>
      </c>
      <c r="D18" s="7"/>
      <c r="E18" s="7" t="s">
        <v>46</v>
      </c>
      <c r="F18" s="8">
        <v>42860.0</v>
      </c>
      <c r="G18" s="16"/>
      <c r="H18" s="19"/>
      <c r="I18" s="12"/>
      <c r="J18" s="12">
        <v>190.0</v>
      </c>
      <c r="K18" s="20">
        <f t="shared" si="2"/>
        <v>-190</v>
      </c>
      <c r="L18" s="13"/>
      <c r="M18" s="13"/>
      <c r="N18" s="14">
        <f t="shared" si="4"/>
        <v>111889</v>
      </c>
      <c r="O18" s="6" t="s">
        <v>30</v>
      </c>
      <c r="P18" s="6" t="s">
        <v>31</v>
      </c>
      <c r="Q18" s="15"/>
      <c r="R18" s="15"/>
      <c r="S18" s="15"/>
      <c r="T18" s="15"/>
      <c r="U18" s="15"/>
      <c r="V18" s="14" t="str">
        <f t="shared" si="3"/>
        <v/>
      </c>
      <c r="W18" s="16"/>
      <c r="X18" s="16"/>
      <c r="Y18" s="16"/>
      <c r="Z18" s="16"/>
    </row>
    <row r="19" hidden="1">
      <c r="A19" s="6" t="str">
        <f t="shared" si="1"/>
        <v>2017_Běžný provoz_Příspěvky</v>
      </c>
      <c r="B19" s="17" t="s">
        <v>32</v>
      </c>
      <c r="C19" s="21" t="s">
        <v>34</v>
      </c>
      <c r="D19" s="7"/>
      <c r="E19" s="7" t="s">
        <v>58</v>
      </c>
      <c r="F19" s="8">
        <v>42860.0</v>
      </c>
      <c r="G19" s="16"/>
      <c r="H19" s="19"/>
      <c r="I19" s="12"/>
      <c r="J19" s="12">
        <v>850.0</v>
      </c>
      <c r="K19" s="20">
        <f t="shared" si="2"/>
        <v>-850</v>
      </c>
      <c r="L19" s="13"/>
      <c r="M19" s="13"/>
      <c r="N19" s="14">
        <f t="shared" si="4"/>
        <v>111039</v>
      </c>
      <c r="O19" s="6" t="s">
        <v>30</v>
      </c>
      <c r="P19" s="6" t="s">
        <v>36</v>
      </c>
      <c r="Q19" s="22">
        <f t="shared" ref="Q19:Q20" si="5">Q$2+20250-8212-7488</f>
        <v>68902</v>
      </c>
      <c r="R19" s="15">
        <v>36882.0</v>
      </c>
      <c r="S19" s="15"/>
      <c r="T19" s="15"/>
      <c r="U19" s="15"/>
      <c r="V19" s="14">
        <f t="shared" si="3"/>
        <v>-5255</v>
      </c>
      <c r="W19" s="16"/>
      <c r="X19" s="16"/>
      <c r="Y19" s="16"/>
      <c r="Z19" s="16"/>
    </row>
    <row r="20" hidden="1">
      <c r="A20" s="6" t="str">
        <f t="shared" si="1"/>
        <v>2017_Převody_převod</v>
      </c>
      <c r="B20" s="7" t="s">
        <v>27</v>
      </c>
      <c r="C20" s="26" t="s">
        <v>44</v>
      </c>
      <c r="D20" s="7"/>
      <c r="E20" s="7" t="s">
        <v>56</v>
      </c>
      <c r="F20" s="8">
        <v>42860.0</v>
      </c>
      <c r="G20" s="16"/>
      <c r="H20" s="19"/>
      <c r="I20" s="12"/>
      <c r="J20" s="12"/>
      <c r="K20" s="20">
        <f t="shared" si="2"/>
        <v>0</v>
      </c>
      <c r="L20" s="13"/>
      <c r="M20" s="13">
        <v>5000.0</v>
      </c>
      <c r="N20" s="14">
        <f t="shared" si="4"/>
        <v>111039</v>
      </c>
      <c r="O20" s="6" t="s">
        <v>30</v>
      </c>
      <c r="P20" s="6" t="s">
        <v>31</v>
      </c>
      <c r="Q20" s="22">
        <f t="shared" si="5"/>
        <v>68902</v>
      </c>
      <c r="R20" s="15">
        <v>41882.0</v>
      </c>
      <c r="S20" s="15">
        <v>255.0</v>
      </c>
      <c r="T20" s="15">
        <v>0.0</v>
      </c>
      <c r="U20" s="15">
        <v>0.0</v>
      </c>
      <c r="V20" s="14">
        <f t="shared" si="3"/>
        <v>0</v>
      </c>
      <c r="W20" s="7" t="s">
        <v>55</v>
      </c>
      <c r="X20" s="16">
        <v>42860.0</v>
      </c>
      <c r="Y20" s="16">
        <v>42815.0</v>
      </c>
      <c r="Z20" s="16"/>
    </row>
    <row r="21" hidden="1">
      <c r="A21" s="6" t="str">
        <f t="shared" si="1"/>
        <v>2017_Běžný provoz_Příspěvky</v>
      </c>
      <c r="B21" s="17" t="s">
        <v>32</v>
      </c>
      <c r="C21" s="21" t="s">
        <v>34</v>
      </c>
      <c r="D21" s="7"/>
      <c r="E21" s="7" t="s">
        <v>59</v>
      </c>
      <c r="F21" s="8">
        <v>42874.0</v>
      </c>
      <c r="H21" s="19"/>
      <c r="I21" s="12">
        <f>7850+1300</f>
        <v>9150</v>
      </c>
      <c r="J21" s="12"/>
      <c r="K21" s="20">
        <f t="shared" si="2"/>
        <v>9150</v>
      </c>
      <c r="L21" s="13"/>
      <c r="M21" s="13"/>
      <c r="N21" s="14">
        <f t="shared" si="4"/>
        <v>120189</v>
      </c>
      <c r="O21" s="6" t="s">
        <v>30</v>
      </c>
      <c r="P21" s="6" t="s">
        <v>36</v>
      </c>
      <c r="Q21" s="15"/>
      <c r="R21" s="15"/>
      <c r="S21" s="15"/>
      <c r="T21" s="15"/>
      <c r="U21" s="15"/>
      <c r="V21" s="14" t="str">
        <f t="shared" si="3"/>
        <v/>
      </c>
      <c r="W21" s="16"/>
      <c r="X21" s="16"/>
      <c r="Y21" s="16"/>
      <c r="Z21" s="16"/>
    </row>
    <row r="22" hidden="1">
      <c r="A22" s="6" t="str">
        <f t="shared" si="1"/>
        <v>2017_Běžný provoz_Oddílová soutěž</v>
      </c>
      <c r="B22" s="17" t="s">
        <v>32</v>
      </c>
      <c r="C22" s="25" t="s">
        <v>42</v>
      </c>
      <c r="D22" s="7"/>
      <c r="E22" s="7" t="s">
        <v>60</v>
      </c>
      <c r="F22" s="8">
        <v>42877.0</v>
      </c>
      <c r="H22" s="19"/>
      <c r="I22" s="12"/>
      <c r="J22" s="12">
        <v>1200.0</v>
      </c>
      <c r="K22" s="20">
        <f t="shared" si="2"/>
        <v>-1200</v>
      </c>
      <c r="L22" s="13"/>
      <c r="M22" s="13"/>
      <c r="N22" s="14">
        <f t="shared" si="4"/>
        <v>118989</v>
      </c>
      <c r="O22" s="6" t="s">
        <v>30</v>
      </c>
      <c r="P22" s="6" t="s">
        <v>36</v>
      </c>
      <c r="Q22" s="15"/>
      <c r="R22" s="15"/>
      <c r="S22" s="15"/>
      <c r="T22" s="15"/>
      <c r="U22" s="15"/>
      <c r="V22" s="14" t="str">
        <f t="shared" si="3"/>
        <v/>
      </c>
      <c r="W22" s="16"/>
      <c r="X22" s="16"/>
      <c r="Y22" s="16"/>
      <c r="Z22" s="16"/>
    </row>
    <row r="23" hidden="1">
      <c r="A23" s="6" t="str">
        <f t="shared" si="1"/>
        <v>2017_Podpora činnosti_Dotace ČPV</v>
      </c>
      <c r="B23" s="28" t="s">
        <v>61</v>
      </c>
      <c r="C23" s="25" t="s">
        <v>62</v>
      </c>
      <c r="D23" s="7"/>
      <c r="E23" s="7" t="s">
        <v>63</v>
      </c>
      <c r="F23" s="8">
        <v>42879.0</v>
      </c>
      <c r="H23" s="19"/>
      <c r="I23" s="12"/>
      <c r="J23" s="12">
        <v>2000.0</v>
      </c>
      <c r="K23" s="20">
        <f t="shared" si="2"/>
        <v>-2000</v>
      </c>
      <c r="L23" s="13"/>
      <c r="M23" s="13"/>
      <c r="N23" s="14">
        <f t="shared" si="4"/>
        <v>116989</v>
      </c>
      <c r="O23" s="6" t="s">
        <v>30</v>
      </c>
      <c r="P23" s="6" t="s">
        <v>36</v>
      </c>
      <c r="Q23" s="15"/>
      <c r="R23" s="15"/>
      <c r="S23" s="15"/>
      <c r="T23" s="15"/>
      <c r="U23" s="15"/>
      <c r="V23" s="14" t="str">
        <f t="shared" si="3"/>
        <v/>
      </c>
      <c r="W23" s="16"/>
      <c r="X23" s="16"/>
      <c r="Y23" s="16"/>
      <c r="Z23" s="16"/>
    </row>
    <row r="24" hidden="1">
      <c r="A24" s="6" t="str">
        <f t="shared" si="1"/>
        <v>2017_Podpora činnosti_Oddílový den</v>
      </c>
      <c r="B24" s="28" t="s">
        <v>61</v>
      </c>
      <c r="C24" s="25" t="s">
        <v>64</v>
      </c>
      <c r="D24" s="7"/>
      <c r="E24" s="7" t="s">
        <v>65</v>
      </c>
      <c r="F24" s="8">
        <v>42886.0</v>
      </c>
      <c r="H24" s="19"/>
      <c r="I24" s="12"/>
      <c r="J24" s="12">
        <v>1500.0</v>
      </c>
      <c r="K24" s="20">
        <f t="shared" si="2"/>
        <v>-1500</v>
      </c>
      <c r="L24" s="13"/>
      <c r="M24" s="13"/>
      <c r="N24" s="14">
        <f t="shared" si="4"/>
        <v>115489</v>
      </c>
      <c r="O24" s="6" t="s">
        <v>30</v>
      </c>
      <c r="P24" s="6" t="s">
        <v>36</v>
      </c>
      <c r="Q24" s="15"/>
      <c r="R24" s="15"/>
      <c r="S24" s="15"/>
      <c r="T24" s="15"/>
      <c r="U24" s="15"/>
      <c r="V24" s="14" t="str">
        <f t="shared" si="3"/>
        <v/>
      </c>
      <c r="W24" s="16"/>
      <c r="X24" s="16"/>
      <c r="Y24" s="16"/>
      <c r="Z24" s="16"/>
    </row>
    <row r="25" hidden="1">
      <c r="A25" s="6" t="str">
        <f t="shared" si="1"/>
        <v>2017_Podpora činnosti_Oddílový den</v>
      </c>
      <c r="B25" s="28" t="s">
        <v>61</v>
      </c>
      <c r="C25" s="25" t="s">
        <v>64</v>
      </c>
      <c r="D25" s="7"/>
      <c r="E25" s="7" t="s">
        <v>66</v>
      </c>
      <c r="F25" s="8">
        <v>42886.0</v>
      </c>
      <c r="H25" s="19"/>
      <c r="I25" s="12"/>
      <c r="J25" s="12"/>
      <c r="K25" s="20">
        <f t="shared" si="2"/>
        <v>0</v>
      </c>
      <c r="L25" s="13">
        <v>3000.0</v>
      </c>
      <c r="M25" s="13"/>
      <c r="N25" s="14">
        <f t="shared" si="4"/>
        <v>115489</v>
      </c>
      <c r="O25" s="6" t="s">
        <v>30</v>
      </c>
      <c r="P25" s="6" t="s">
        <v>31</v>
      </c>
      <c r="Q25" s="15"/>
      <c r="R25" s="15"/>
      <c r="S25" s="15"/>
      <c r="T25" s="15"/>
      <c r="U25" s="15"/>
      <c r="V25" s="14" t="str">
        <f t="shared" si="3"/>
        <v/>
      </c>
      <c r="X25" s="16"/>
      <c r="Y25" s="16"/>
      <c r="Z25" s="16"/>
    </row>
    <row r="26" hidden="1">
      <c r="A26" s="6" t="str">
        <f t="shared" si="1"/>
        <v>2017_Běžný provoz_Příspěvky</v>
      </c>
      <c r="B26" s="17" t="s">
        <v>32</v>
      </c>
      <c r="C26" s="21" t="s">
        <v>34</v>
      </c>
      <c r="D26" s="7"/>
      <c r="E26" s="7" t="s">
        <v>67</v>
      </c>
      <c r="F26" s="8">
        <v>42886.0</v>
      </c>
      <c r="H26" s="19"/>
      <c r="I26" s="12"/>
      <c r="J26" s="12">
        <v>200.0</v>
      </c>
      <c r="K26" s="20">
        <f t="shared" si="2"/>
        <v>-200</v>
      </c>
      <c r="L26" s="13"/>
      <c r="M26" s="13"/>
      <c r="N26" s="14">
        <f t="shared" si="4"/>
        <v>115289</v>
      </c>
      <c r="O26" s="6" t="s">
        <v>30</v>
      </c>
      <c r="P26" s="6" t="s">
        <v>36</v>
      </c>
      <c r="Q26" s="15"/>
      <c r="R26" s="15"/>
      <c r="S26" s="15"/>
      <c r="T26" s="15"/>
      <c r="U26" s="15"/>
      <c r="V26" s="14" t="str">
        <f t="shared" si="3"/>
        <v/>
      </c>
      <c r="X26" s="16"/>
      <c r="Y26" s="16"/>
      <c r="Z26" s="16"/>
    </row>
    <row r="27" hidden="1">
      <c r="A27" s="6" t="str">
        <f t="shared" si="1"/>
        <v>2017_Podpora činnosti_Oddílový den</v>
      </c>
      <c r="B27" s="28" t="s">
        <v>61</v>
      </c>
      <c r="C27" s="25" t="s">
        <v>64</v>
      </c>
      <c r="D27" s="7"/>
      <c r="E27" s="7" t="s">
        <v>68</v>
      </c>
      <c r="F27" s="8">
        <v>42892.0</v>
      </c>
      <c r="H27" s="19"/>
      <c r="I27" s="12"/>
      <c r="J27" s="12">
        <v>500.0</v>
      </c>
      <c r="K27" s="20">
        <f t="shared" si="2"/>
        <v>-500</v>
      </c>
      <c r="L27" s="13"/>
      <c r="M27" s="13"/>
      <c r="N27" s="14">
        <f t="shared" si="4"/>
        <v>114789</v>
      </c>
      <c r="O27" s="6" t="s">
        <v>30</v>
      </c>
      <c r="P27" s="6" t="s">
        <v>36</v>
      </c>
      <c r="Q27" s="15"/>
      <c r="R27" s="15"/>
      <c r="S27" s="15"/>
      <c r="T27" s="15"/>
      <c r="U27" s="15"/>
      <c r="V27" s="14" t="str">
        <f t="shared" si="3"/>
        <v/>
      </c>
      <c r="W27" s="16"/>
      <c r="X27" s="16"/>
      <c r="Y27" s="16"/>
      <c r="Z27" s="16"/>
    </row>
    <row r="28" hidden="1">
      <c r="A28" s="6" t="str">
        <f t="shared" si="1"/>
        <v>2017_Podpora činnosti_Dotace eskymáky</v>
      </c>
      <c r="B28" s="28" t="s">
        <v>61</v>
      </c>
      <c r="C28" s="25" t="s">
        <v>69</v>
      </c>
      <c r="D28" s="7"/>
      <c r="E28" s="7" t="s">
        <v>70</v>
      </c>
      <c r="F28" s="8">
        <v>42893.0</v>
      </c>
      <c r="H28" s="19"/>
      <c r="I28" s="12"/>
      <c r="J28" s="12">
        <v>1000.0</v>
      </c>
      <c r="K28" s="20">
        <f t="shared" si="2"/>
        <v>-1000</v>
      </c>
      <c r="L28" s="13"/>
      <c r="M28" s="13"/>
      <c r="N28" s="14">
        <f t="shared" si="4"/>
        <v>113789</v>
      </c>
      <c r="O28" s="6" t="s">
        <v>30</v>
      </c>
      <c r="P28" s="6" t="s">
        <v>36</v>
      </c>
      <c r="Q28" s="15"/>
      <c r="R28" s="15"/>
      <c r="S28" s="15"/>
      <c r="T28" s="15"/>
      <c r="U28" s="15"/>
      <c r="V28" s="14" t="str">
        <f t="shared" si="3"/>
        <v/>
      </c>
      <c r="X28" s="16"/>
      <c r="Y28" s="16"/>
      <c r="Z28" s="16"/>
    </row>
    <row r="29" hidden="1">
      <c r="A29" s="6" t="str">
        <f t="shared" si="1"/>
        <v>2017_Běžný provoz_Údržba vleků</v>
      </c>
      <c r="B29" s="17" t="s">
        <v>32</v>
      </c>
      <c r="C29" s="7" t="s">
        <v>71</v>
      </c>
      <c r="D29" s="7"/>
      <c r="E29" s="7" t="s">
        <v>72</v>
      </c>
      <c r="F29" s="8">
        <v>42893.0</v>
      </c>
      <c r="H29" s="19"/>
      <c r="I29" s="12"/>
      <c r="J29" s="12">
        <f>800+30+300</f>
        <v>1130</v>
      </c>
      <c r="K29" s="20">
        <f t="shared" si="2"/>
        <v>-1130</v>
      </c>
      <c r="L29" s="13"/>
      <c r="M29" s="13"/>
      <c r="N29" s="14">
        <f t="shared" si="4"/>
        <v>112659</v>
      </c>
      <c r="O29" s="6" t="s">
        <v>30</v>
      </c>
      <c r="P29" s="6" t="s">
        <v>36</v>
      </c>
      <c r="Q29" s="22">
        <f>Q$2+20250-8212-7488</f>
        <v>68902</v>
      </c>
      <c r="R29" s="15">
        <v>40502.0</v>
      </c>
      <c r="S29" s="15">
        <v>255.0</v>
      </c>
      <c r="T29" s="15"/>
      <c r="U29" s="15">
        <v>3000.0</v>
      </c>
      <c r="V29" s="14">
        <f t="shared" si="3"/>
        <v>0</v>
      </c>
      <c r="W29" s="7" t="s">
        <v>55</v>
      </c>
      <c r="X29" s="16"/>
      <c r="Y29" s="16"/>
      <c r="Z29" s="16"/>
    </row>
    <row r="30" hidden="1">
      <c r="A30" s="6" t="str">
        <f t="shared" si="1"/>
        <v>2017_Běžný provoz_Příspěvky</v>
      </c>
      <c r="B30" s="17" t="s">
        <v>32</v>
      </c>
      <c r="C30" s="21" t="s">
        <v>34</v>
      </c>
      <c r="D30" s="7"/>
      <c r="E30" s="7" t="s">
        <v>73</v>
      </c>
      <c r="F30" s="8">
        <v>42893.0</v>
      </c>
      <c r="G30" s="18">
        <v>42850.0</v>
      </c>
      <c r="H30" s="19"/>
      <c r="I30" s="12">
        <v>13550.0</v>
      </c>
      <c r="J30" s="12"/>
      <c r="K30" s="20">
        <f t="shared" si="2"/>
        <v>13550</v>
      </c>
      <c r="L30" s="13"/>
      <c r="M30" s="13"/>
      <c r="N30" s="14">
        <f t="shared" si="4"/>
        <v>126209</v>
      </c>
      <c r="O30" s="6" t="s">
        <v>30</v>
      </c>
      <c r="P30" s="6" t="s">
        <v>36</v>
      </c>
      <c r="Q30" s="15">
        <v>73952.0</v>
      </c>
      <c r="R30" s="15">
        <v>40502.0</v>
      </c>
      <c r="S30" s="15">
        <v>255.0</v>
      </c>
      <c r="T30" s="15"/>
      <c r="U30" s="15">
        <v>3000.0</v>
      </c>
      <c r="V30" s="14">
        <f t="shared" si="3"/>
        <v>-8500</v>
      </c>
      <c r="W30" s="7" t="s">
        <v>55</v>
      </c>
      <c r="X30" s="16">
        <v>42893.0</v>
      </c>
      <c r="Y30" s="16">
        <v>42850.0</v>
      </c>
      <c r="Z30" s="16">
        <v>42893.0</v>
      </c>
    </row>
    <row r="31" hidden="1">
      <c r="A31" s="6" t="str">
        <f t="shared" si="1"/>
        <v>2017_Podpora činnosti_Oddílový den</v>
      </c>
      <c r="B31" s="28" t="s">
        <v>61</v>
      </c>
      <c r="C31" s="25" t="s">
        <v>64</v>
      </c>
      <c r="D31" s="7"/>
      <c r="E31" s="7" t="s">
        <v>74</v>
      </c>
      <c r="F31" s="8">
        <v>42900.0</v>
      </c>
      <c r="H31" s="19"/>
      <c r="I31" s="12"/>
      <c r="J31" s="12"/>
      <c r="K31" s="20">
        <f t="shared" si="2"/>
        <v>0</v>
      </c>
      <c r="L31" s="13">
        <v>-3000.0</v>
      </c>
      <c r="M31" s="13"/>
      <c r="N31" s="14">
        <f t="shared" si="4"/>
        <v>126209</v>
      </c>
      <c r="O31" s="6" t="s">
        <v>30</v>
      </c>
      <c r="P31" s="6" t="s">
        <v>31</v>
      </c>
      <c r="Q31" s="15"/>
      <c r="R31" s="15"/>
      <c r="S31" s="15"/>
      <c r="T31" s="15"/>
      <c r="U31" s="15"/>
      <c r="V31" s="14" t="str">
        <f t="shared" si="3"/>
        <v/>
      </c>
      <c r="X31" s="16"/>
      <c r="Y31" s="16"/>
      <c r="Z31" s="16"/>
    </row>
    <row r="32" hidden="1">
      <c r="A32" s="6" t="str">
        <f t="shared" si="1"/>
        <v>2017_Běžný provoz_Příspěvky</v>
      </c>
      <c r="B32" s="17" t="s">
        <v>32</v>
      </c>
      <c r="C32" s="21" t="s">
        <v>34</v>
      </c>
      <c r="D32" s="7"/>
      <c r="E32" s="7" t="s">
        <v>75</v>
      </c>
      <c r="F32" s="8">
        <v>42914.0</v>
      </c>
      <c r="H32" s="19"/>
      <c r="I32" s="12">
        <v>200.0</v>
      </c>
      <c r="J32" s="12"/>
      <c r="K32" s="20">
        <f t="shared" si="2"/>
        <v>200</v>
      </c>
      <c r="L32" s="13"/>
      <c r="M32" s="13"/>
      <c r="N32" s="14">
        <f t="shared" si="4"/>
        <v>126409</v>
      </c>
      <c r="O32" s="6" t="s">
        <v>30</v>
      </c>
      <c r="P32" s="6" t="s">
        <v>36</v>
      </c>
      <c r="Q32" s="15"/>
      <c r="R32" s="15"/>
      <c r="S32" s="15"/>
      <c r="T32" s="15"/>
      <c r="U32" s="15"/>
      <c r="V32" s="14" t="str">
        <f t="shared" si="3"/>
        <v/>
      </c>
      <c r="X32" s="16"/>
      <c r="Y32" s="16"/>
      <c r="Z32" s="16"/>
    </row>
    <row r="33" hidden="1">
      <c r="A33" s="6" t="str">
        <f t="shared" si="1"/>
        <v>2017_Běžný provoz_Interní nájmy</v>
      </c>
      <c r="B33" s="17" t="s">
        <v>32</v>
      </c>
      <c r="C33" s="27" t="s">
        <v>49</v>
      </c>
      <c r="D33" s="7"/>
      <c r="E33" s="7" t="s">
        <v>50</v>
      </c>
      <c r="F33" s="8">
        <v>42916.0</v>
      </c>
      <c r="G33" s="25" t="s">
        <v>76</v>
      </c>
      <c r="H33" s="19"/>
      <c r="I33" s="12"/>
      <c r="J33" s="12">
        <v>8212.0</v>
      </c>
      <c r="K33" s="20">
        <f t="shared" si="2"/>
        <v>-8212</v>
      </c>
      <c r="L33" s="13"/>
      <c r="M33" s="13"/>
      <c r="N33" s="14">
        <f t="shared" si="4"/>
        <v>118197</v>
      </c>
      <c r="O33" s="6" t="s">
        <v>30</v>
      </c>
      <c r="P33" s="6" t="s">
        <v>36</v>
      </c>
      <c r="Q33" s="15"/>
      <c r="R33" s="15"/>
      <c r="S33" s="15"/>
      <c r="T33" s="15"/>
      <c r="U33" s="15"/>
      <c r="V33" s="14" t="str">
        <f t="shared" si="3"/>
        <v/>
      </c>
      <c r="X33" s="16"/>
      <c r="Y33" s="16"/>
      <c r="Z33" s="16"/>
    </row>
    <row r="34" hidden="1">
      <c r="A34" s="6" t="str">
        <f t="shared" si="1"/>
        <v>2017_Běžný provoz_Interní nájmy</v>
      </c>
      <c r="B34" s="17" t="s">
        <v>32</v>
      </c>
      <c r="C34" s="27" t="s">
        <v>49</v>
      </c>
      <c r="D34" s="7"/>
      <c r="E34" s="7" t="s">
        <v>51</v>
      </c>
      <c r="F34" s="8">
        <v>42916.0</v>
      </c>
      <c r="G34" s="25" t="s">
        <v>76</v>
      </c>
      <c r="H34" s="19"/>
      <c r="I34" s="12"/>
      <c r="J34" s="12">
        <v>7488.0</v>
      </c>
      <c r="K34" s="20">
        <f t="shared" si="2"/>
        <v>-7488</v>
      </c>
      <c r="L34" s="13"/>
      <c r="M34" s="13"/>
      <c r="N34" s="14">
        <f t="shared" si="4"/>
        <v>110709</v>
      </c>
      <c r="O34" s="6" t="s">
        <v>30</v>
      </c>
      <c r="P34" s="6" t="s">
        <v>36</v>
      </c>
      <c r="Q34" s="15">
        <v>66952.0</v>
      </c>
      <c r="R34" s="15">
        <v>43502.0</v>
      </c>
      <c r="S34" s="15">
        <v>255.0</v>
      </c>
      <c r="T34" s="15">
        <v>0.0</v>
      </c>
      <c r="U34" s="15">
        <v>0.0</v>
      </c>
      <c r="V34" s="14">
        <f t="shared" si="3"/>
        <v>0</v>
      </c>
      <c r="W34" s="7" t="s">
        <v>55</v>
      </c>
      <c r="X34" s="16">
        <v>42930.0</v>
      </c>
      <c r="Y34" s="16">
        <v>42928.0</v>
      </c>
      <c r="Z34" s="16">
        <v>42930.0</v>
      </c>
    </row>
    <row r="35" hidden="1">
      <c r="A35" s="6" t="str">
        <f t="shared" si="1"/>
        <v>2017_Podpora činnosti_Dotace záchrana</v>
      </c>
      <c r="B35" s="28" t="s">
        <v>61</v>
      </c>
      <c r="C35" s="25" t="s">
        <v>77</v>
      </c>
      <c r="D35" s="7"/>
      <c r="E35" s="7" t="s">
        <v>78</v>
      </c>
      <c r="F35" s="8">
        <v>42930.0</v>
      </c>
      <c r="H35" s="19"/>
      <c r="I35" s="12"/>
      <c r="J35" s="12">
        <v>1500.0</v>
      </c>
      <c r="K35" s="20">
        <f t="shared" si="2"/>
        <v>-1500</v>
      </c>
      <c r="L35" s="13"/>
      <c r="M35" s="13"/>
      <c r="N35" s="14">
        <f t="shared" si="4"/>
        <v>109209</v>
      </c>
      <c r="O35" s="6" t="s">
        <v>30</v>
      </c>
      <c r="P35" s="6" t="s">
        <v>36</v>
      </c>
      <c r="Q35" s="15"/>
      <c r="R35" s="15"/>
      <c r="S35" s="15"/>
      <c r="T35" s="15"/>
      <c r="U35" s="15"/>
      <c r="V35" s="14" t="str">
        <f t="shared" si="3"/>
        <v/>
      </c>
      <c r="X35" s="16"/>
    </row>
    <row r="36" hidden="1">
      <c r="A36" s="6" t="str">
        <f t="shared" si="1"/>
        <v>2017_Běžný provoz_Oddílová soutěž</v>
      </c>
      <c r="B36" s="17" t="s">
        <v>32</v>
      </c>
      <c r="C36" s="25" t="s">
        <v>42</v>
      </c>
      <c r="D36" s="7"/>
      <c r="E36" s="7" t="s">
        <v>79</v>
      </c>
      <c r="F36" s="8">
        <v>42933.0</v>
      </c>
      <c r="H36" s="19"/>
      <c r="I36" s="12"/>
      <c r="J36" s="12">
        <v>800.0</v>
      </c>
      <c r="K36" s="20">
        <f t="shared" si="2"/>
        <v>-800</v>
      </c>
      <c r="L36" s="13"/>
      <c r="M36" s="13"/>
      <c r="N36" s="14">
        <f t="shared" si="4"/>
        <v>108409</v>
      </c>
      <c r="O36" s="6" t="s">
        <v>30</v>
      </c>
      <c r="P36" s="6" t="s">
        <v>36</v>
      </c>
      <c r="Q36" s="22">
        <v>66952.0</v>
      </c>
      <c r="R36" s="15">
        <v>41202.0</v>
      </c>
      <c r="S36" s="15">
        <v>255.0</v>
      </c>
      <c r="T36" s="15">
        <v>0.0</v>
      </c>
      <c r="U36" s="15">
        <v>0.0</v>
      </c>
      <c r="V36" s="14">
        <f t="shared" si="3"/>
        <v>0</v>
      </c>
      <c r="W36" s="7" t="s">
        <v>55</v>
      </c>
      <c r="X36" s="16">
        <v>42931.0</v>
      </c>
      <c r="Y36" s="16">
        <v>42928.0</v>
      </c>
      <c r="Z36" s="16">
        <v>42933.0</v>
      </c>
    </row>
    <row r="37" hidden="1">
      <c r="A37" s="6" t="str">
        <f t="shared" si="1"/>
        <v>2017_Hamerák-akce_Hamerák materiál</v>
      </c>
      <c r="B37" s="23" t="s">
        <v>37</v>
      </c>
      <c r="C37" s="24" t="s">
        <v>38</v>
      </c>
      <c r="D37" s="7"/>
      <c r="E37" s="7" t="s">
        <v>80</v>
      </c>
      <c r="F37" s="8">
        <v>42940.0</v>
      </c>
      <c r="H37" s="19"/>
      <c r="I37" s="12"/>
      <c r="J37" s="12">
        <v>1730.0</v>
      </c>
      <c r="K37" s="20">
        <f t="shared" si="2"/>
        <v>-1730</v>
      </c>
      <c r="L37" s="13"/>
      <c r="M37" s="13"/>
      <c r="N37" s="14">
        <f t="shared" si="4"/>
        <v>106679</v>
      </c>
      <c r="O37" s="6" t="s">
        <v>30</v>
      </c>
      <c r="P37" s="6" t="s">
        <v>31</v>
      </c>
      <c r="Q37" s="15"/>
      <c r="R37" s="15"/>
      <c r="S37" s="15"/>
      <c r="T37" s="15"/>
      <c r="U37" s="15"/>
      <c r="V37" s="14" t="str">
        <f t="shared" si="3"/>
        <v/>
      </c>
      <c r="X37" s="16"/>
    </row>
    <row r="38" hidden="1">
      <c r="A38" s="6" t="str">
        <f t="shared" si="1"/>
        <v>2017_Hamerák-akce_Hamerák materiál</v>
      </c>
      <c r="B38" s="23" t="s">
        <v>37</v>
      </c>
      <c r="C38" s="24" t="s">
        <v>38</v>
      </c>
      <c r="D38" s="7"/>
      <c r="E38" s="7" t="s">
        <v>81</v>
      </c>
      <c r="F38" s="8">
        <v>42943.0</v>
      </c>
      <c r="H38" s="19"/>
      <c r="I38" s="12"/>
      <c r="J38" s="12">
        <v>2860.0</v>
      </c>
      <c r="K38" s="20">
        <f t="shared" si="2"/>
        <v>-2860</v>
      </c>
      <c r="L38" s="13"/>
      <c r="M38" s="13"/>
      <c r="N38" s="14">
        <f t="shared" si="4"/>
        <v>103819</v>
      </c>
      <c r="O38" s="6" t="s">
        <v>30</v>
      </c>
      <c r="P38" s="6" t="s">
        <v>31</v>
      </c>
      <c r="Q38" s="15"/>
      <c r="R38" s="15"/>
      <c r="S38" s="15"/>
      <c r="T38" s="15"/>
      <c r="U38" s="15"/>
      <c r="V38" s="14" t="str">
        <f t="shared" si="3"/>
        <v/>
      </c>
      <c r="X38" s="16"/>
      <c r="Y38" s="16"/>
      <c r="Z38" s="16"/>
    </row>
    <row r="39" hidden="1">
      <c r="A39" s="6" t="str">
        <f t="shared" si="1"/>
        <v>2017_Běžný provoz_Interní nájmy</v>
      </c>
      <c r="B39" s="17" t="s">
        <v>32</v>
      </c>
      <c r="C39" s="27" t="s">
        <v>49</v>
      </c>
      <c r="D39" s="7"/>
      <c r="E39" s="7" t="s">
        <v>50</v>
      </c>
      <c r="F39" s="29">
        <v>42947.0</v>
      </c>
      <c r="G39" s="30">
        <v>42947.0</v>
      </c>
      <c r="H39" s="19"/>
      <c r="I39" s="12"/>
      <c r="J39" s="12">
        <v>8212.0</v>
      </c>
      <c r="K39" s="20">
        <f t="shared" si="2"/>
        <v>-8212</v>
      </c>
      <c r="L39" s="13"/>
      <c r="M39" s="13"/>
      <c r="N39" s="14">
        <f t="shared" si="4"/>
        <v>95607</v>
      </c>
      <c r="O39" s="6" t="s">
        <v>30</v>
      </c>
      <c r="P39" s="6" t="s">
        <v>36</v>
      </c>
      <c r="Q39" s="15"/>
      <c r="R39" s="15"/>
      <c r="S39" s="15"/>
      <c r="T39" s="15"/>
      <c r="U39" s="15"/>
      <c r="V39" s="14" t="str">
        <f t="shared" si="3"/>
        <v/>
      </c>
      <c r="X39" s="16"/>
      <c r="Y39" s="16"/>
      <c r="Z39" s="16"/>
    </row>
    <row r="40" hidden="1">
      <c r="A40" s="6" t="str">
        <f t="shared" si="1"/>
        <v>2017_Běžný provoz_Interní nájmy</v>
      </c>
      <c r="B40" s="17" t="s">
        <v>32</v>
      </c>
      <c r="C40" s="27" t="s">
        <v>49</v>
      </c>
      <c r="D40" s="7"/>
      <c r="E40" s="7" t="s">
        <v>51</v>
      </c>
      <c r="F40" s="29">
        <v>42947.0</v>
      </c>
      <c r="G40" s="30">
        <v>42947.0</v>
      </c>
      <c r="H40" s="19"/>
      <c r="I40" s="12"/>
      <c r="J40" s="12">
        <v>7488.0</v>
      </c>
      <c r="K40" s="20">
        <f t="shared" si="2"/>
        <v>-7488</v>
      </c>
      <c r="L40" s="13"/>
      <c r="M40" s="13"/>
      <c r="N40" s="14">
        <f t="shared" si="4"/>
        <v>88119</v>
      </c>
      <c r="O40" s="6" t="s">
        <v>30</v>
      </c>
      <c r="P40" s="6" t="s">
        <v>36</v>
      </c>
      <c r="Q40" s="15"/>
      <c r="R40" s="15"/>
      <c r="S40" s="15"/>
      <c r="T40" s="15"/>
      <c r="U40" s="15"/>
      <c r="V40" s="14" t="str">
        <f t="shared" si="3"/>
        <v/>
      </c>
      <c r="X40" s="16"/>
      <c r="Y40" s="16"/>
      <c r="Z40" s="16"/>
    </row>
    <row r="41" hidden="1">
      <c r="A41" s="6" t="str">
        <f t="shared" si="1"/>
        <v>2017_Hamerák-akce_Hamerák materiál</v>
      </c>
      <c r="B41" s="23" t="s">
        <v>37</v>
      </c>
      <c r="C41" s="24" t="s">
        <v>38</v>
      </c>
      <c r="D41" s="7"/>
      <c r="E41" s="7" t="s">
        <v>82</v>
      </c>
      <c r="F41" s="8">
        <v>42949.0</v>
      </c>
      <c r="H41" s="19"/>
      <c r="I41" s="12"/>
      <c r="J41" s="12">
        <v>2613.0</v>
      </c>
      <c r="K41" s="20">
        <f t="shared" si="2"/>
        <v>-2613</v>
      </c>
      <c r="L41" s="13"/>
      <c r="M41" s="13"/>
      <c r="N41" s="14">
        <f t="shared" si="4"/>
        <v>85506</v>
      </c>
      <c r="O41" s="6" t="s">
        <v>30</v>
      </c>
      <c r="P41" s="6" t="s">
        <v>31</v>
      </c>
      <c r="Q41" s="15"/>
      <c r="R41" s="15"/>
      <c r="S41" s="15"/>
      <c r="T41" s="15"/>
      <c r="U41" s="15"/>
      <c r="V41" s="14" t="str">
        <f t="shared" si="3"/>
        <v/>
      </c>
      <c r="X41" s="16"/>
    </row>
    <row r="42" hidden="1">
      <c r="A42" s="6" t="str">
        <f t="shared" si="1"/>
        <v>2017_Podpora činnosti_Dotace zahraniční</v>
      </c>
      <c r="B42" s="28" t="s">
        <v>61</v>
      </c>
      <c r="C42" s="25" t="s">
        <v>83</v>
      </c>
      <c r="D42" s="7"/>
      <c r="E42" s="7" t="s">
        <v>84</v>
      </c>
      <c r="F42" s="8">
        <v>42981.0</v>
      </c>
      <c r="H42" s="19"/>
      <c r="I42" s="12"/>
      <c r="J42" s="12">
        <v>3000.0</v>
      </c>
      <c r="K42" s="20">
        <f t="shared" si="2"/>
        <v>-3000</v>
      </c>
      <c r="L42" s="13"/>
      <c r="M42" s="13"/>
      <c r="N42" s="14">
        <f t="shared" si="4"/>
        <v>82506</v>
      </c>
      <c r="O42" s="6" t="s">
        <v>30</v>
      </c>
      <c r="P42" s="6" t="s">
        <v>36</v>
      </c>
      <c r="Q42" s="15"/>
      <c r="R42" s="15"/>
      <c r="S42" s="15"/>
      <c r="T42" s="15"/>
      <c r="U42" s="15"/>
      <c r="V42" s="14" t="str">
        <f t="shared" si="3"/>
        <v/>
      </c>
      <c r="X42" s="16"/>
      <c r="Y42" s="16"/>
      <c r="Z42" s="16"/>
    </row>
    <row r="43" hidden="1">
      <c r="A43" s="6" t="str">
        <f t="shared" si="1"/>
        <v>2017_Podpora činnosti_Kostlivci</v>
      </c>
      <c r="B43" s="28" t="s">
        <v>61</v>
      </c>
      <c r="C43" s="7" t="s">
        <v>85</v>
      </c>
      <c r="D43" s="7"/>
      <c r="E43" s="7" t="s">
        <v>86</v>
      </c>
      <c r="F43" s="8">
        <v>42981.0</v>
      </c>
      <c r="G43" s="16"/>
      <c r="H43" s="19"/>
      <c r="I43" s="12"/>
      <c r="J43" s="12">
        <v>5000.0</v>
      </c>
      <c r="K43" s="20">
        <f t="shared" si="2"/>
        <v>-5000</v>
      </c>
      <c r="L43" s="13"/>
      <c r="M43" s="13"/>
      <c r="N43" s="14">
        <f t="shared" si="4"/>
        <v>77506</v>
      </c>
      <c r="O43" s="6" t="s">
        <v>30</v>
      </c>
      <c r="P43" s="6" t="s">
        <v>36</v>
      </c>
      <c r="Q43" s="22">
        <f>66952-15700</f>
        <v>51252</v>
      </c>
      <c r="R43" s="15">
        <v>25999.0</v>
      </c>
      <c r="S43" s="15">
        <v>255.0</v>
      </c>
      <c r="T43" s="15">
        <v>0.0</v>
      </c>
      <c r="U43" s="15">
        <v>0.0</v>
      </c>
      <c r="V43" s="14">
        <f t="shared" si="3"/>
        <v>0</v>
      </c>
      <c r="W43" s="7" t="s">
        <v>55</v>
      </c>
      <c r="X43" s="16">
        <v>42981.0</v>
      </c>
      <c r="Y43" s="16">
        <v>42928.0</v>
      </c>
      <c r="Z43" s="16">
        <v>42981.0</v>
      </c>
    </row>
    <row r="44" hidden="1">
      <c r="A44" s="6" t="str">
        <f t="shared" si="1"/>
        <v>2017_Běžný provoz_Oddílová soutěž</v>
      </c>
      <c r="B44" s="17" t="s">
        <v>32</v>
      </c>
      <c r="C44" s="25" t="s">
        <v>42</v>
      </c>
      <c r="D44" s="7"/>
      <c r="E44" s="7" t="s">
        <v>87</v>
      </c>
      <c r="F44" s="8">
        <v>42989.0</v>
      </c>
      <c r="H44" s="19"/>
      <c r="I44" s="12"/>
      <c r="J44" s="12">
        <v>1000.0</v>
      </c>
      <c r="K44" s="20">
        <f t="shared" si="2"/>
        <v>-1000</v>
      </c>
      <c r="L44" s="13"/>
      <c r="M44" s="13"/>
      <c r="N44" s="14">
        <f t="shared" si="4"/>
        <v>76506</v>
      </c>
      <c r="O44" s="6" t="s">
        <v>30</v>
      </c>
      <c r="P44" s="6" t="s">
        <v>36</v>
      </c>
      <c r="Q44" s="15"/>
      <c r="R44" s="15"/>
      <c r="S44" s="15"/>
      <c r="T44" s="15"/>
      <c r="U44" s="15"/>
      <c r="V44" s="14" t="str">
        <f t="shared" si="3"/>
        <v/>
      </c>
      <c r="X44" s="16"/>
    </row>
    <row r="45" hidden="1">
      <c r="A45" s="6" t="str">
        <f t="shared" si="1"/>
        <v>2017_Podpora činnosti_Dotace ČPV</v>
      </c>
      <c r="B45" s="28" t="s">
        <v>61</v>
      </c>
      <c r="C45" s="25" t="s">
        <v>62</v>
      </c>
      <c r="D45" s="7"/>
      <c r="E45" s="7" t="s">
        <v>88</v>
      </c>
      <c r="F45" s="8">
        <v>42990.0</v>
      </c>
      <c r="H45" s="19"/>
      <c r="I45" s="12"/>
      <c r="J45" s="12">
        <v>2000.0</v>
      </c>
      <c r="K45" s="20">
        <f t="shared" si="2"/>
        <v>-2000</v>
      </c>
      <c r="L45" s="13"/>
      <c r="M45" s="13"/>
      <c r="N45" s="14">
        <f t="shared" si="4"/>
        <v>74506</v>
      </c>
      <c r="O45" s="6" t="s">
        <v>30</v>
      </c>
      <c r="P45" s="6" t="s">
        <v>36</v>
      </c>
      <c r="Q45" s="15"/>
      <c r="R45" s="15"/>
      <c r="S45" s="15"/>
      <c r="T45" s="15"/>
      <c r="U45" s="15"/>
      <c r="V45" s="14" t="str">
        <f t="shared" si="3"/>
        <v/>
      </c>
      <c r="X45" s="16"/>
    </row>
    <row r="46" hidden="1">
      <c r="A46" s="6" t="str">
        <f t="shared" si="1"/>
        <v>2017_Hamerák-akce_Hamerák záloha</v>
      </c>
      <c r="B46" s="23" t="s">
        <v>37</v>
      </c>
      <c r="C46" s="24" t="s">
        <v>89</v>
      </c>
      <c r="D46" s="7"/>
      <c r="E46" s="7" t="s">
        <v>90</v>
      </c>
      <c r="F46" s="8">
        <v>42990.0</v>
      </c>
      <c r="H46" s="19"/>
      <c r="I46" s="12"/>
      <c r="J46" s="12"/>
      <c r="K46" s="20">
        <f t="shared" si="2"/>
        <v>0</v>
      </c>
      <c r="L46" s="13">
        <v>5000.0</v>
      </c>
      <c r="M46" s="13"/>
      <c r="N46" s="14">
        <f t="shared" si="4"/>
        <v>74506</v>
      </c>
      <c r="O46" s="6" t="s">
        <v>30</v>
      </c>
      <c r="P46" s="6" t="s">
        <v>31</v>
      </c>
      <c r="Q46" s="15"/>
      <c r="R46" s="15"/>
      <c r="S46" s="15"/>
      <c r="T46" s="15"/>
      <c r="U46" s="15">
        <v>5000.0</v>
      </c>
      <c r="V46" s="14" t="str">
        <f t="shared" si="3"/>
        <v/>
      </c>
      <c r="X46" s="16"/>
    </row>
    <row r="47" hidden="1">
      <c r="A47" s="6" t="str">
        <f t="shared" si="1"/>
        <v>2017_Převody_převod</v>
      </c>
      <c r="B47" s="7" t="s">
        <v>27</v>
      </c>
      <c r="C47" s="7" t="s">
        <v>44</v>
      </c>
      <c r="D47" s="7"/>
      <c r="E47" s="7" t="s">
        <v>91</v>
      </c>
      <c r="F47" s="8">
        <v>43001.0</v>
      </c>
      <c r="G47" s="16"/>
      <c r="H47" s="19"/>
      <c r="I47" s="12"/>
      <c r="J47" s="12"/>
      <c r="K47" s="20">
        <f t="shared" si="2"/>
        <v>0</v>
      </c>
      <c r="L47" s="13"/>
      <c r="M47" s="13">
        <v>10000.0</v>
      </c>
      <c r="N47" s="14">
        <f t="shared" si="4"/>
        <v>74506</v>
      </c>
      <c r="O47" s="6" t="s">
        <v>30</v>
      </c>
      <c r="P47" s="6" t="s">
        <v>31</v>
      </c>
      <c r="Q47" s="22">
        <f>66952-15700</f>
        <v>51252</v>
      </c>
      <c r="R47" s="15">
        <v>7999.0</v>
      </c>
      <c r="S47" s="15">
        <v>10255.0</v>
      </c>
      <c r="T47" s="15"/>
      <c r="U47" s="15">
        <v>5000.0</v>
      </c>
      <c r="V47" s="14">
        <f t="shared" si="3"/>
        <v>0</v>
      </c>
      <c r="W47" s="7" t="s">
        <v>55</v>
      </c>
      <c r="X47" s="16">
        <v>43001.0</v>
      </c>
      <c r="Y47" s="16">
        <v>42928.0</v>
      </c>
      <c r="Z47" s="16">
        <v>43001.0</v>
      </c>
    </row>
    <row r="48" hidden="1">
      <c r="A48" s="6" t="str">
        <f t="shared" si="1"/>
        <v>2017_Hamerák-akce_Hamerák náklady</v>
      </c>
      <c r="B48" s="23" t="s">
        <v>37</v>
      </c>
      <c r="C48" s="24" t="s">
        <v>92</v>
      </c>
      <c r="D48" s="7"/>
      <c r="E48" s="7" t="s">
        <v>93</v>
      </c>
      <c r="F48" s="29">
        <v>43008.0</v>
      </c>
      <c r="H48" s="19"/>
      <c r="I48" s="12"/>
      <c r="J48" s="12">
        <v>24689.0</v>
      </c>
      <c r="K48" s="20">
        <f t="shared" si="2"/>
        <v>-24689</v>
      </c>
      <c r="L48" s="13"/>
      <c r="M48" s="13"/>
      <c r="N48" s="14">
        <f t="shared" si="4"/>
        <v>49817</v>
      </c>
      <c r="O48" s="6" t="s">
        <v>30</v>
      </c>
      <c r="P48" s="6" t="s">
        <v>31</v>
      </c>
      <c r="Q48" s="15"/>
      <c r="R48" s="15"/>
      <c r="S48" s="15"/>
      <c r="T48" s="15"/>
      <c r="U48" s="15"/>
      <c r="V48" s="14" t="str">
        <f t="shared" si="3"/>
        <v/>
      </c>
      <c r="X48" s="16"/>
    </row>
    <row r="49" hidden="1">
      <c r="A49" s="6" t="str">
        <f t="shared" si="1"/>
        <v>2017_Hamerák-akce_Hamerák záloha</v>
      </c>
      <c r="B49" s="23" t="s">
        <v>37</v>
      </c>
      <c r="C49" s="24" t="s">
        <v>89</v>
      </c>
      <c r="D49" s="7"/>
      <c r="E49" s="7" t="s">
        <v>94</v>
      </c>
      <c r="F49" s="8">
        <v>43010.0</v>
      </c>
      <c r="H49" s="19"/>
      <c r="I49" s="12"/>
      <c r="J49" s="12"/>
      <c r="K49" s="20">
        <f t="shared" si="2"/>
        <v>0</v>
      </c>
      <c r="L49" s="13">
        <v>5000.0</v>
      </c>
      <c r="M49" s="13"/>
      <c r="N49" s="14">
        <f t="shared" si="4"/>
        <v>49817</v>
      </c>
      <c r="O49" s="6" t="s">
        <v>30</v>
      </c>
      <c r="P49" s="6" t="s">
        <v>31</v>
      </c>
      <c r="Q49" s="15"/>
      <c r="R49" s="15"/>
      <c r="S49" s="15"/>
      <c r="T49" s="15"/>
      <c r="U49" s="15"/>
      <c r="V49" s="14" t="str">
        <f t="shared" si="3"/>
        <v/>
      </c>
      <c r="X49" s="16"/>
      <c r="Y49" s="16"/>
      <c r="Z49" s="16"/>
    </row>
    <row r="50" hidden="1">
      <c r="A50" s="6" t="str">
        <f t="shared" si="1"/>
        <v>2017_Hamerák-akce_Hamerák finance</v>
      </c>
      <c r="B50" s="23" t="s">
        <v>37</v>
      </c>
      <c r="C50" s="24" t="s">
        <v>95</v>
      </c>
      <c r="D50" s="7"/>
      <c r="E50" s="7" t="s">
        <v>96</v>
      </c>
      <c r="F50" s="29">
        <v>43013.0</v>
      </c>
      <c r="H50" s="19"/>
      <c r="I50" s="12"/>
      <c r="J50" s="12">
        <v>7923.0</v>
      </c>
      <c r="K50" s="20">
        <f t="shared" si="2"/>
        <v>-7923</v>
      </c>
      <c r="L50" s="13"/>
      <c r="M50" s="13"/>
      <c r="N50" s="14">
        <f t="shared" si="4"/>
        <v>41894</v>
      </c>
      <c r="O50" s="6" t="s">
        <v>30</v>
      </c>
      <c r="P50" s="6" t="s">
        <v>31</v>
      </c>
      <c r="Q50" s="15"/>
      <c r="R50" s="15"/>
      <c r="S50" s="15"/>
      <c r="T50" s="15"/>
      <c r="U50" s="15"/>
      <c r="V50" s="14" t="str">
        <f t="shared" si="3"/>
        <v/>
      </c>
      <c r="X50" s="16"/>
      <c r="Y50" s="16"/>
      <c r="Z50" s="16"/>
    </row>
    <row r="51" hidden="1">
      <c r="A51" s="6" t="str">
        <f t="shared" si="1"/>
        <v>2017_Hamerák-akce_Hamerák náklady</v>
      </c>
      <c r="B51" s="23" t="s">
        <v>37</v>
      </c>
      <c r="C51" s="24" t="s">
        <v>92</v>
      </c>
      <c r="D51" s="7"/>
      <c r="E51" s="7" t="s">
        <v>97</v>
      </c>
      <c r="F51" s="8">
        <v>43015.0</v>
      </c>
      <c r="H51" s="19"/>
      <c r="I51" s="12">
        <v>34242.0</v>
      </c>
      <c r="J51" s="12">
        <v>34242.0</v>
      </c>
      <c r="K51" s="20">
        <f t="shared" si="2"/>
        <v>0</v>
      </c>
      <c r="L51" s="13"/>
      <c r="M51" s="13"/>
      <c r="N51" s="14">
        <f t="shared" si="4"/>
        <v>41894</v>
      </c>
      <c r="O51" s="6" t="s">
        <v>30</v>
      </c>
      <c r="P51" s="6" t="s">
        <v>31</v>
      </c>
      <c r="Q51" s="15"/>
      <c r="R51" s="15"/>
      <c r="S51" s="15"/>
      <c r="T51" s="15"/>
      <c r="U51" s="15"/>
      <c r="V51" s="14" t="str">
        <f t="shared" si="3"/>
        <v/>
      </c>
      <c r="X51" s="16"/>
      <c r="Y51" s="16"/>
      <c r="Z51" s="16"/>
    </row>
    <row r="52" hidden="1">
      <c r="A52" s="6" t="str">
        <f t="shared" si="1"/>
        <v>2017_Běžný provoz_Interní nájmy</v>
      </c>
      <c r="B52" s="17" t="s">
        <v>32</v>
      </c>
      <c r="C52" s="27" t="s">
        <v>49</v>
      </c>
      <c r="D52" s="7"/>
      <c r="E52" s="7" t="s">
        <v>50</v>
      </c>
      <c r="F52" s="29">
        <v>43024.0</v>
      </c>
      <c r="G52" s="30">
        <v>43038.0</v>
      </c>
      <c r="H52" s="19"/>
      <c r="I52" s="12"/>
      <c r="J52" s="12">
        <v>8212.0</v>
      </c>
      <c r="K52" s="20">
        <f t="shared" si="2"/>
        <v>-8212</v>
      </c>
      <c r="L52" s="13"/>
      <c r="M52" s="13"/>
      <c r="N52" s="14">
        <f t="shared" si="4"/>
        <v>33682</v>
      </c>
      <c r="O52" s="6" t="s">
        <v>30</v>
      </c>
      <c r="P52" s="6" t="s">
        <v>36</v>
      </c>
      <c r="Q52" s="15"/>
      <c r="R52" s="15"/>
      <c r="S52" s="15"/>
      <c r="T52" s="15"/>
      <c r="U52" s="15"/>
      <c r="V52" s="14" t="str">
        <f t="shared" si="3"/>
        <v/>
      </c>
      <c r="X52" s="16"/>
      <c r="Y52" s="16"/>
      <c r="Z52" s="16"/>
    </row>
    <row r="53" hidden="1">
      <c r="A53" s="6" t="str">
        <f t="shared" si="1"/>
        <v>2017_Běžný provoz_Interní nájmy</v>
      </c>
      <c r="B53" s="17" t="s">
        <v>32</v>
      </c>
      <c r="C53" s="27" t="s">
        <v>49</v>
      </c>
      <c r="D53" s="7"/>
      <c r="E53" s="7" t="s">
        <v>51</v>
      </c>
      <c r="F53" s="29">
        <v>43024.0</v>
      </c>
      <c r="G53" s="30">
        <v>43038.0</v>
      </c>
      <c r="H53" s="19"/>
      <c r="I53" s="12"/>
      <c r="J53" s="12">
        <v>6912.0</v>
      </c>
      <c r="K53" s="20">
        <f t="shared" si="2"/>
        <v>-6912</v>
      </c>
      <c r="L53" s="13"/>
      <c r="M53" s="13"/>
      <c r="N53" s="14">
        <f t="shared" si="4"/>
        <v>26770</v>
      </c>
      <c r="O53" s="6" t="s">
        <v>30</v>
      </c>
      <c r="P53" s="6" t="s">
        <v>36</v>
      </c>
      <c r="Q53" s="15"/>
      <c r="R53" s="15"/>
      <c r="S53" s="15"/>
      <c r="T53" s="15"/>
      <c r="U53" s="15"/>
      <c r="V53" s="14" t="str">
        <f t="shared" si="3"/>
        <v/>
      </c>
      <c r="X53" s="16"/>
      <c r="Y53" s="16"/>
      <c r="Z53" s="16"/>
    </row>
    <row r="54" hidden="1">
      <c r="A54" s="6" t="str">
        <f t="shared" si="1"/>
        <v>2017_Hamerák-akce_Hamerák náklady</v>
      </c>
      <c r="B54" s="23" t="s">
        <v>37</v>
      </c>
      <c r="C54" s="24" t="s">
        <v>92</v>
      </c>
      <c r="D54" s="7"/>
      <c r="E54" s="7" t="s">
        <v>98</v>
      </c>
      <c r="F54" s="29">
        <v>43029.0</v>
      </c>
      <c r="H54" s="19"/>
      <c r="I54" s="12"/>
      <c r="J54" s="12">
        <v>12100.0</v>
      </c>
      <c r="K54" s="20">
        <f t="shared" si="2"/>
        <v>-12100</v>
      </c>
      <c r="L54" s="13"/>
      <c r="M54" s="13"/>
      <c r="N54" s="14">
        <f t="shared" si="4"/>
        <v>14670</v>
      </c>
      <c r="O54" s="6" t="s">
        <v>30</v>
      </c>
      <c r="P54" s="6" t="s">
        <v>31</v>
      </c>
      <c r="Q54" s="15">
        <v>-42826.0</v>
      </c>
      <c r="R54" s="15"/>
      <c r="S54" s="15"/>
      <c r="T54" s="15"/>
      <c r="U54" s="15"/>
      <c r="V54" s="14">
        <f t="shared" si="3"/>
        <v>-57496</v>
      </c>
      <c r="X54" s="16"/>
      <c r="Y54" s="16">
        <v>43039.0</v>
      </c>
      <c r="Z54" s="16"/>
    </row>
    <row r="55" hidden="1">
      <c r="A55" s="6" t="str">
        <f t="shared" si="1"/>
        <v>2017_Hamerák-akce_Hamerák finance</v>
      </c>
      <c r="B55" s="23" t="s">
        <v>37</v>
      </c>
      <c r="C55" s="24" t="s">
        <v>95</v>
      </c>
      <c r="D55" s="7"/>
      <c r="E55" s="7" t="s">
        <v>99</v>
      </c>
      <c r="F55" s="29">
        <v>43048.0</v>
      </c>
      <c r="H55" s="19"/>
      <c r="I55" s="12">
        <v>90000.0</v>
      </c>
      <c r="J55" s="12"/>
      <c r="K55" s="20">
        <f t="shared" si="2"/>
        <v>90000</v>
      </c>
      <c r="L55" s="13"/>
      <c r="M55" s="13"/>
      <c r="N55" s="14">
        <f t="shared" si="4"/>
        <v>104670</v>
      </c>
      <c r="O55" s="6" t="s">
        <v>30</v>
      </c>
      <c r="P55" s="6" t="s">
        <v>31</v>
      </c>
      <c r="Q55" s="22">
        <f t="shared" ref="Q55:Q56" si="6">Q54+I55</f>
        <v>47174</v>
      </c>
      <c r="R55" s="15"/>
      <c r="S55" s="15"/>
      <c r="T55" s="15"/>
      <c r="U55" s="15"/>
      <c r="V55" s="14">
        <f t="shared" si="3"/>
        <v>-57496</v>
      </c>
      <c r="X55" s="16"/>
      <c r="Y55" s="16"/>
      <c r="Z55" s="16"/>
    </row>
    <row r="56" hidden="1">
      <c r="A56" s="6" t="str">
        <f t="shared" si="1"/>
        <v>2017_Běžný provoz_Interní nájmy</v>
      </c>
      <c r="B56" s="17" t="s">
        <v>32</v>
      </c>
      <c r="C56" s="27" t="s">
        <v>49</v>
      </c>
      <c r="D56" s="7"/>
      <c r="E56" s="7" t="s">
        <v>100</v>
      </c>
      <c r="F56" s="29">
        <v>43066.0</v>
      </c>
      <c r="H56" s="19"/>
      <c r="I56" s="12">
        <v>11160.0</v>
      </c>
      <c r="J56" s="12"/>
      <c r="K56" s="20">
        <f t="shared" si="2"/>
        <v>11160</v>
      </c>
      <c r="L56" s="13"/>
      <c r="M56" s="13"/>
      <c r="N56" s="14">
        <f t="shared" si="4"/>
        <v>115830</v>
      </c>
      <c r="O56" s="6" t="s">
        <v>30</v>
      </c>
      <c r="P56" s="6" t="s">
        <v>36</v>
      </c>
      <c r="Q56" s="22">
        <f t="shared" si="6"/>
        <v>58334</v>
      </c>
      <c r="R56" s="15"/>
      <c r="S56" s="15"/>
      <c r="T56" s="15"/>
      <c r="U56" s="15"/>
      <c r="V56" s="14">
        <f t="shared" si="3"/>
        <v>-57496</v>
      </c>
      <c r="X56" s="16"/>
      <c r="Y56" s="16"/>
      <c r="Z56" s="16"/>
    </row>
    <row r="57" hidden="1">
      <c r="A57" s="6" t="str">
        <f t="shared" si="1"/>
        <v>2017_Hamerák-akce_Hamerák finance</v>
      </c>
      <c r="B57" s="23" t="s">
        <v>37</v>
      </c>
      <c r="C57" s="24" t="s">
        <v>95</v>
      </c>
      <c r="D57" s="7"/>
      <c r="E57" s="7" t="s">
        <v>101</v>
      </c>
      <c r="F57" s="29">
        <v>43078.0</v>
      </c>
      <c r="H57" s="19"/>
      <c r="I57" s="12">
        <v>2040.0</v>
      </c>
      <c r="J57" s="12"/>
      <c r="K57" s="20">
        <f t="shared" si="2"/>
        <v>2040</v>
      </c>
      <c r="L57" s="13"/>
      <c r="M57" s="13"/>
      <c r="N57" s="14">
        <f t="shared" si="4"/>
        <v>117870</v>
      </c>
      <c r="O57" s="6" t="s">
        <v>30</v>
      </c>
      <c r="P57" s="6" t="s">
        <v>31</v>
      </c>
      <c r="Q57" s="15"/>
      <c r="R57" s="15"/>
      <c r="S57" s="15"/>
      <c r="T57" s="15"/>
      <c r="U57" s="15"/>
      <c r="V57" s="14" t="str">
        <f t="shared" si="3"/>
        <v/>
      </c>
      <c r="X57" s="16"/>
      <c r="Y57" s="16"/>
      <c r="Z57" s="16"/>
    </row>
    <row r="58" hidden="1">
      <c r="A58" s="6" t="str">
        <f t="shared" si="1"/>
        <v>2017_Hamerák-akce_Hamerák finance</v>
      </c>
      <c r="B58" s="23" t="s">
        <v>37</v>
      </c>
      <c r="C58" s="24" t="s">
        <v>95</v>
      </c>
      <c r="D58" s="7"/>
      <c r="E58" s="7" t="s">
        <v>102</v>
      </c>
      <c r="F58" s="29">
        <v>43079.0</v>
      </c>
      <c r="H58" s="19"/>
      <c r="I58" s="31">
        <v>3964.0</v>
      </c>
      <c r="J58" s="12"/>
      <c r="K58" s="20">
        <f t="shared" si="2"/>
        <v>3964</v>
      </c>
      <c r="L58" s="13"/>
      <c r="M58" s="13"/>
      <c r="N58" s="14">
        <f t="shared" si="4"/>
        <v>121834</v>
      </c>
      <c r="O58" s="6" t="s">
        <v>30</v>
      </c>
      <c r="P58" s="6" t="s">
        <v>31</v>
      </c>
      <c r="Q58" s="15"/>
      <c r="R58" s="15"/>
      <c r="S58" s="15"/>
      <c r="T58" s="15"/>
      <c r="U58" s="15"/>
      <c r="V58" s="14" t="str">
        <f t="shared" si="3"/>
        <v/>
      </c>
      <c r="X58" s="16"/>
      <c r="Y58" s="16"/>
      <c r="Z58" s="16"/>
    </row>
    <row r="59" hidden="1">
      <c r="A59" s="6" t="str">
        <f t="shared" si="1"/>
        <v>2017_Podpora činnosti_Oddílové vánoce</v>
      </c>
      <c r="B59" s="28" t="s">
        <v>61</v>
      </c>
      <c r="C59" s="25" t="s">
        <v>103</v>
      </c>
      <c r="D59" s="7"/>
      <c r="E59" s="7" t="s">
        <v>104</v>
      </c>
      <c r="F59" s="29">
        <v>43079.0</v>
      </c>
      <c r="H59" s="19"/>
      <c r="I59" s="12"/>
      <c r="J59" s="12">
        <v>2040.0</v>
      </c>
      <c r="K59" s="20">
        <f t="shared" si="2"/>
        <v>-2040</v>
      </c>
      <c r="L59" s="13"/>
      <c r="M59" s="13"/>
      <c r="N59" s="14">
        <f t="shared" si="4"/>
        <v>119794</v>
      </c>
      <c r="O59" s="6" t="s">
        <v>30</v>
      </c>
      <c r="P59" s="14" t="s">
        <v>36</v>
      </c>
      <c r="Q59" s="15"/>
      <c r="R59" s="15"/>
      <c r="S59" s="15"/>
      <c r="T59" s="15"/>
      <c r="U59" s="15"/>
      <c r="V59" s="14" t="str">
        <f t="shared" si="3"/>
        <v/>
      </c>
      <c r="X59" s="16"/>
      <c r="Y59" s="16"/>
      <c r="Z59" s="16"/>
    </row>
    <row r="60" hidden="1">
      <c r="A60" s="6" t="str">
        <f t="shared" si="1"/>
        <v>2017_Podpora činnosti_Oddílové vánoce</v>
      </c>
      <c r="B60" s="28" t="s">
        <v>61</v>
      </c>
      <c r="C60" s="25" t="s">
        <v>103</v>
      </c>
      <c r="D60" s="7"/>
      <c r="E60" s="7" t="s">
        <v>105</v>
      </c>
      <c r="F60" s="29">
        <v>43079.0</v>
      </c>
      <c r="H60" s="19"/>
      <c r="I60" s="12"/>
      <c r="J60" s="12">
        <v>1400.0</v>
      </c>
      <c r="K60" s="20">
        <f t="shared" si="2"/>
        <v>-1400</v>
      </c>
      <c r="L60" s="13"/>
      <c r="M60" s="13"/>
      <c r="N60" s="14">
        <f t="shared" si="4"/>
        <v>118394</v>
      </c>
      <c r="O60" s="6" t="s">
        <v>30</v>
      </c>
      <c r="P60" s="14" t="s">
        <v>36</v>
      </c>
      <c r="Q60" s="22">
        <v>58334.0</v>
      </c>
      <c r="R60" s="15">
        <v>2999.0</v>
      </c>
      <c r="S60" s="15">
        <f>10255+34242+4164</f>
        <v>48661</v>
      </c>
      <c r="T60" s="15">
        <v>8400.0</v>
      </c>
      <c r="U60" s="15">
        <v>0.0</v>
      </c>
      <c r="V60" s="14">
        <f t="shared" si="3"/>
        <v>0</v>
      </c>
      <c r="W60" s="7" t="s">
        <v>55</v>
      </c>
      <c r="X60" s="16">
        <v>43082.0</v>
      </c>
      <c r="Y60" s="16">
        <v>43039.0</v>
      </c>
      <c r="Z60" s="16">
        <v>43082.0</v>
      </c>
    </row>
    <row r="61" hidden="1">
      <c r="A61" s="6" t="str">
        <f t="shared" si="1"/>
        <v>2017_Podpora činnosti_Příjmy</v>
      </c>
      <c r="B61" s="28" t="s">
        <v>61</v>
      </c>
      <c r="C61" s="7" t="s">
        <v>106</v>
      </c>
      <c r="D61" s="7"/>
      <c r="E61" s="7" t="s">
        <v>107</v>
      </c>
      <c r="F61" s="29">
        <v>43081.0</v>
      </c>
      <c r="H61" s="19"/>
      <c r="I61" s="12">
        <v>2000.0</v>
      </c>
      <c r="J61" s="12"/>
      <c r="K61" s="20">
        <f t="shared" si="2"/>
        <v>2000</v>
      </c>
      <c r="L61" s="13"/>
      <c r="M61" s="13"/>
      <c r="N61" s="14">
        <f t="shared" si="4"/>
        <v>120394</v>
      </c>
      <c r="O61" s="6" t="s">
        <v>30</v>
      </c>
      <c r="P61" s="6" t="s">
        <v>36</v>
      </c>
      <c r="Q61" s="15"/>
      <c r="R61" s="15"/>
      <c r="S61" s="15"/>
      <c r="T61" s="15"/>
      <c r="U61" s="15"/>
      <c r="V61" s="14" t="str">
        <f t="shared" si="3"/>
        <v/>
      </c>
      <c r="X61" s="16"/>
      <c r="Y61" s="16"/>
      <c r="Z61" s="16"/>
    </row>
    <row r="62" hidden="1">
      <c r="A62" s="6" t="str">
        <f t="shared" si="1"/>
        <v>2017_Podpora činnosti_Nákup vybavení</v>
      </c>
      <c r="B62" s="28" t="s">
        <v>61</v>
      </c>
      <c r="C62" s="7" t="s">
        <v>108</v>
      </c>
      <c r="D62" s="7"/>
      <c r="E62" s="7" t="s">
        <v>109</v>
      </c>
      <c r="F62" s="29">
        <v>43086.0</v>
      </c>
      <c r="H62" s="19"/>
      <c r="I62" s="12"/>
      <c r="J62" s="12">
        <v>8988.0</v>
      </c>
      <c r="K62" s="20">
        <f t="shared" si="2"/>
        <v>-8988</v>
      </c>
      <c r="L62" s="13"/>
      <c r="M62" s="13"/>
      <c r="N62" s="14">
        <f t="shared" si="4"/>
        <v>111406</v>
      </c>
      <c r="O62" s="6" t="s">
        <v>30</v>
      </c>
      <c r="P62" s="14" t="s">
        <v>36</v>
      </c>
      <c r="Q62" s="15"/>
      <c r="R62" s="15"/>
      <c r="S62" s="15"/>
      <c r="T62" s="15"/>
      <c r="U62" s="15"/>
      <c r="V62" s="14" t="str">
        <f t="shared" si="3"/>
        <v/>
      </c>
      <c r="X62" s="16"/>
      <c r="Y62" s="16"/>
      <c r="Z62" s="16"/>
    </row>
    <row r="63" hidden="1">
      <c r="A63" s="6" t="str">
        <f t="shared" si="1"/>
        <v>2017_Převody_převod</v>
      </c>
      <c r="B63" s="7" t="s">
        <v>27</v>
      </c>
      <c r="C63" s="7" t="s">
        <v>44</v>
      </c>
      <c r="D63" s="7"/>
      <c r="E63" s="7" t="s">
        <v>56</v>
      </c>
      <c r="F63" s="29">
        <v>43097.0</v>
      </c>
      <c r="H63" s="19"/>
      <c r="I63" s="12"/>
      <c r="J63" s="12"/>
      <c r="K63" s="20">
        <f t="shared" si="2"/>
        <v>0</v>
      </c>
      <c r="L63" s="13"/>
      <c r="M63" s="13">
        <v>14000.0</v>
      </c>
      <c r="N63" s="14">
        <f t="shared" si="4"/>
        <v>111406</v>
      </c>
      <c r="O63" s="6" t="s">
        <v>30</v>
      </c>
      <c r="P63" s="6" t="s">
        <v>31</v>
      </c>
      <c r="Q63" s="22">
        <f>58334+I61</f>
        <v>60334</v>
      </c>
      <c r="R63" s="15">
        <v>16999.0</v>
      </c>
      <c r="S63" s="15">
        <v>25673.0</v>
      </c>
      <c r="T63" s="15">
        <v>8400.0</v>
      </c>
      <c r="U63" s="15"/>
      <c r="V63" s="14">
        <f t="shared" si="3"/>
        <v>0</v>
      </c>
      <c r="X63" s="16"/>
      <c r="Y63" s="16"/>
      <c r="Z63" s="16">
        <v>43097.0</v>
      </c>
    </row>
    <row r="64" hidden="1">
      <c r="A64" s="6" t="str">
        <f t="shared" si="1"/>
        <v>2017_Běžný provoz_Náklady TJ</v>
      </c>
      <c r="B64" s="17" t="s">
        <v>32</v>
      </c>
      <c r="C64" s="27" t="s">
        <v>110</v>
      </c>
      <c r="D64" s="7"/>
      <c r="E64" s="7" t="s">
        <v>111</v>
      </c>
      <c r="F64" s="29">
        <v>43099.0</v>
      </c>
      <c r="H64" s="19"/>
      <c r="I64" s="12"/>
      <c r="J64" s="12">
        <v>767.0</v>
      </c>
      <c r="K64" s="20">
        <f t="shared" si="2"/>
        <v>-767</v>
      </c>
      <c r="L64" s="13"/>
      <c r="M64" s="13"/>
      <c r="N64" s="14">
        <f t="shared" si="4"/>
        <v>110639</v>
      </c>
      <c r="O64" s="6" t="s">
        <v>30</v>
      </c>
      <c r="P64" s="14" t="s">
        <v>36</v>
      </c>
      <c r="Q64" s="15"/>
      <c r="R64" s="15"/>
      <c r="S64" s="15"/>
      <c r="T64" s="15"/>
      <c r="U64" s="15"/>
      <c r="V64" s="14" t="str">
        <f t="shared" si="3"/>
        <v/>
      </c>
      <c r="X64" s="16"/>
      <c r="Y64" s="16"/>
      <c r="Z64" s="16"/>
    </row>
    <row r="65" hidden="1">
      <c r="A65" s="6" t="str">
        <f t="shared" si="1"/>
        <v>2017b_Převody_Převod do 2018</v>
      </c>
      <c r="B65" s="7" t="s">
        <v>27</v>
      </c>
      <c r="C65" s="7" t="s">
        <v>112</v>
      </c>
      <c r="D65" s="7"/>
      <c r="E65" s="7" t="s">
        <v>113</v>
      </c>
      <c r="F65" s="8">
        <v>43101.0</v>
      </c>
      <c r="H65" s="19"/>
      <c r="I65" s="12"/>
      <c r="J65" s="12"/>
      <c r="K65" s="20">
        <f t="shared" si="2"/>
        <v>0</v>
      </c>
      <c r="L65" s="13"/>
      <c r="M65" s="13"/>
      <c r="N65" s="14">
        <f t="shared" si="4"/>
        <v>110639</v>
      </c>
      <c r="O65" s="6" t="s">
        <v>114</v>
      </c>
      <c r="P65" s="6" t="s">
        <v>31</v>
      </c>
      <c r="Q65" s="15">
        <v>45205.0</v>
      </c>
      <c r="R65" s="15">
        <v>16999.0</v>
      </c>
      <c r="S65" s="15">
        <f t="shared" ref="S65:S66" si="7">25673+14362</f>
        <v>40035</v>
      </c>
      <c r="T65" s="15">
        <v>8400.0</v>
      </c>
      <c r="U65" s="15"/>
      <c r="V65" s="14">
        <f t="shared" si="3"/>
        <v>0</v>
      </c>
      <c r="W65" s="7" t="s">
        <v>55</v>
      </c>
      <c r="X65" s="16">
        <v>43100.0</v>
      </c>
      <c r="Y65" s="16"/>
      <c r="Z65" s="16"/>
    </row>
    <row r="66" hidden="1">
      <c r="A66" s="6" t="str">
        <f t="shared" si="1"/>
        <v>2018_Převody_Převod z 2017</v>
      </c>
      <c r="B66" s="7" t="s">
        <v>27</v>
      </c>
      <c r="C66" s="7" t="s">
        <v>115</v>
      </c>
      <c r="D66" s="7" t="str">
        <f>VLOOKUP(A66,'Rozpočet 2018'!J:J,1,FALSE)</f>
        <v>2018_Převody_Převod z 2017</v>
      </c>
      <c r="E66" s="7" t="s">
        <v>116</v>
      </c>
      <c r="F66" s="29">
        <v>43101.0</v>
      </c>
      <c r="H66" s="19"/>
      <c r="I66" s="12"/>
      <c r="J66" s="12"/>
      <c r="K66" s="20">
        <f t="shared" si="2"/>
        <v>0</v>
      </c>
      <c r="L66" s="13"/>
      <c r="M66" s="13"/>
      <c r="N66" s="14">
        <f t="shared" si="4"/>
        <v>110639</v>
      </c>
      <c r="O66" s="6" t="s">
        <v>117</v>
      </c>
      <c r="P66" s="14"/>
      <c r="Q66" s="22">
        <f>45205+1420+8451</f>
        <v>55076</v>
      </c>
      <c r="R66" s="15">
        <v>16999.0</v>
      </c>
      <c r="S66" s="15">
        <f t="shared" si="7"/>
        <v>40035</v>
      </c>
      <c r="T66" s="15">
        <v>8400.0</v>
      </c>
      <c r="U66" s="15"/>
      <c r="V66" s="14">
        <f t="shared" si="3"/>
        <v>9871</v>
      </c>
      <c r="W66" s="7" t="s">
        <v>55</v>
      </c>
      <c r="X66" s="16">
        <v>43100.0</v>
      </c>
      <c r="Y66" s="16"/>
      <c r="Z66" s="16"/>
    </row>
    <row r="67" hidden="1">
      <c r="A67" s="6" t="str">
        <f t="shared" si="1"/>
        <v>2017_Běžný provoz_Příspěvky</v>
      </c>
      <c r="B67" s="17" t="s">
        <v>32</v>
      </c>
      <c r="C67" s="21" t="s">
        <v>34</v>
      </c>
      <c r="D67" s="7"/>
      <c r="E67" s="7" t="s">
        <v>118</v>
      </c>
      <c r="F67" s="29">
        <v>43110.0</v>
      </c>
      <c r="H67" s="19" t="s">
        <v>119</v>
      </c>
      <c r="I67" s="12">
        <v>1250.0</v>
      </c>
      <c r="J67" s="12"/>
      <c r="K67" s="20">
        <f t="shared" si="2"/>
        <v>1250</v>
      </c>
      <c r="L67" s="13"/>
      <c r="M67" s="13"/>
      <c r="N67" s="14">
        <f t="shared" si="4"/>
        <v>111889</v>
      </c>
      <c r="O67" s="6" t="s">
        <v>30</v>
      </c>
      <c r="P67" s="6" t="s">
        <v>36</v>
      </c>
      <c r="Q67" s="15"/>
      <c r="R67" s="15"/>
      <c r="S67" s="2" t="s">
        <v>120</v>
      </c>
      <c r="T67" s="2" t="s">
        <v>19</v>
      </c>
      <c r="U67" s="15"/>
      <c r="V67" s="14" t="str">
        <f t="shared" si="3"/>
        <v/>
      </c>
      <c r="X67" s="16"/>
      <c r="Y67" s="16"/>
      <c r="Z67" s="16"/>
    </row>
    <row r="68" hidden="1">
      <c r="A68" s="6" t="str">
        <f t="shared" si="1"/>
        <v>2018_Převody_převod</v>
      </c>
      <c r="B68" s="7" t="s">
        <v>27</v>
      </c>
      <c r="C68" s="7" t="s">
        <v>44</v>
      </c>
      <c r="D68" s="7" t="str">
        <f>VLOOKUP(A68,'Rozpočet 2018'!J:J,1,FALSE)</f>
        <v>2018_Převody_převod</v>
      </c>
      <c r="E68" s="7" t="s">
        <v>121</v>
      </c>
      <c r="F68" s="29">
        <v>43110.0</v>
      </c>
      <c r="G68" s="30">
        <v>43100.0</v>
      </c>
      <c r="H68" s="19"/>
      <c r="I68" s="12"/>
      <c r="J68" s="12"/>
      <c r="K68" s="20">
        <f t="shared" ref="K68:K69" si="8">I68-J68+L68</f>
        <v>0</v>
      </c>
      <c r="L68" s="13"/>
      <c r="M68" s="13">
        <v>14362.0</v>
      </c>
      <c r="N68" s="14">
        <f t="shared" si="4"/>
        <v>111889</v>
      </c>
      <c r="O68" s="6" t="s">
        <v>117</v>
      </c>
      <c r="P68" s="14"/>
      <c r="Q68" s="15"/>
      <c r="R68" s="15"/>
      <c r="S68" s="15"/>
      <c r="T68" s="15"/>
      <c r="U68" s="15"/>
      <c r="V68" s="14" t="str">
        <f t="shared" si="3"/>
        <v/>
      </c>
      <c r="X68" s="16"/>
      <c r="Y68" s="16"/>
      <c r="Z68" s="16"/>
    </row>
    <row r="69" hidden="1">
      <c r="A69" s="6" t="str">
        <f t="shared" si="1"/>
        <v>2018_Podpora činnosti_Příjmy dotace</v>
      </c>
      <c r="B69" s="28" t="s">
        <v>61</v>
      </c>
      <c r="C69" s="7" t="s">
        <v>122</v>
      </c>
      <c r="D69" s="7" t="str">
        <f>VLOOKUP(A69,'Rozpočet 2018'!J:J,1,FALSE)</f>
        <v>2018_Podpora činnosti_Příjmy dotace</v>
      </c>
      <c r="E69" s="7" t="s">
        <v>123</v>
      </c>
      <c r="F69" s="29">
        <v>43111.0</v>
      </c>
      <c r="H69" s="19" t="s">
        <v>119</v>
      </c>
      <c r="I69" s="12">
        <v>17000.0</v>
      </c>
      <c r="J69" s="12"/>
      <c r="K69" s="20">
        <f t="shared" si="8"/>
        <v>17000</v>
      </c>
      <c r="L69" s="13"/>
      <c r="M69" s="13"/>
      <c r="N69" s="14">
        <f t="shared" si="4"/>
        <v>128889</v>
      </c>
      <c r="O69" s="6" t="s">
        <v>117</v>
      </c>
      <c r="P69" s="14"/>
      <c r="Q69" s="22" t="str">
        <f>Q67</f>
        <v/>
      </c>
      <c r="R69" s="15">
        <v>33999.0</v>
      </c>
      <c r="S69" s="15">
        <f>25673+14362+1250</f>
        <v>41285</v>
      </c>
      <c r="T69" s="15">
        <v>8400.0</v>
      </c>
      <c r="U69" s="15"/>
      <c r="V69" s="14" t="str">
        <f t="shared" si="3"/>
        <v/>
      </c>
      <c r="W69" s="7" t="s">
        <v>55</v>
      </c>
      <c r="X69" s="16">
        <v>43128.0</v>
      </c>
      <c r="Y69" s="16"/>
      <c r="Z69" s="16"/>
    </row>
    <row r="70" hidden="1">
      <c r="A70" s="6" t="str">
        <f t="shared" si="1"/>
        <v>2017_Běžný provoz_Příspěvky ČSK</v>
      </c>
      <c r="B70" s="17" t="s">
        <v>32</v>
      </c>
      <c r="C70" s="7" t="s">
        <v>33</v>
      </c>
      <c r="D70" s="7"/>
      <c r="E70" s="7" t="s">
        <v>124</v>
      </c>
      <c r="F70" s="29">
        <v>43118.0</v>
      </c>
      <c r="H70" s="19" t="s">
        <v>125</v>
      </c>
      <c r="I70" s="12">
        <v>1420.0</v>
      </c>
      <c r="J70" s="12"/>
      <c r="K70" s="20">
        <f t="shared" ref="K70:K71" si="9">I70-J70</f>
        <v>1420</v>
      </c>
      <c r="L70" s="13"/>
      <c r="M70" s="13"/>
      <c r="N70" s="14">
        <f t="shared" si="4"/>
        <v>130309</v>
      </c>
      <c r="O70" s="6" t="s">
        <v>30</v>
      </c>
      <c r="P70" s="6" t="s">
        <v>31</v>
      </c>
      <c r="Q70" s="22"/>
      <c r="R70" s="15"/>
      <c r="S70" s="2" t="s">
        <v>126</v>
      </c>
      <c r="T70" s="2" t="s">
        <v>127</v>
      </c>
      <c r="U70" s="15"/>
      <c r="V70" s="14" t="str">
        <f t="shared" si="3"/>
        <v/>
      </c>
      <c r="X70" s="16"/>
      <c r="Y70" s="16"/>
      <c r="Z70" s="16"/>
    </row>
    <row r="71" hidden="1">
      <c r="A71" s="6" t="str">
        <f t="shared" si="1"/>
        <v>2017_Podpora činnosti_Příjmy</v>
      </c>
      <c r="B71" s="28" t="s">
        <v>61</v>
      </c>
      <c r="C71" s="7" t="s">
        <v>106</v>
      </c>
      <c r="D71" s="7"/>
      <c r="E71" s="7" t="s">
        <v>128</v>
      </c>
      <c r="F71" s="29">
        <v>43118.0</v>
      </c>
      <c r="G71" s="32"/>
      <c r="H71" s="19" t="s">
        <v>125</v>
      </c>
      <c r="I71" s="12">
        <v>8451.0</v>
      </c>
      <c r="J71" s="12"/>
      <c r="K71" s="20">
        <f t="shared" si="9"/>
        <v>8451</v>
      </c>
      <c r="L71" s="13"/>
      <c r="M71" s="13"/>
      <c r="N71" s="14">
        <f t="shared" si="4"/>
        <v>138760</v>
      </c>
      <c r="O71" s="6" t="s">
        <v>30</v>
      </c>
      <c r="P71" s="6" t="s">
        <v>36</v>
      </c>
      <c r="Q71" s="15"/>
      <c r="R71" s="15"/>
      <c r="S71" s="15"/>
      <c r="T71" s="15"/>
      <c r="U71" s="15"/>
      <c r="V71" s="14" t="str">
        <f t="shared" si="3"/>
        <v/>
      </c>
      <c r="X71" s="16"/>
      <c r="Y71" s="16"/>
      <c r="Z71" s="16"/>
    </row>
    <row r="72" hidden="1">
      <c r="A72" s="6" t="str">
        <f t="shared" si="1"/>
        <v>2018_Podpora činnosti_Příjmy dotace</v>
      </c>
      <c r="B72" s="28" t="s">
        <v>61</v>
      </c>
      <c r="C72" s="7" t="s">
        <v>122</v>
      </c>
      <c r="D72" s="7" t="str">
        <f>VLOOKUP(A72,'Rozpočet 2018'!J:J,1,FALSE)</f>
        <v>2018_Podpora činnosti_Příjmy dotace</v>
      </c>
      <c r="E72" s="7" t="s">
        <v>129</v>
      </c>
      <c r="F72" s="29">
        <v>43118.0</v>
      </c>
      <c r="G72" s="32"/>
      <c r="H72" s="19" t="s">
        <v>125</v>
      </c>
      <c r="I72" s="12">
        <v>5374.0</v>
      </c>
      <c r="J72" s="12"/>
      <c r="K72" s="20">
        <f t="shared" ref="K72:K399" si="10">I72-J72+L72</f>
        <v>5374</v>
      </c>
      <c r="L72" s="13"/>
      <c r="M72" s="13"/>
      <c r="N72" s="14">
        <f t="shared" si="4"/>
        <v>144134</v>
      </c>
      <c r="O72" s="6" t="s">
        <v>117</v>
      </c>
      <c r="P72" s="14"/>
      <c r="Q72" s="15"/>
      <c r="R72" s="15"/>
      <c r="S72" s="15"/>
      <c r="T72" s="15"/>
      <c r="U72" s="15"/>
      <c r="V72" s="14" t="str">
        <f t="shared" si="3"/>
        <v/>
      </c>
      <c r="X72" s="16"/>
      <c r="Y72" s="16"/>
      <c r="Z72" s="16"/>
    </row>
    <row r="73" hidden="1">
      <c r="A73" s="6" t="str">
        <f t="shared" si="1"/>
        <v>2018_Běžný provoz_Interní nájmy</v>
      </c>
      <c r="B73" s="17" t="s">
        <v>32</v>
      </c>
      <c r="C73" s="27" t="s">
        <v>49</v>
      </c>
      <c r="D73" s="7" t="str">
        <f>VLOOKUP(A73,'Rozpočet 2018'!J:J,1,FALSE)</f>
        <v>2018_Běžný provoz_Interní nájmy</v>
      </c>
      <c r="E73" s="7" t="s">
        <v>50</v>
      </c>
      <c r="F73" s="29">
        <v>43130.0</v>
      </c>
      <c r="H73" s="19" t="s">
        <v>125</v>
      </c>
      <c r="I73" s="12"/>
      <c r="J73" s="12">
        <v>6103.0</v>
      </c>
      <c r="K73" s="20">
        <f t="shared" si="10"/>
        <v>-6103</v>
      </c>
      <c r="L73" s="13"/>
      <c r="M73" s="13"/>
      <c r="N73" s="14">
        <f t="shared" si="4"/>
        <v>138031</v>
      </c>
      <c r="O73" s="6" t="s">
        <v>117</v>
      </c>
      <c r="P73" s="14"/>
      <c r="Q73" s="15"/>
      <c r="R73" s="15"/>
      <c r="S73" s="15"/>
      <c r="T73" s="15"/>
      <c r="U73" s="15"/>
      <c r="V73" s="14" t="str">
        <f t="shared" si="3"/>
        <v/>
      </c>
      <c r="X73" s="16"/>
    </row>
    <row r="74" hidden="1">
      <c r="A74" s="6" t="str">
        <f t="shared" si="1"/>
        <v>2018_Běžný provoz_Interní nájmy</v>
      </c>
      <c r="B74" s="17" t="s">
        <v>32</v>
      </c>
      <c r="C74" s="27" t="s">
        <v>49</v>
      </c>
      <c r="D74" s="7" t="str">
        <f>VLOOKUP(A74,'Rozpočet 2018'!J:J,1,FALSE)</f>
        <v>2018_Běžný provoz_Interní nájmy</v>
      </c>
      <c r="E74" s="7" t="s">
        <v>51</v>
      </c>
      <c r="F74" s="29">
        <v>43130.0</v>
      </c>
      <c r="H74" s="19" t="s">
        <v>125</v>
      </c>
      <c r="I74" s="12"/>
      <c r="J74" s="12">
        <v>7488.0</v>
      </c>
      <c r="K74" s="20">
        <f t="shared" si="10"/>
        <v>-7488</v>
      </c>
      <c r="L74" s="13"/>
      <c r="M74" s="13"/>
      <c r="N74" s="14">
        <f t="shared" si="4"/>
        <v>130543</v>
      </c>
      <c r="O74" s="6" t="s">
        <v>117</v>
      </c>
      <c r="P74" s="14"/>
      <c r="Q74" s="15"/>
      <c r="R74" s="15"/>
      <c r="S74" s="15"/>
      <c r="T74" s="15"/>
      <c r="U74" s="15"/>
      <c r="V74" s="14" t="str">
        <f t="shared" si="3"/>
        <v/>
      </c>
      <c r="X74" s="16"/>
    </row>
    <row r="75" hidden="1">
      <c r="A75" s="6" t="str">
        <f t="shared" si="1"/>
        <v>2018_Běžný provoz_Interní nájmy</v>
      </c>
      <c r="B75" s="17" t="s">
        <v>32</v>
      </c>
      <c r="C75" s="27" t="s">
        <v>49</v>
      </c>
      <c r="D75" s="7" t="str">
        <f>VLOOKUP(A75,'Rozpočet 2018'!J:J,1,FALSE)</f>
        <v>2018_Běžný provoz_Interní nájmy</v>
      </c>
      <c r="E75" s="7" t="s">
        <v>130</v>
      </c>
      <c r="F75" s="29">
        <v>43130.0</v>
      </c>
      <c r="H75" s="19" t="s">
        <v>125</v>
      </c>
      <c r="I75" s="12"/>
      <c r="J75" s="12">
        <v>3000.0</v>
      </c>
      <c r="K75" s="20">
        <f t="shared" si="10"/>
        <v>-3000</v>
      </c>
      <c r="L75" s="13"/>
      <c r="M75" s="13"/>
      <c r="N75" s="14">
        <f t="shared" si="4"/>
        <v>127543</v>
      </c>
      <c r="O75" s="6" t="s">
        <v>117</v>
      </c>
      <c r="P75" s="14"/>
      <c r="Q75" s="15"/>
      <c r="R75" s="15"/>
      <c r="S75" s="15"/>
      <c r="T75" s="15"/>
      <c r="U75" s="15"/>
      <c r="V75" s="14" t="str">
        <f t="shared" si="3"/>
        <v/>
      </c>
      <c r="X75" s="16"/>
    </row>
    <row r="76" hidden="1">
      <c r="A76" s="6" t="str">
        <f t="shared" si="1"/>
        <v>2018_Převody_převod</v>
      </c>
      <c r="B76" s="7" t="s">
        <v>27</v>
      </c>
      <c r="C76" s="7" t="s">
        <v>44</v>
      </c>
      <c r="D76" s="7" t="str">
        <f>VLOOKUP(A76,'Rozpočet 2018'!J:J,1,FALSE)</f>
        <v>2018_Převody_převod</v>
      </c>
      <c r="E76" s="7" t="s">
        <v>56</v>
      </c>
      <c r="F76" s="29">
        <v>43141.0</v>
      </c>
      <c r="H76" s="19" t="s">
        <v>131</v>
      </c>
      <c r="I76" s="12"/>
      <c r="J76" s="12"/>
      <c r="K76" s="20">
        <f t="shared" si="10"/>
        <v>0</v>
      </c>
      <c r="L76" s="13"/>
      <c r="M76" s="13">
        <v>10000.0</v>
      </c>
      <c r="N76" s="14">
        <f t="shared" si="4"/>
        <v>127543</v>
      </c>
      <c r="O76" s="6" t="s">
        <v>117</v>
      </c>
      <c r="P76" s="14"/>
      <c r="Q76" s="15"/>
      <c r="R76" s="15">
        <v>43999.0</v>
      </c>
      <c r="S76" s="15"/>
      <c r="T76" s="15"/>
      <c r="U76" s="15"/>
      <c r="V76" s="14" t="str">
        <f t="shared" si="3"/>
        <v/>
      </c>
      <c r="X76" s="16"/>
      <c r="Y76" s="16"/>
      <c r="Z76" s="16"/>
    </row>
    <row r="77" hidden="1">
      <c r="A77" s="6" t="str">
        <f t="shared" si="1"/>
        <v>2018_Podpora činnosti_Příjmy dotace</v>
      </c>
      <c r="B77" s="28" t="s">
        <v>61</v>
      </c>
      <c r="C77" s="7" t="s">
        <v>122</v>
      </c>
      <c r="D77" s="7" t="str">
        <f>VLOOKUP(A77,'Rozpočet 2018'!J:J,1,FALSE)</f>
        <v>2018_Podpora činnosti_Příjmy dotace</v>
      </c>
      <c r="E77" s="7" t="s">
        <v>132</v>
      </c>
      <c r="F77" s="29">
        <v>43151.0</v>
      </c>
      <c r="H77" s="19" t="s">
        <v>119</v>
      </c>
      <c r="I77" s="12"/>
      <c r="J77" s="12">
        <v>1000.0</v>
      </c>
      <c r="K77" s="20">
        <f t="shared" si="10"/>
        <v>-1000</v>
      </c>
      <c r="L77" s="13"/>
      <c r="M77" s="13"/>
      <c r="N77" s="14">
        <f t="shared" si="4"/>
        <v>126543</v>
      </c>
      <c r="O77" s="6" t="s">
        <v>117</v>
      </c>
      <c r="P77" s="14"/>
      <c r="Q77" s="15"/>
      <c r="R77" s="15"/>
      <c r="S77" s="15"/>
      <c r="T77" s="15"/>
      <c r="U77" s="15"/>
      <c r="V77" s="14" t="str">
        <f t="shared" si="3"/>
        <v/>
      </c>
      <c r="X77" s="16"/>
      <c r="Y77" s="16"/>
      <c r="Z77" s="16"/>
    </row>
    <row r="78" hidden="1">
      <c r="A78" s="6" t="str">
        <f t="shared" si="1"/>
        <v>2018_Běžný provoz_Příspěvky</v>
      </c>
      <c r="B78" s="17" t="s">
        <v>32</v>
      </c>
      <c r="C78" s="21" t="s">
        <v>34</v>
      </c>
      <c r="D78" s="7" t="str">
        <f>VLOOKUP(A78,'Rozpočet 2018'!J:J,1,FALSE)</f>
        <v>2018_Běžný provoz_Příspěvky</v>
      </c>
      <c r="E78" s="7" t="s">
        <v>35</v>
      </c>
      <c r="F78" s="29">
        <v>43151.0</v>
      </c>
      <c r="H78" s="19" t="s">
        <v>133</v>
      </c>
      <c r="I78" s="12">
        <v>16050.0</v>
      </c>
      <c r="J78" s="12"/>
      <c r="K78" s="20">
        <f t="shared" si="10"/>
        <v>16050</v>
      </c>
      <c r="L78" s="13"/>
      <c r="M78" s="13"/>
      <c r="N78" s="14">
        <f t="shared" si="4"/>
        <v>142593</v>
      </c>
      <c r="O78" s="6" t="s">
        <v>117</v>
      </c>
      <c r="P78" s="14"/>
      <c r="Q78" s="15"/>
      <c r="R78" s="15"/>
      <c r="S78" s="15"/>
      <c r="T78" s="15"/>
      <c r="U78" s="15"/>
      <c r="V78" s="14" t="str">
        <f t="shared" si="3"/>
        <v/>
      </c>
      <c r="X78" s="16"/>
      <c r="Y78" s="16"/>
      <c r="Z78" s="16"/>
    </row>
    <row r="79" hidden="1">
      <c r="A79" s="6" t="str">
        <f t="shared" si="1"/>
        <v>2018_Převody_převod</v>
      </c>
      <c r="B79" s="7" t="s">
        <v>27</v>
      </c>
      <c r="C79" s="7" t="s">
        <v>44</v>
      </c>
      <c r="D79" s="7" t="str">
        <f>VLOOKUP(A79,'Rozpočet 2018'!J:J,1,FALSE)</f>
        <v>2018_Převody_převod</v>
      </c>
      <c r="E79" s="7" t="s">
        <v>56</v>
      </c>
      <c r="F79" s="29">
        <v>43155.0</v>
      </c>
      <c r="H79" s="19" t="s">
        <v>131</v>
      </c>
      <c r="I79" s="12"/>
      <c r="J79" s="12"/>
      <c r="K79" s="20">
        <f t="shared" si="10"/>
        <v>0</v>
      </c>
      <c r="L79" s="13"/>
      <c r="M79" s="13">
        <v>10000.0</v>
      </c>
      <c r="N79" s="14">
        <f t="shared" si="4"/>
        <v>142593</v>
      </c>
      <c r="O79" s="6" t="s">
        <v>117</v>
      </c>
      <c r="P79" s="14"/>
      <c r="Q79" s="15"/>
      <c r="R79" s="15"/>
      <c r="S79" s="15"/>
      <c r="T79" s="15"/>
      <c r="U79" s="15"/>
      <c r="V79" s="14" t="str">
        <f t="shared" si="3"/>
        <v/>
      </c>
      <c r="X79" s="16"/>
      <c r="Y79" s="16"/>
      <c r="Z79" s="16"/>
    </row>
    <row r="80" hidden="1">
      <c r="A80" s="6" t="str">
        <f t="shared" si="1"/>
        <v>2018_Podpora činnosti_Oddílová soutěž</v>
      </c>
      <c r="B80" s="28" t="s">
        <v>61</v>
      </c>
      <c r="C80" s="25" t="s">
        <v>42</v>
      </c>
      <c r="D80" s="7" t="str">
        <f>VLOOKUP(A80,'Rozpočet 2018'!J:J,1,FALSE)</f>
        <v>2018_Podpora činnosti_Oddílová soutěž</v>
      </c>
      <c r="E80" s="7" t="s">
        <v>134</v>
      </c>
      <c r="F80" s="29">
        <v>43157.0</v>
      </c>
      <c r="H80" s="19" t="s">
        <v>119</v>
      </c>
      <c r="I80" s="12"/>
      <c r="J80" s="12">
        <v>599.0</v>
      </c>
      <c r="K80" s="20">
        <f t="shared" si="10"/>
        <v>-599</v>
      </c>
      <c r="L80" s="13"/>
      <c r="M80" s="13"/>
      <c r="N80" s="14">
        <f t="shared" si="4"/>
        <v>141994</v>
      </c>
      <c r="O80" s="6" t="s">
        <v>117</v>
      </c>
      <c r="P80" s="14"/>
      <c r="Q80" s="22">
        <f>55076+5374+8550</f>
        <v>69000</v>
      </c>
      <c r="R80" s="22">
        <f>53999-J80</f>
        <v>53400</v>
      </c>
      <c r="S80" s="15">
        <f>21335+15000</f>
        <v>36335</v>
      </c>
      <c r="T80" s="15">
        <v>8400.0</v>
      </c>
      <c r="U80" s="15"/>
      <c r="V80" s="14">
        <f t="shared" si="3"/>
        <v>25141</v>
      </c>
      <c r="W80" s="7" t="s">
        <v>135</v>
      </c>
      <c r="X80" s="16">
        <v>43155.0</v>
      </c>
      <c r="Y80" s="16"/>
      <c r="Z80" s="16">
        <v>43155.0</v>
      </c>
    </row>
    <row r="81" hidden="1">
      <c r="A81" s="6" t="str">
        <f t="shared" si="1"/>
        <v>2018_Hamerák-akce_Výbor večeře</v>
      </c>
      <c r="B81" s="23" t="s">
        <v>37</v>
      </c>
      <c r="C81" s="24" t="s">
        <v>136</v>
      </c>
      <c r="D81" s="7" t="str">
        <f>VLOOKUP(A81,'Rozpočet 2018'!J:J,1,FALSE)</f>
        <v>2018_Hamerák-akce_Výbor večeře</v>
      </c>
      <c r="E81" s="7" t="s">
        <v>137</v>
      </c>
      <c r="F81" s="29">
        <v>43169.0</v>
      </c>
      <c r="H81" s="19" t="s">
        <v>119</v>
      </c>
      <c r="I81" s="12"/>
      <c r="J81" s="12">
        <v>3000.0</v>
      </c>
      <c r="K81" s="20">
        <f t="shared" si="10"/>
        <v>-3000</v>
      </c>
      <c r="L81" s="13"/>
      <c r="M81" s="13"/>
      <c r="N81" s="14">
        <f t="shared" si="4"/>
        <v>138994</v>
      </c>
      <c r="O81" s="6" t="s">
        <v>117</v>
      </c>
      <c r="P81" s="14"/>
      <c r="Q81" s="15"/>
      <c r="R81" s="15"/>
      <c r="S81" s="15"/>
      <c r="T81" s="15"/>
      <c r="U81" s="15"/>
      <c r="V81" s="14" t="str">
        <f t="shared" si="3"/>
        <v/>
      </c>
      <c r="X81" s="16"/>
      <c r="Y81" s="16"/>
      <c r="Z81" s="16"/>
    </row>
    <row r="82" hidden="1">
      <c r="A82" s="6" t="str">
        <f t="shared" si="1"/>
        <v>2018_Převody_převod</v>
      </c>
      <c r="B82" s="7" t="s">
        <v>27</v>
      </c>
      <c r="C82" s="7" t="s">
        <v>44</v>
      </c>
      <c r="D82" s="7" t="str">
        <f>VLOOKUP(A82,'Rozpočet 2018'!J:J,1,FALSE)</f>
        <v>2018_Převody_převod</v>
      </c>
      <c r="E82" s="7" t="s">
        <v>138</v>
      </c>
      <c r="F82" s="8">
        <v>43187.0</v>
      </c>
      <c r="H82" s="19" t="s">
        <v>131</v>
      </c>
      <c r="I82" s="12"/>
      <c r="J82" s="12"/>
      <c r="K82" s="20">
        <f t="shared" si="10"/>
        <v>0</v>
      </c>
      <c r="L82" s="13"/>
      <c r="M82" s="13">
        <v>200.0</v>
      </c>
      <c r="N82" s="14">
        <f t="shared" si="4"/>
        <v>138994</v>
      </c>
      <c r="O82" s="6" t="s">
        <v>117</v>
      </c>
      <c r="P82" s="14"/>
      <c r="Q82" s="15"/>
      <c r="R82" s="15"/>
      <c r="S82" s="15"/>
      <c r="T82" s="15"/>
      <c r="U82" s="15"/>
      <c r="V82" s="14" t="str">
        <f t="shared" si="3"/>
        <v/>
      </c>
      <c r="X82" s="16"/>
      <c r="Y82" s="16"/>
      <c r="Z82" s="16"/>
    </row>
    <row r="83" hidden="1">
      <c r="A83" s="6" t="str">
        <f t="shared" si="1"/>
        <v>2018_Běžný provoz_Příspěvky ČSK</v>
      </c>
      <c r="B83" s="17" t="s">
        <v>32</v>
      </c>
      <c r="C83" s="21" t="s">
        <v>33</v>
      </c>
      <c r="D83" s="7" t="str">
        <f>VLOOKUP(A83,'Rozpočet 2018'!J:J,1,FALSE)</f>
        <v>2018_Běžný provoz_Příspěvky ČSK</v>
      </c>
      <c r="E83" s="7" t="s">
        <v>139</v>
      </c>
      <c r="F83" s="29">
        <v>43188.0</v>
      </c>
      <c r="H83" s="19" t="s">
        <v>119</v>
      </c>
      <c r="I83" s="12"/>
      <c r="J83" s="12">
        <v>1520.0</v>
      </c>
      <c r="K83" s="20">
        <f t="shared" si="10"/>
        <v>-1520</v>
      </c>
      <c r="L83" s="13"/>
      <c r="M83" s="13"/>
      <c r="N83" s="14">
        <f t="shared" si="4"/>
        <v>137474</v>
      </c>
      <c r="O83" s="6" t="s">
        <v>117</v>
      </c>
      <c r="P83" s="14"/>
      <c r="Q83" s="15"/>
      <c r="R83" s="15"/>
      <c r="S83" s="15"/>
      <c r="T83" s="15"/>
      <c r="U83" s="15"/>
      <c r="V83" s="14" t="str">
        <f t="shared" si="3"/>
        <v/>
      </c>
      <c r="X83" s="16"/>
      <c r="Y83" s="16"/>
      <c r="Z83" s="16"/>
    </row>
    <row r="84" hidden="1">
      <c r="A84" s="6" t="str">
        <f t="shared" si="1"/>
        <v>2018_Převody_převod</v>
      </c>
      <c r="B84" s="7" t="s">
        <v>27</v>
      </c>
      <c r="C84" s="7" t="s">
        <v>44</v>
      </c>
      <c r="D84" s="7" t="str">
        <f>VLOOKUP(A84,'Rozpočet 2018'!J:J,1,FALSE)</f>
        <v>2018_Převody_převod</v>
      </c>
      <c r="E84" s="7" t="s">
        <v>56</v>
      </c>
      <c r="F84" s="29">
        <v>43194.0</v>
      </c>
      <c r="H84" s="19" t="s">
        <v>131</v>
      </c>
      <c r="I84" s="12"/>
      <c r="J84" s="12"/>
      <c r="K84" s="20">
        <f t="shared" si="10"/>
        <v>0</v>
      </c>
      <c r="L84" s="13"/>
      <c r="M84" s="13">
        <v>10000.0</v>
      </c>
      <c r="N84" s="14">
        <f t="shared" si="4"/>
        <v>137474</v>
      </c>
      <c r="O84" s="6" t="s">
        <v>117</v>
      </c>
      <c r="P84" s="14"/>
      <c r="Q84" s="15"/>
      <c r="R84" s="15"/>
      <c r="S84" s="15"/>
      <c r="T84" s="15"/>
      <c r="U84" s="15"/>
      <c r="V84" s="14" t="str">
        <f t="shared" si="3"/>
        <v/>
      </c>
      <c r="X84" s="16"/>
      <c r="Y84" s="16"/>
      <c r="Z84" s="16"/>
    </row>
    <row r="85" hidden="1">
      <c r="A85" s="6" t="str">
        <f t="shared" si="1"/>
        <v>2018_Podpora činnosti_Příjmy ostatní</v>
      </c>
      <c r="B85" s="28" t="s">
        <v>61</v>
      </c>
      <c r="C85" s="25" t="s">
        <v>140</v>
      </c>
      <c r="D85" s="7" t="str">
        <f>VLOOKUP(A85,'Rozpočet 2018'!J:J,1,FALSE)</f>
        <v>2018_Podpora činnosti_Příjmy ostatní</v>
      </c>
      <c r="E85" s="7" t="s">
        <v>141</v>
      </c>
      <c r="F85" s="29">
        <v>43201.0</v>
      </c>
      <c r="H85" s="19" t="s">
        <v>119</v>
      </c>
      <c r="I85" s="12">
        <v>250.0</v>
      </c>
      <c r="J85" s="12"/>
      <c r="K85" s="20">
        <f t="shared" si="10"/>
        <v>250</v>
      </c>
      <c r="L85" s="13"/>
      <c r="M85" s="13"/>
      <c r="N85" s="14">
        <f t="shared" si="4"/>
        <v>137724</v>
      </c>
      <c r="O85" s="6" t="s">
        <v>117</v>
      </c>
      <c r="P85" s="14"/>
      <c r="Q85" s="15"/>
      <c r="R85" s="15"/>
      <c r="S85" s="15"/>
      <c r="T85" s="15"/>
      <c r="U85" s="15"/>
      <c r="V85" s="14" t="str">
        <f t="shared" si="3"/>
        <v/>
      </c>
      <c r="X85" s="16"/>
    </row>
    <row r="86" hidden="1">
      <c r="A86" s="6" t="str">
        <f t="shared" si="1"/>
        <v>2018_Běžný provoz_Příspěvky</v>
      </c>
      <c r="B86" s="17" t="s">
        <v>32</v>
      </c>
      <c r="C86" s="21" t="s">
        <v>34</v>
      </c>
      <c r="D86" s="7" t="str">
        <f>VLOOKUP(A86,'Rozpočet 2018'!J:J,1,FALSE)</f>
        <v>2018_Běžný provoz_Příspěvky</v>
      </c>
      <c r="E86" s="7" t="s">
        <v>142</v>
      </c>
      <c r="F86" s="29">
        <v>43207.0</v>
      </c>
      <c r="H86" s="19" t="s">
        <v>119</v>
      </c>
      <c r="I86" s="12">
        <v>200.0</v>
      </c>
      <c r="J86" s="12"/>
      <c r="K86" s="20">
        <f t="shared" si="10"/>
        <v>200</v>
      </c>
      <c r="L86" s="13"/>
      <c r="M86" s="13"/>
      <c r="N86" s="14">
        <f t="shared" si="4"/>
        <v>137924</v>
      </c>
      <c r="O86" s="6" t="s">
        <v>117</v>
      </c>
      <c r="P86" s="14"/>
      <c r="Q86" s="15"/>
      <c r="R86" s="15"/>
      <c r="S86" s="15"/>
      <c r="T86" s="15"/>
      <c r="U86" s="15"/>
      <c r="V86" s="14" t="str">
        <f t="shared" si="3"/>
        <v/>
      </c>
      <c r="X86" s="16"/>
    </row>
    <row r="87" hidden="1">
      <c r="A87" s="6" t="str">
        <f t="shared" si="1"/>
        <v>2018_Podpora činnosti_Podpora ČPV</v>
      </c>
      <c r="B87" s="28" t="s">
        <v>61</v>
      </c>
      <c r="C87" s="25" t="s">
        <v>143</v>
      </c>
      <c r="D87" s="7" t="str">
        <f>VLOOKUP(A87,'Rozpočet 2018'!J:J,1,FALSE)</f>
        <v>2018_Podpora činnosti_Podpora ČPV</v>
      </c>
      <c r="E87" s="7" t="s">
        <v>144</v>
      </c>
      <c r="F87" s="29">
        <v>43207.0</v>
      </c>
      <c r="H87" s="19" t="s">
        <v>119</v>
      </c>
      <c r="I87" s="12"/>
      <c r="J87" s="12">
        <v>2500.0</v>
      </c>
      <c r="K87" s="20">
        <f t="shared" si="10"/>
        <v>-2500</v>
      </c>
      <c r="L87" s="13"/>
      <c r="M87" s="13"/>
      <c r="N87" s="14">
        <f t="shared" si="4"/>
        <v>135424</v>
      </c>
      <c r="O87" s="6" t="s">
        <v>117</v>
      </c>
      <c r="P87" s="14"/>
      <c r="Q87" s="15"/>
      <c r="R87" s="15"/>
      <c r="S87" s="15"/>
      <c r="T87" s="15"/>
      <c r="U87" s="15"/>
      <c r="V87" s="14" t="str">
        <f t="shared" si="3"/>
        <v/>
      </c>
      <c r="X87" s="16"/>
    </row>
    <row r="88" hidden="1">
      <c r="A88" s="6" t="str">
        <f t="shared" si="1"/>
        <v>2018_Běžný provoz_Příspěvky</v>
      </c>
      <c r="B88" s="17" t="s">
        <v>32</v>
      </c>
      <c r="C88" s="21" t="s">
        <v>34</v>
      </c>
      <c r="D88" s="7" t="str">
        <f>VLOOKUP(A88,'Rozpočet 2018'!J:J,1,FALSE)</f>
        <v>2018_Běžný provoz_Příspěvky</v>
      </c>
      <c r="E88" s="7" t="s">
        <v>145</v>
      </c>
      <c r="F88" s="29">
        <v>43220.0</v>
      </c>
      <c r="H88" s="19" t="s">
        <v>125</v>
      </c>
      <c r="I88" s="12">
        <v>33900.0</v>
      </c>
      <c r="J88" s="12"/>
      <c r="K88" s="20">
        <f t="shared" si="10"/>
        <v>33900</v>
      </c>
      <c r="L88" s="13"/>
      <c r="M88" s="13"/>
      <c r="N88" s="14">
        <f t="shared" si="4"/>
        <v>169324</v>
      </c>
      <c r="O88" s="6" t="s">
        <v>117</v>
      </c>
      <c r="P88" s="14"/>
      <c r="Q88" s="15"/>
      <c r="R88" s="15"/>
      <c r="S88" s="15"/>
      <c r="T88" s="15"/>
      <c r="U88" s="15"/>
      <c r="V88" s="14" t="str">
        <f t="shared" si="3"/>
        <v/>
      </c>
      <c r="X88" s="16"/>
      <c r="Y88" s="16"/>
      <c r="Z88" s="16"/>
    </row>
    <row r="89" hidden="1">
      <c r="A89" s="6" t="str">
        <f t="shared" si="1"/>
        <v>2018_Běžný provoz_Interní nájmy</v>
      </c>
      <c r="B89" s="17" t="s">
        <v>32</v>
      </c>
      <c r="C89" s="27" t="s">
        <v>49</v>
      </c>
      <c r="D89" s="7" t="str">
        <f>VLOOKUP(A89,'Rozpočet 2018'!J:J,1,FALSE)</f>
        <v>2018_Běžný provoz_Interní nájmy</v>
      </c>
      <c r="E89" s="7" t="s">
        <v>50</v>
      </c>
      <c r="F89" s="29">
        <v>43220.0</v>
      </c>
      <c r="H89" s="19" t="s">
        <v>125</v>
      </c>
      <c r="I89" s="12"/>
      <c r="J89" s="12">
        <v>6103.0</v>
      </c>
      <c r="K89" s="20">
        <f t="shared" si="10"/>
        <v>-6103</v>
      </c>
      <c r="L89" s="13"/>
      <c r="M89" s="13"/>
      <c r="N89" s="14">
        <f t="shared" si="4"/>
        <v>163221</v>
      </c>
      <c r="O89" s="6" t="s">
        <v>117</v>
      </c>
      <c r="P89" s="14"/>
      <c r="Q89" s="15"/>
      <c r="R89" s="15"/>
      <c r="S89" s="15"/>
      <c r="T89" s="15"/>
      <c r="U89" s="15"/>
      <c r="V89" s="14" t="str">
        <f t="shared" si="3"/>
        <v/>
      </c>
      <c r="X89" s="16"/>
    </row>
    <row r="90" hidden="1">
      <c r="A90" s="6" t="str">
        <f t="shared" si="1"/>
        <v>2018_Běžný provoz_Interní nájmy</v>
      </c>
      <c r="B90" s="17" t="s">
        <v>32</v>
      </c>
      <c r="C90" s="27" t="s">
        <v>49</v>
      </c>
      <c r="D90" s="7" t="str">
        <f>VLOOKUP(A90,'Rozpočet 2018'!J:J,1,FALSE)</f>
        <v>2018_Běžný provoz_Interní nájmy</v>
      </c>
      <c r="E90" s="7" t="s">
        <v>51</v>
      </c>
      <c r="F90" s="29">
        <v>43220.0</v>
      </c>
      <c r="H90" s="19" t="s">
        <v>125</v>
      </c>
      <c r="I90" s="12"/>
      <c r="J90" s="12">
        <v>7488.0</v>
      </c>
      <c r="K90" s="20">
        <f t="shared" si="10"/>
        <v>-7488</v>
      </c>
      <c r="L90" s="13"/>
      <c r="M90" s="13"/>
      <c r="N90" s="14">
        <f t="shared" si="4"/>
        <v>155733</v>
      </c>
      <c r="O90" s="6" t="s">
        <v>117</v>
      </c>
      <c r="P90" s="14"/>
      <c r="Q90" s="15"/>
      <c r="R90" s="15"/>
      <c r="S90" s="15"/>
      <c r="T90" s="15"/>
      <c r="U90" s="15"/>
      <c r="V90" s="14" t="str">
        <f t="shared" si="3"/>
        <v/>
      </c>
      <c r="X90" s="16"/>
    </row>
    <row r="91" hidden="1">
      <c r="A91" s="6" t="str">
        <f t="shared" si="1"/>
        <v>2018_Běžný provoz_Příspěvky</v>
      </c>
      <c r="B91" s="17" t="s">
        <v>32</v>
      </c>
      <c r="C91" s="21" t="s">
        <v>34</v>
      </c>
      <c r="D91" s="7" t="str">
        <f>VLOOKUP(A91,'Rozpočet 2018'!J:J,1,FALSE)</f>
        <v>2018_Běžný provoz_Příspěvky</v>
      </c>
      <c r="E91" s="7" t="s">
        <v>146</v>
      </c>
      <c r="F91" s="29">
        <v>43222.0</v>
      </c>
      <c r="H91" s="19" t="s">
        <v>125</v>
      </c>
      <c r="I91" s="12">
        <v>1300.0</v>
      </c>
      <c r="J91" s="12"/>
      <c r="K91" s="20">
        <f t="shared" si="10"/>
        <v>1300</v>
      </c>
      <c r="L91" s="13"/>
      <c r="M91" s="13"/>
      <c r="N91" s="14">
        <f t="shared" si="4"/>
        <v>157033</v>
      </c>
      <c r="O91" s="6" t="s">
        <v>117</v>
      </c>
      <c r="P91" s="14"/>
      <c r="Q91" s="15"/>
      <c r="R91" s="15"/>
      <c r="S91" s="15"/>
      <c r="T91" s="15"/>
      <c r="U91" s="15"/>
      <c r="V91" s="14" t="str">
        <f t="shared" si="3"/>
        <v/>
      </c>
      <c r="X91" s="16"/>
    </row>
    <row r="92" hidden="1">
      <c r="A92" s="6" t="str">
        <f t="shared" si="1"/>
        <v>2018_Běžný provoz_Příspěvky</v>
      </c>
      <c r="B92" s="17" t="s">
        <v>32</v>
      </c>
      <c r="C92" s="21" t="s">
        <v>34</v>
      </c>
      <c r="D92" s="7" t="str">
        <f>VLOOKUP(A92,'Rozpočet 2018'!J:J,1,FALSE)</f>
        <v>2018_Běžný provoz_Příspěvky</v>
      </c>
      <c r="E92" s="7" t="s">
        <v>147</v>
      </c>
      <c r="F92" s="29">
        <v>43227.0</v>
      </c>
      <c r="H92" s="19" t="s">
        <v>119</v>
      </c>
      <c r="I92" s="12">
        <v>9750.0</v>
      </c>
      <c r="J92" s="12"/>
      <c r="K92" s="20">
        <f t="shared" si="10"/>
        <v>9750</v>
      </c>
      <c r="L92" s="13"/>
      <c r="M92" s="13"/>
      <c r="N92" s="14">
        <f t="shared" si="4"/>
        <v>166783</v>
      </c>
      <c r="O92" s="6" t="s">
        <v>117</v>
      </c>
      <c r="P92" s="14"/>
      <c r="Q92" s="15"/>
      <c r="R92" s="15"/>
      <c r="S92" s="15"/>
      <c r="T92" s="15"/>
      <c r="U92" s="15"/>
      <c r="V92" s="14" t="str">
        <f t="shared" si="3"/>
        <v/>
      </c>
      <c r="X92" s="16"/>
    </row>
    <row r="93" hidden="1">
      <c r="A93" s="6" t="str">
        <f t="shared" si="1"/>
        <v>2018_Podpora činnosti_Materiál</v>
      </c>
      <c r="B93" s="28" t="s">
        <v>61</v>
      </c>
      <c r="C93" s="7" t="s">
        <v>148</v>
      </c>
      <c r="D93" s="7" t="str">
        <f>VLOOKUP(A93,'Rozpočet 2018'!J:J,1,FALSE)</f>
        <v>2018_Podpora činnosti_Materiál</v>
      </c>
      <c r="E93" s="7" t="s">
        <v>149</v>
      </c>
      <c r="F93" s="29">
        <v>43230.0</v>
      </c>
      <c r="H93" s="19" t="s">
        <v>119</v>
      </c>
      <c r="I93" s="12"/>
      <c r="J93" s="12">
        <v>1048.0</v>
      </c>
      <c r="K93" s="20">
        <f t="shared" si="10"/>
        <v>-1048</v>
      </c>
      <c r="L93" s="13"/>
      <c r="M93" s="13"/>
      <c r="N93" s="14">
        <f t="shared" si="4"/>
        <v>165735</v>
      </c>
      <c r="O93" s="6" t="s">
        <v>117</v>
      </c>
      <c r="P93" s="14"/>
      <c r="Q93" s="15"/>
      <c r="R93" s="15"/>
      <c r="S93" s="15"/>
      <c r="T93" s="15"/>
      <c r="U93" s="15"/>
      <c r="V93" s="14" t="str">
        <f t="shared" si="3"/>
        <v/>
      </c>
      <c r="X93" s="16"/>
      <c r="Y93" s="16"/>
      <c r="Z93" s="16"/>
    </row>
    <row r="94" hidden="1">
      <c r="A94" s="6" t="str">
        <f t="shared" si="1"/>
        <v>2018_Běžný provoz_Příspěvky</v>
      </c>
      <c r="B94" s="17" t="s">
        <v>32</v>
      </c>
      <c r="C94" s="21" t="s">
        <v>34</v>
      </c>
      <c r="D94" s="7" t="str">
        <f>VLOOKUP(A94,'Rozpočet 2018'!J:J,1,FALSE)</f>
        <v>2018_Běžný provoz_Příspěvky</v>
      </c>
      <c r="E94" s="7" t="s">
        <v>150</v>
      </c>
      <c r="F94" s="29">
        <v>43236.0</v>
      </c>
      <c r="H94" s="19" t="s">
        <v>119</v>
      </c>
      <c r="I94" s="12">
        <v>900.0</v>
      </c>
      <c r="J94" s="12"/>
      <c r="K94" s="20">
        <f t="shared" si="10"/>
        <v>900</v>
      </c>
      <c r="L94" s="13"/>
      <c r="M94" s="13"/>
      <c r="N94" s="14">
        <f t="shared" si="4"/>
        <v>166635</v>
      </c>
      <c r="O94" s="6" t="s">
        <v>117</v>
      </c>
      <c r="P94" s="14"/>
      <c r="Q94" s="15"/>
      <c r="R94" s="15"/>
      <c r="S94" s="15"/>
      <c r="T94" s="15"/>
      <c r="U94" s="15"/>
      <c r="V94" s="14" t="str">
        <f t="shared" si="3"/>
        <v/>
      </c>
      <c r="X94" s="16"/>
    </row>
    <row r="95" hidden="1">
      <c r="A95" s="6" t="str">
        <f t="shared" si="1"/>
        <v>2018_Podpora činnosti_Oddílová soutěž</v>
      </c>
      <c r="B95" s="28" t="s">
        <v>61</v>
      </c>
      <c r="C95" s="25" t="s">
        <v>42</v>
      </c>
      <c r="D95" s="7" t="str">
        <f>VLOOKUP(A95,'Rozpočet 2018'!J:J,1,FALSE)</f>
        <v>2018_Podpora činnosti_Oddílová soutěž</v>
      </c>
      <c r="E95" s="7" t="s">
        <v>151</v>
      </c>
      <c r="F95" s="29">
        <v>43237.0</v>
      </c>
      <c r="H95" s="19" t="s">
        <v>119</v>
      </c>
      <c r="I95" s="12"/>
      <c r="J95" s="12">
        <v>600.0</v>
      </c>
      <c r="K95" s="20">
        <f t="shared" si="10"/>
        <v>-600</v>
      </c>
      <c r="L95" s="13"/>
      <c r="M95" s="13"/>
      <c r="N95" s="14">
        <f t="shared" si="4"/>
        <v>166035</v>
      </c>
      <c r="O95" s="6" t="s">
        <v>117</v>
      </c>
      <c r="P95" s="14"/>
      <c r="Q95" s="15"/>
      <c r="R95" s="15"/>
      <c r="S95" s="15"/>
      <c r="T95" s="15"/>
      <c r="U95" s="15"/>
      <c r="V95" s="14" t="str">
        <f t="shared" si="3"/>
        <v/>
      </c>
      <c r="X95" s="16"/>
    </row>
    <row r="96" hidden="1">
      <c r="A96" s="6" t="str">
        <f t="shared" si="1"/>
        <v>2018_Podpora činnosti_Oddílová soutěž</v>
      </c>
      <c r="B96" s="28" t="s">
        <v>61</v>
      </c>
      <c r="C96" s="25" t="s">
        <v>42</v>
      </c>
      <c r="D96" s="7" t="str">
        <f>VLOOKUP(A96,'Rozpočet 2018'!J:J,1,FALSE)</f>
        <v>2018_Podpora činnosti_Oddílová soutěž</v>
      </c>
      <c r="E96" s="7" t="s">
        <v>152</v>
      </c>
      <c r="F96" s="29">
        <v>43237.0</v>
      </c>
      <c r="H96" s="19" t="s">
        <v>119</v>
      </c>
      <c r="I96" s="12"/>
      <c r="J96" s="12">
        <v>800.0</v>
      </c>
      <c r="K96" s="20">
        <f t="shared" si="10"/>
        <v>-800</v>
      </c>
      <c r="L96" s="13"/>
      <c r="M96" s="13"/>
      <c r="N96" s="14">
        <f t="shared" si="4"/>
        <v>165235</v>
      </c>
      <c r="O96" s="6" t="s">
        <v>117</v>
      </c>
      <c r="P96" s="14"/>
      <c r="Q96" s="15"/>
      <c r="R96" s="15"/>
      <c r="S96" s="2" t="s">
        <v>120</v>
      </c>
      <c r="T96" s="2" t="s">
        <v>19</v>
      </c>
      <c r="U96" s="15"/>
      <c r="V96" s="14" t="str">
        <f t="shared" si="3"/>
        <v/>
      </c>
      <c r="X96" s="16"/>
    </row>
    <row r="97" hidden="1">
      <c r="A97" s="6" t="str">
        <f t="shared" si="1"/>
        <v>2018_Podpora činnosti_Podpora zahraniční zájezd</v>
      </c>
      <c r="B97" s="28" t="s">
        <v>61</v>
      </c>
      <c r="C97" s="25" t="s">
        <v>153</v>
      </c>
      <c r="D97" s="7" t="str">
        <f>VLOOKUP(A97,'Rozpočet 2018'!J:J,1,FALSE)</f>
        <v>2018_Podpora činnosti_Podpora zahraniční zájezd</v>
      </c>
      <c r="E97" s="7" t="s">
        <v>154</v>
      </c>
      <c r="F97" s="29">
        <v>43242.0</v>
      </c>
      <c r="H97" s="19" t="s">
        <v>119</v>
      </c>
      <c r="I97" s="12"/>
      <c r="J97" s="12">
        <v>4000.0</v>
      </c>
      <c r="K97" s="20">
        <f t="shared" si="10"/>
        <v>-4000</v>
      </c>
      <c r="L97" s="13"/>
      <c r="M97" s="13"/>
      <c r="N97" s="14">
        <f t="shared" si="4"/>
        <v>161235</v>
      </c>
      <c r="O97" s="6" t="s">
        <v>117</v>
      </c>
      <c r="P97" s="14"/>
      <c r="Q97" s="15"/>
      <c r="R97" s="15"/>
      <c r="S97" s="2" t="s">
        <v>126</v>
      </c>
      <c r="T97" s="2" t="s">
        <v>127</v>
      </c>
      <c r="U97" s="15"/>
      <c r="V97" s="14" t="str">
        <f t="shared" si="3"/>
        <v/>
      </c>
      <c r="X97" s="16"/>
    </row>
    <row r="98" hidden="1">
      <c r="A98" s="6" t="str">
        <f t="shared" si="1"/>
        <v>2018_Běžný provoz_Příspěvky</v>
      </c>
      <c r="B98" s="17" t="s">
        <v>32</v>
      </c>
      <c r="C98" s="21" t="s">
        <v>34</v>
      </c>
      <c r="D98" s="7" t="str">
        <f>VLOOKUP(A98,'Rozpočet 2018'!J:J,1,FALSE)</f>
        <v>2018_Běžný provoz_Příspěvky</v>
      </c>
      <c r="E98" s="7" t="s">
        <v>155</v>
      </c>
      <c r="F98" s="29">
        <v>43244.0</v>
      </c>
      <c r="H98" s="19" t="s">
        <v>119</v>
      </c>
      <c r="I98" s="12">
        <v>250.0</v>
      </c>
      <c r="J98" s="12"/>
      <c r="K98" s="20">
        <f t="shared" si="10"/>
        <v>250</v>
      </c>
      <c r="L98" s="13"/>
      <c r="M98" s="13"/>
      <c r="N98" s="14">
        <f t="shared" si="4"/>
        <v>161485</v>
      </c>
      <c r="O98" s="6" t="s">
        <v>117</v>
      </c>
      <c r="P98" s="14"/>
      <c r="Q98" s="15">
        <f>67368+1300</f>
        <v>68668</v>
      </c>
      <c r="R98" s="15">
        <v>61082.0</v>
      </c>
      <c r="S98" s="15">
        <f>1335+25000</f>
        <v>26335</v>
      </c>
      <c r="T98" s="15">
        <v>8400.0</v>
      </c>
      <c r="U98" s="15"/>
      <c r="V98" s="14">
        <f t="shared" si="3"/>
        <v>3000</v>
      </c>
      <c r="W98" s="7" t="s">
        <v>55</v>
      </c>
      <c r="X98" s="16">
        <v>43244.0</v>
      </c>
      <c r="Y98" s="16"/>
      <c r="Z98" s="16"/>
    </row>
    <row r="99" hidden="1">
      <c r="A99" s="6" t="str">
        <f t="shared" si="1"/>
        <v>2018_Podpora činnosti_Oddílový den</v>
      </c>
      <c r="B99" s="28" t="s">
        <v>61</v>
      </c>
      <c r="C99" s="25" t="s">
        <v>64</v>
      </c>
      <c r="D99" s="7" t="str">
        <f>VLOOKUP(A99,'Rozpočet 2018'!J:J,1,FALSE)</f>
        <v>2018_Podpora činnosti_Oddílový den</v>
      </c>
      <c r="E99" s="7" t="s">
        <v>65</v>
      </c>
      <c r="F99" s="8">
        <v>43253.0</v>
      </c>
      <c r="H99" s="19" t="s">
        <v>156</v>
      </c>
      <c r="I99" s="12"/>
      <c r="J99" s="12">
        <v>3000.0</v>
      </c>
      <c r="K99" s="20">
        <f t="shared" si="10"/>
        <v>-3000</v>
      </c>
      <c r="L99" s="13"/>
      <c r="M99" s="13"/>
      <c r="N99" s="14">
        <f t="shared" si="4"/>
        <v>158485</v>
      </c>
      <c r="O99" s="6" t="s">
        <v>117</v>
      </c>
      <c r="P99" s="14"/>
      <c r="Q99" s="15"/>
      <c r="R99" s="15"/>
      <c r="S99" s="15"/>
      <c r="T99" s="15"/>
      <c r="U99" s="15"/>
      <c r="V99" s="14" t="str">
        <f t="shared" si="3"/>
        <v/>
      </c>
      <c r="X99" s="16"/>
    </row>
    <row r="100" hidden="1">
      <c r="A100" s="6" t="str">
        <f t="shared" si="1"/>
        <v>2018_Běžný provoz_Údržba vleků</v>
      </c>
      <c r="B100" s="17" t="s">
        <v>32</v>
      </c>
      <c r="C100" s="7" t="s">
        <v>71</v>
      </c>
      <c r="D100" s="7" t="str">
        <f>VLOOKUP(A100,'Rozpočet 2018'!J:J,1,FALSE)</f>
        <v>2018_Běžný provoz_Údržba vleků</v>
      </c>
      <c r="E100" s="7" t="s">
        <v>157</v>
      </c>
      <c r="F100" s="8">
        <v>43253.0</v>
      </c>
      <c r="H100" s="19" t="s">
        <v>156</v>
      </c>
      <c r="I100" s="12"/>
      <c r="J100" s="12">
        <v>400.0</v>
      </c>
      <c r="K100" s="20">
        <f t="shared" si="10"/>
        <v>-400</v>
      </c>
      <c r="L100" s="13"/>
      <c r="M100" s="13"/>
      <c r="N100" s="14">
        <f t="shared" si="4"/>
        <v>158085</v>
      </c>
      <c r="O100" s="6" t="s">
        <v>117</v>
      </c>
      <c r="P100" s="14"/>
      <c r="Q100" s="15"/>
      <c r="R100" s="15"/>
      <c r="S100" s="15"/>
      <c r="T100" s="15"/>
      <c r="U100" s="15"/>
      <c r="V100" s="14" t="str">
        <f t="shared" si="3"/>
        <v/>
      </c>
      <c r="X100" s="16"/>
    </row>
    <row r="101" hidden="1">
      <c r="A101" s="6" t="str">
        <f t="shared" si="1"/>
        <v>2018_Hamerák-akce_Náklady příprava</v>
      </c>
      <c r="B101" s="23" t="s">
        <v>37</v>
      </c>
      <c r="C101" s="24" t="s">
        <v>158</v>
      </c>
      <c r="D101" s="7" t="str">
        <f>VLOOKUP(A101,'Rozpočet 2018'!J:J,1,FALSE)</f>
        <v>2018_Hamerák-akce_Náklady příprava</v>
      </c>
      <c r="E101" s="7" t="s">
        <v>159</v>
      </c>
      <c r="F101" s="8">
        <v>43253.0</v>
      </c>
      <c r="H101" s="19" t="s">
        <v>156</v>
      </c>
      <c r="I101" s="12"/>
      <c r="J101" s="12">
        <v>900.0</v>
      </c>
      <c r="K101" s="20">
        <f t="shared" si="10"/>
        <v>-900</v>
      </c>
      <c r="L101" s="13"/>
      <c r="M101" s="13"/>
      <c r="N101" s="14">
        <f t="shared" si="4"/>
        <v>157185</v>
      </c>
      <c r="O101" s="6" t="s">
        <v>117</v>
      </c>
      <c r="P101" s="14"/>
      <c r="Q101" s="15"/>
      <c r="R101" s="15"/>
      <c r="S101" s="15"/>
      <c r="T101" s="15"/>
      <c r="U101" s="15"/>
      <c r="V101" s="14" t="str">
        <f t="shared" si="3"/>
        <v/>
      </c>
      <c r="X101" s="16"/>
    </row>
    <row r="102" hidden="1">
      <c r="A102" s="6" t="str">
        <f t="shared" si="1"/>
        <v>2018_Běžný provoz_Údržba vleků</v>
      </c>
      <c r="B102" s="17" t="s">
        <v>32</v>
      </c>
      <c r="C102" s="7" t="s">
        <v>71</v>
      </c>
      <c r="D102" s="7" t="str">
        <f>VLOOKUP(A102,'Rozpočet 2018'!J:J,1,FALSE)</f>
        <v>2018_Běžný provoz_Údržba vleků</v>
      </c>
      <c r="E102" s="7" t="s">
        <v>160</v>
      </c>
      <c r="F102" s="8">
        <v>43258.0</v>
      </c>
      <c r="H102" s="19" t="s">
        <v>119</v>
      </c>
      <c r="I102" s="12"/>
      <c r="J102" s="12">
        <v>1800.0</v>
      </c>
      <c r="K102" s="20">
        <f t="shared" si="10"/>
        <v>-1800</v>
      </c>
      <c r="L102" s="13"/>
      <c r="M102" s="13"/>
      <c r="N102" s="14">
        <f t="shared" si="4"/>
        <v>155385</v>
      </c>
      <c r="O102" s="6" t="s">
        <v>117</v>
      </c>
      <c r="P102" s="14"/>
      <c r="Q102" s="15">
        <f>67368+1300</f>
        <v>68668</v>
      </c>
      <c r="R102" s="15">
        <f>19282</f>
        <v>19282</v>
      </c>
      <c r="S102" s="15">
        <f>2035+60000</f>
        <v>62035</v>
      </c>
      <c r="T102" s="15">
        <v>8400.0</v>
      </c>
      <c r="U102" s="15"/>
      <c r="V102" s="14">
        <f t="shared" si="3"/>
        <v>3000</v>
      </c>
      <c r="W102" s="7" t="s">
        <v>55</v>
      </c>
      <c r="X102" s="16">
        <v>43258.0</v>
      </c>
    </row>
    <row r="103" hidden="1">
      <c r="A103" s="6" t="str">
        <f t="shared" si="1"/>
        <v>2018_Běžný provoz_Příspěvky</v>
      </c>
      <c r="B103" s="17" t="s">
        <v>32</v>
      </c>
      <c r="C103" s="21" t="s">
        <v>34</v>
      </c>
      <c r="D103" s="7" t="str">
        <f>VLOOKUP(A103,'Rozpočet 2018'!J:J,1,FALSE)</f>
        <v>2018_Běžný provoz_Příspěvky</v>
      </c>
      <c r="E103" s="7" t="s">
        <v>161</v>
      </c>
      <c r="F103" s="29">
        <v>43264.0</v>
      </c>
      <c r="H103" s="19" t="s">
        <v>119</v>
      </c>
      <c r="I103" s="12">
        <v>1600.0</v>
      </c>
      <c r="J103" s="12"/>
      <c r="K103" s="20">
        <f t="shared" si="10"/>
        <v>1600</v>
      </c>
      <c r="L103" s="13"/>
      <c r="M103" s="13"/>
      <c r="N103" s="14">
        <f t="shared" si="4"/>
        <v>156985</v>
      </c>
      <c r="O103" s="6" t="s">
        <v>117</v>
      </c>
      <c r="P103" s="14"/>
      <c r="Q103" s="15"/>
      <c r="R103" s="15"/>
      <c r="S103" s="15"/>
      <c r="T103" s="15"/>
      <c r="U103" s="15"/>
      <c r="V103" s="14" t="str">
        <f t="shared" si="3"/>
        <v/>
      </c>
      <c r="X103" s="16"/>
    </row>
    <row r="104" hidden="1">
      <c r="A104" s="6" t="str">
        <f t="shared" si="1"/>
        <v>2018_Podpora činnosti_Podpora ČPV</v>
      </c>
      <c r="B104" s="28" t="s">
        <v>61</v>
      </c>
      <c r="C104" s="25" t="s">
        <v>143</v>
      </c>
      <c r="D104" s="7" t="str">
        <f>VLOOKUP(A104,'Rozpočet 2018'!J:J,1,FALSE)</f>
        <v>2018_Podpora činnosti_Podpora ČPV</v>
      </c>
      <c r="E104" s="7" t="s">
        <v>162</v>
      </c>
      <c r="F104" s="8">
        <v>43269.0</v>
      </c>
      <c r="H104" s="19" t="s">
        <v>125</v>
      </c>
      <c r="I104" s="12"/>
      <c r="J104" s="12">
        <v>2400.0</v>
      </c>
      <c r="K104" s="20">
        <f t="shared" si="10"/>
        <v>-2400</v>
      </c>
      <c r="L104" s="13"/>
      <c r="M104" s="13"/>
      <c r="N104" s="14">
        <f t="shared" si="4"/>
        <v>154585</v>
      </c>
      <c r="O104" s="6" t="s">
        <v>117</v>
      </c>
      <c r="P104" s="14"/>
      <c r="Q104" s="15"/>
      <c r="R104" s="15"/>
      <c r="S104" s="15"/>
      <c r="T104" s="15"/>
      <c r="U104" s="15"/>
      <c r="V104" s="14" t="str">
        <f t="shared" si="3"/>
        <v/>
      </c>
      <c r="X104" s="16"/>
    </row>
    <row r="105" hidden="1">
      <c r="A105" s="6" t="str">
        <f t="shared" si="1"/>
        <v>2018_Hamerák-akce_Náklady příprava</v>
      </c>
      <c r="B105" s="23" t="s">
        <v>37</v>
      </c>
      <c r="C105" s="24" t="s">
        <v>158</v>
      </c>
      <c r="D105" s="7" t="str">
        <f>VLOOKUP(A105,'Rozpočet 2018'!J:J,1,FALSE)</f>
        <v>2018_Hamerák-akce_Náklady příprava</v>
      </c>
      <c r="E105" s="7" t="s">
        <v>163</v>
      </c>
      <c r="F105" s="8">
        <v>43290.0</v>
      </c>
      <c r="H105" s="19" t="s">
        <v>119</v>
      </c>
      <c r="I105" s="12"/>
      <c r="J105" s="12">
        <v>384.0</v>
      </c>
      <c r="K105" s="20">
        <f t="shared" si="10"/>
        <v>-384</v>
      </c>
      <c r="L105" s="13"/>
      <c r="M105" s="13"/>
      <c r="N105" s="14">
        <f t="shared" si="4"/>
        <v>154201</v>
      </c>
      <c r="O105" s="6" t="s">
        <v>117</v>
      </c>
      <c r="P105" s="14"/>
      <c r="Q105" s="15">
        <f>67368+1300-J104</f>
        <v>66268</v>
      </c>
      <c r="R105" s="15">
        <v>20498.0</v>
      </c>
      <c r="S105" s="15">
        <f>12035+50000</f>
        <v>62035</v>
      </c>
      <c r="T105" s="15">
        <v>8400.0</v>
      </c>
      <c r="U105" s="15"/>
      <c r="V105" s="14">
        <f t="shared" si="3"/>
        <v>3000</v>
      </c>
      <c r="X105" s="16"/>
    </row>
    <row r="106" hidden="1">
      <c r="A106" s="6" t="str">
        <f t="shared" si="1"/>
        <v>2018_Běžný provoz_Interní nájmy</v>
      </c>
      <c r="B106" s="17" t="s">
        <v>32</v>
      </c>
      <c r="C106" s="27" t="s">
        <v>49</v>
      </c>
      <c r="D106" s="7" t="str">
        <f>VLOOKUP(A106,'Rozpočet 2018'!J:J,1,FALSE)</f>
        <v>2018_Běžný provoz_Interní nájmy</v>
      </c>
      <c r="E106" s="7" t="s">
        <v>50</v>
      </c>
      <c r="F106" s="8">
        <v>43311.0</v>
      </c>
      <c r="H106" s="19" t="s">
        <v>125</v>
      </c>
      <c r="I106" s="12"/>
      <c r="J106" s="12">
        <v>6103.0</v>
      </c>
      <c r="K106" s="20">
        <f t="shared" si="10"/>
        <v>-6103</v>
      </c>
      <c r="L106" s="13"/>
      <c r="M106" s="13"/>
      <c r="N106" s="14">
        <f t="shared" si="4"/>
        <v>148098</v>
      </c>
      <c r="O106" s="6" t="s">
        <v>117</v>
      </c>
      <c r="P106" s="14"/>
      <c r="Q106" s="15"/>
      <c r="R106" s="15"/>
      <c r="S106" s="15"/>
      <c r="T106" s="15"/>
      <c r="U106" s="15"/>
      <c r="V106" s="14" t="str">
        <f t="shared" si="3"/>
        <v/>
      </c>
      <c r="X106" s="16"/>
    </row>
    <row r="107" hidden="1">
      <c r="A107" s="6" t="str">
        <f t="shared" si="1"/>
        <v>2018_Běžný provoz_Interní nájmy</v>
      </c>
      <c r="B107" s="17" t="s">
        <v>32</v>
      </c>
      <c r="C107" s="27" t="s">
        <v>49</v>
      </c>
      <c r="D107" s="7" t="str">
        <f>VLOOKUP(A107,'Rozpočet 2018'!J:J,1,FALSE)</f>
        <v>2018_Běžný provoz_Interní nájmy</v>
      </c>
      <c r="E107" s="7" t="s">
        <v>51</v>
      </c>
      <c r="F107" s="8">
        <v>43311.0</v>
      </c>
      <c r="H107" s="19" t="s">
        <v>125</v>
      </c>
      <c r="I107" s="12"/>
      <c r="J107" s="12">
        <v>7488.0</v>
      </c>
      <c r="K107" s="20">
        <f t="shared" si="10"/>
        <v>-7488</v>
      </c>
      <c r="L107" s="13"/>
      <c r="M107" s="13"/>
      <c r="N107" s="14">
        <f t="shared" si="4"/>
        <v>140610</v>
      </c>
      <c r="O107" s="6" t="s">
        <v>117</v>
      </c>
      <c r="P107" s="14"/>
      <c r="Q107" s="15"/>
      <c r="R107" s="15"/>
      <c r="S107" s="15"/>
      <c r="T107" s="15"/>
      <c r="U107" s="15"/>
      <c r="V107" s="14" t="str">
        <f t="shared" si="3"/>
        <v/>
      </c>
      <c r="X107" s="16"/>
    </row>
    <row r="108" hidden="1">
      <c r="A108" s="6" t="str">
        <f t="shared" si="1"/>
        <v>2018_Běžný provoz_Údržba vleků</v>
      </c>
      <c r="B108" s="17" t="s">
        <v>32</v>
      </c>
      <c r="C108" s="7" t="s">
        <v>71</v>
      </c>
      <c r="D108" s="7" t="str">
        <f>VLOOKUP(A108,'Rozpočet 2018'!J:J,1,FALSE)</f>
        <v>2018_Běžný provoz_Údržba vleků</v>
      </c>
      <c r="E108" s="7" t="s">
        <v>164</v>
      </c>
      <c r="F108" s="8">
        <v>43319.0</v>
      </c>
      <c r="H108" s="19" t="s">
        <v>119</v>
      </c>
      <c r="I108" s="12">
        <v>4500.0</v>
      </c>
      <c r="J108" s="12"/>
      <c r="K108" s="20">
        <f t="shared" si="10"/>
        <v>4500</v>
      </c>
      <c r="L108" s="13"/>
      <c r="M108" s="13"/>
      <c r="N108" s="14">
        <f t="shared" si="4"/>
        <v>145110</v>
      </c>
      <c r="O108" s="6" t="s">
        <v>117</v>
      </c>
      <c r="P108" s="14"/>
      <c r="Q108" s="15"/>
      <c r="R108" s="15"/>
      <c r="S108" s="15"/>
      <c r="T108" s="15"/>
      <c r="U108" s="15"/>
      <c r="V108" s="14" t="str">
        <f t="shared" si="3"/>
        <v/>
      </c>
      <c r="X108" s="16"/>
    </row>
    <row r="109" hidden="1">
      <c r="A109" s="6" t="str">
        <f t="shared" si="1"/>
        <v>2018_Běžný provoz_Výdaje ostatní</v>
      </c>
      <c r="B109" s="17" t="s">
        <v>32</v>
      </c>
      <c r="C109" s="7" t="s">
        <v>165</v>
      </c>
      <c r="D109" s="7" t="str">
        <f>VLOOKUP(A109,'Rozpočet 2018'!J:J,1,FALSE)</f>
        <v>2018_Běžný provoz_Výdaje ostatní</v>
      </c>
      <c r="E109" s="7" t="s">
        <v>166</v>
      </c>
      <c r="F109" s="8">
        <v>43332.0</v>
      </c>
      <c r="H109" s="19" t="s">
        <v>119</v>
      </c>
      <c r="I109" s="12"/>
      <c r="J109" s="12">
        <v>705.0</v>
      </c>
      <c r="K109" s="20">
        <f t="shared" si="10"/>
        <v>-705</v>
      </c>
      <c r="L109" s="13"/>
      <c r="M109" s="13"/>
      <c r="N109" s="14">
        <f t="shared" si="4"/>
        <v>144405</v>
      </c>
      <c r="O109" s="6" t="s">
        <v>117</v>
      </c>
      <c r="P109" s="14"/>
      <c r="Q109" s="15"/>
      <c r="R109" s="15"/>
      <c r="S109" s="15"/>
      <c r="T109" s="15"/>
      <c r="U109" s="15"/>
      <c r="V109" s="14" t="str">
        <f t="shared" si="3"/>
        <v/>
      </c>
      <c r="X109" s="16"/>
    </row>
    <row r="110" hidden="1">
      <c r="A110" s="6" t="str">
        <f t="shared" si="1"/>
        <v>2018_Běžný provoz_Údržba vleků</v>
      </c>
      <c r="B110" s="17" t="s">
        <v>32</v>
      </c>
      <c r="C110" s="7" t="s">
        <v>71</v>
      </c>
      <c r="D110" s="7" t="str">
        <f>VLOOKUP(A110,'Rozpočet 2018'!J:J,1,FALSE)</f>
        <v>2018_Běžný provoz_Údržba vleků</v>
      </c>
      <c r="E110" s="7" t="s">
        <v>167</v>
      </c>
      <c r="F110" s="8">
        <v>43347.0</v>
      </c>
      <c r="H110" s="19" t="s">
        <v>119</v>
      </c>
      <c r="I110" s="12"/>
      <c r="J110" s="12">
        <v>1039.0</v>
      </c>
      <c r="K110" s="20">
        <f t="shared" si="10"/>
        <v>-1039</v>
      </c>
      <c r="L110" s="13"/>
      <c r="M110" s="13"/>
      <c r="N110" s="14">
        <f t="shared" si="4"/>
        <v>143366</v>
      </c>
      <c r="O110" s="6" t="s">
        <v>117</v>
      </c>
      <c r="P110" s="14"/>
      <c r="Q110" s="15"/>
      <c r="R110" s="15"/>
      <c r="S110" s="15"/>
      <c r="T110" s="15"/>
      <c r="U110" s="15"/>
      <c r="V110" s="14" t="str">
        <f t="shared" si="3"/>
        <v/>
      </c>
      <c r="X110" s="16"/>
    </row>
    <row r="111" hidden="1">
      <c r="A111" s="6" t="str">
        <f t="shared" si="1"/>
        <v>2018_Podpora činnosti_Oddílová soutěž</v>
      </c>
      <c r="B111" s="28" t="s">
        <v>61</v>
      </c>
      <c r="C111" s="25" t="s">
        <v>42</v>
      </c>
      <c r="D111" s="7" t="str">
        <f>VLOOKUP(A111,'Rozpočet 2018'!J:J,1,FALSE)</f>
        <v>2018_Podpora činnosti_Oddílová soutěž</v>
      </c>
      <c r="E111" s="7" t="s">
        <v>168</v>
      </c>
      <c r="F111" s="8">
        <v>43349.0</v>
      </c>
      <c r="H111" s="19" t="s">
        <v>119</v>
      </c>
      <c r="I111" s="12"/>
      <c r="J111" s="12">
        <v>1000.0</v>
      </c>
      <c r="K111" s="20">
        <f t="shared" si="10"/>
        <v>-1000</v>
      </c>
      <c r="L111" s="13"/>
      <c r="M111" s="13"/>
      <c r="N111" s="14">
        <f t="shared" si="4"/>
        <v>142366</v>
      </c>
      <c r="O111" s="6" t="s">
        <v>117</v>
      </c>
      <c r="P111" s="14"/>
      <c r="Q111" s="15"/>
      <c r="R111" s="15"/>
      <c r="S111" s="15"/>
      <c r="T111" s="15"/>
      <c r="U111" s="15"/>
      <c r="V111" s="14" t="str">
        <f t="shared" si="3"/>
        <v/>
      </c>
      <c r="X111" s="16"/>
    </row>
    <row r="112" hidden="1">
      <c r="A112" s="6" t="str">
        <f t="shared" si="1"/>
        <v>2018_Běžný provoz_Příspěvky</v>
      </c>
      <c r="B112" s="17" t="s">
        <v>32</v>
      </c>
      <c r="C112" s="21" t="s">
        <v>34</v>
      </c>
      <c r="D112" s="7" t="str">
        <f>VLOOKUP(A112,'Rozpočet 2018'!J:J,1,FALSE)</f>
        <v>2018_Běžný provoz_Příspěvky</v>
      </c>
      <c r="E112" s="7" t="s">
        <v>169</v>
      </c>
      <c r="F112" s="29">
        <v>43374.0</v>
      </c>
      <c r="H112" s="19" t="s">
        <v>119</v>
      </c>
      <c r="I112" s="12">
        <v>300.0</v>
      </c>
      <c r="J112" s="12"/>
      <c r="K112" s="20">
        <f t="shared" si="10"/>
        <v>300</v>
      </c>
      <c r="L112" s="13"/>
      <c r="M112" s="13"/>
      <c r="N112" s="14">
        <f t="shared" si="4"/>
        <v>142666</v>
      </c>
      <c r="O112" s="6" t="s">
        <v>117</v>
      </c>
      <c r="P112" s="14"/>
      <c r="Q112" s="15"/>
      <c r="R112" s="15"/>
      <c r="S112" s="15"/>
      <c r="T112" s="15"/>
      <c r="U112" s="15"/>
      <c r="V112" s="14" t="str">
        <f t="shared" si="3"/>
        <v/>
      </c>
      <c r="X112" s="16"/>
    </row>
    <row r="113" hidden="1">
      <c r="A113" s="6" t="str">
        <f t="shared" si="1"/>
        <v>2018_Podpora činnosti_Příjmy dotace</v>
      </c>
      <c r="B113" s="28" t="s">
        <v>61</v>
      </c>
      <c r="C113" s="7" t="s">
        <v>122</v>
      </c>
      <c r="D113" s="7" t="str">
        <f>VLOOKUP(A113,'Rozpočet 2018'!J:J,1,FALSE)</f>
        <v>2018_Podpora činnosti_Příjmy dotace</v>
      </c>
      <c r="E113" s="7" t="s">
        <v>170</v>
      </c>
      <c r="F113" s="8">
        <v>43384.0</v>
      </c>
      <c r="H113" s="19" t="s">
        <v>119</v>
      </c>
      <c r="I113" s="12">
        <v>3442.0</v>
      </c>
      <c r="J113" s="12"/>
      <c r="K113" s="20">
        <f t="shared" si="10"/>
        <v>3442</v>
      </c>
      <c r="L113" s="13"/>
      <c r="M113" s="13"/>
      <c r="N113" s="14">
        <f t="shared" si="4"/>
        <v>146108</v>
      </c>
      <c r="O113" s="6" t="s">
        <v>117</v>
      </c>
      <c r="P113" s="14"/>
      <c r="Q113" s="15"/>
      <c r="R113" s="15"/>
      <c r="S113" s="15"/>
      <c r="T113" s="15"/>
      <c r="U113" s="15"/>
      <c r="V113" s="14" t="str">
        <f t="shared" si="3"/>
        <v/>
      </c>
      <c r="X113" s="16"/>
    </row>
    <row r="114" hidden="1">
      <c r="A114" s="6" t="str">
        <f t="shared" si="1"/>
        <v>2018_Běžný provoz_Údržba vleků</v>
      </c>
      <c r="B114" s="17" t="s">
        <v>32</v>
      </c>
      <c r="C114" s="7" t="s">
        <v>71</v>
      </c>
      <c r="D114" s="7" t="str">
        <f>VLOOKUP(A114,'Rozpočet 2018'!J:J,1,FALSE)</f>
        <v>2018_Běžný provoz_Údržba vleků</v>
      </c>
      <c r="E114" s="7" t="s">
        <v>171</v>
      </c>
      <c r="F114" s="8">
        <v>43384.0</v>
      </c>
      <c r="H114" s="19" t="s">
        <v>119</v>
      </c>
      <c r="I114" s="12"/>
      <c r="J114" s="12">
        <v>572.0</v>
      </c>
      <c r="K114" s="20">
        <f t="shared" si="10"/>
        <v>-572</v>
      </c>
      <c r="L114" s="13"/>
      <c r="M114" s="13"/>
      <c r="N114" s="14">
        <f t="shared" si="4"/>
        <v>145536</v>
      </c>
      <c r="O114" s="6" t="s">
        <v>117</v>
      </c>
      <c r="P114" s="14"/>
      <c r="Q114" s="15"/>
      <c r="R114" s="15"/>
      <c r="S114" s="15"/>
      <c r="T114" s="15"/>
      <c r="U114" s="15"/>
      <c r="V114" s="14" t="str">
        <f t="shared" si="3"/>
        <v/>
      </c>
      <c r="X114" s="16"/>
    </row>
    <row r="115" hidden="1">
      <c r="A115" s="6" t="str">
        <f t="shared" si="1"/>
        <v>2018_Běžný provoz_Údržba vleků</v>
      </c>
      <c r="B115" s="17" t="s">
        <v>32</v>
      </c>
      <c r="C115" s="7" t="s">
        <v>71</v>
      </c>
      <c r="D115" s="7" t="str">
        <f>VLOOKUP(A115,'Rozpočet 2018'!J:J,1,FALSE)</f>
        <v>2018_Běžný provoz_Údržba vleků</v>
      </c>
      <c r="E115" s="7" t="s">
        <v>172</v>
      </c>
      <c r="F115" s="8">
        <v>43384.0</v>
      </c>
      <c r="H115" s="19" t="s">
        <v>119</v>
      </c>
      <c r="I115" s="12"/>
      <c r="J115" s="12">
        <v>595.0</v>
      </c>
      <c r="K115" s="20">
        <f t="shared" si="10"/>
        <v>-595</v>
      </c>
      <c r="L115" s="13"/>
      <c r="M115" s="13"/>
      <c r="N115" s="14">
        <f t="shared" si="4"/>
        <v>144941</v>
      </c>
      <c r="O115" s="6" t="s">
        <v>117</v>
      </c>
      <c r="P115" s="14"/>
      <c r="Q115" s="15"/>
      <c r="R115" s="15"/>
      <c r="S115" s="15"/>
      <c r="T115" s="15"/>
      <c r="U115" s="15"/>
      <c r="V115" s="14" t="str">
        <f t="shared" si="3"/>
        <v/>
      </c>
      <c r="X115" s="16"/>
    </row>
    <row r="116" hidden="1">
      <c r="A116" s="6" t="str">
        <f t="shared" si="1"/>
        <v>2018_Běžný provoz_Údržba vleků</v>
      </c>
      <c r="B116" s="17" t="s">
        <v>32</v>
      </c>
      <c r="C116" s="7" t="s">
        <v>71</v>
      </c>
      <c r="D116" s="7" t="str">
        <f>VLOOKUP(A116,'Rozpočet 2018'!J:J,1,FALSE)</f>
        <v>2018_Běžný provoz_Údržba vleků</v>
      </c>
      <c r="E116" s="7" t="s">
        <v>173</v>
      </c>
      <c r="F116" s="8">
        <v>43384.0</v>
      </c>
      <c r="H116" s="19" t="s">
        <v>119</v>
      </c>
      <c r="I116" s="12"/>
      <c r="J116" s="12">
        <v>396.0</v>
      </c>
      <c r="K116" s="20">
        <f t="shared" si="10"/>
        <v>-396</v>
      </c>
      <c r="L116" s="13"/>
      <c r="M116" s="13"/>
      <c r="N116" s="14">
        <f t="shared" si="4"/>
        <v>144545</v>
      </c>
      <c r="O116" s="6" t="s">
        <v>117</v>
      </c>
      <c r="P116" s="14"/>
      <c r="Q116" s="15"/>
      <c r="R116" s="15"/>
      <c r="S116" s="15"/>
      <c r="T116" s="15"/>
      <c r="U116" s="15"/>
      <c r="V116" s="14" t="str">
        <f t="shared" si="3"/>
        <v/>
      </c>
      <c r="X116" s="16"/>
    </row>
    <row r="117" hidden="1">
      <c r="A117" s="6" t="str">
        <f t="shared" si="1"/>
        <v>2018_Běžný provoz_Údržba vleků</v>
      </c>
      <c r="B117" s="17" t="s">
        <v>32</v>
      </c>
      <c r="C117" s="7" t="s">
        <v>71</v>
      </c>
      <c r="D117" s="7" t="str">
        <f>VLOOKUP(A117,'Rozpočet 2018'!J:J,1,FALSE)</f>
        <v>2018_Běžný provoz_Údržba vleků</v>
      </c>
      <c r="E117" s="7" t="s">
        <v>174</v>
      </c>
      <c r="F117" s="8">
        <v>43392.0</v>
      </c>
      <c r="H117" s="19" t="s">
        <v>119</v>
      </c>
      <c r="I117" s="12"/>
      <c r="J117" s="12">
        <v>93.0</v>
      </c>
      <c r="K117" s="20">
        <f t="shared" si="10"/>
        <v>-93</v>
      </c>
      <c r="L117" s="13"/>
      <c r="M117" s="13"/>
      <c r="N117" s="14">
        <f t="shared" si="4"/>
        <v>144452</v>
      </c>
      <c r="O117" s="6" t="s">
        <v>117</v>
      </c>
      <c r="P117" s="14"/>
      <c r="Q117" s="15"/>
      <c r="R117" s="15"/>
      <c r="S117" s="15"/>
      <c r="T117" s="15"/>
      <c r="U117" s="15"/>
      <c r="V117" s="14" t="str">
        <f t="shared" si="3"/>
        <v/>
      </c>
      <c r="X117" s="16"/>
    </row>
    <row r="118" hidden="1">
      <c r="A118" s="6" t="str">
        <f t="shared" si="1"/>
        <v>2018_Podpora činnosti_Oddílová soutěž</v>
      </c>
      <c r="B118" s="28" t="s">
        <v>61</v>
      </c>
      <c r="C118" s="25" t="s">
        <v>42</v>
      </c>
      <c r="D118" s="7" t="str">
        <f>VLOOKUP(A118,'Rozpočet 2018'!J:J,1,FALSE)</f>
        <v>2018_Podpora činnosti_Oddílová soutěž</v>
      </c>
      <c r="E118" s="7" t="s">
        <v>175</v>
      </c>
      <c r="F118" s="8">
        <v>43392.0</v>
      </c>
      <c r="H118" s="19" t="s">
        <v>119</v>
      </c>
      <c r="I118" s="12"/>
      <c r="J118" s="12">
        <v>600.0</v>
      </c>
      <c r="K118" s="20">
        <f t="shared" si="10"/>
        <v>-600</v>
      </c>
      <c r="L118" s="13"/>
      <c r="M118" s="13"/>
      <c r="N118" s="14">
        <f t="shared" si="4"/>
        <v>143852</v>
      </c>
      <c r="O118" s="6" t="s">
        <v>117</v>
      </c>
      <c r="P118" s="14"/>
      <c r="Q118" s="15"/>
      <c r="R118" s="15"/>
      <c r="S118" s="15"/>
      <c r="T118" s="15"/>
      <c r="U118" s="15"/>
      <c r="V118" s="14" t="str">
        <f t="shared" si="3"/>
        <v/>
      </c>
      <c r="X118" s="16"/>
    </row>
    <row r="119" hidden="1">
      <c r="A119" s="6" t="str">
        <f t="shared" si="1"/>
        <v>2018_Hamerák-akce_Náklady příprava</v>
      </c>
      <c r="B119" s="23" t="s">
        <v>37</v>
      </c>
      <c r="C119" s="24" t="s">
        <v>158</v>
      </c>
      <c r="D119" s="7" t="str">
        <f>VLOOKUP(A119,'Rozpočet 2018'!J:J,1,FALSE)</f>
        <v>2018_Hamerák-akce_Náklady příprava</v>
      </c>
      <c r="E119" s="7" t="s">
        <v>176</v>
      </c>
      <c r="F119" s="8">
        <v>43392.0</v>
      </c>
      <c r="H119" s="19" t="s">
        <v>119</v>
      </c>
      <c r="I119" s="12"/>
      <c r="J119" s="12">
        <v>2522.0</v>
      </c>
      <c r="K119" s="20">
        <f t="shared" si="10"/>
        <v>-2522</v>
      </c>
      <c r="L119" s="13"/>
      <c r="M119" s="13"/>
      <c r="N119" s="14">
        <f t="shared" si="4"/>
        <v>141330</v>
      </c>
      <c r="O119" s="6" t="s">
        <v>117</v>
      </c>
      <c r="P119" s="14"/>
      <c r="Q119" s="15"/>
      <c r="R119" s="15"/>
      <c r="S119" s="15"/>
      <c r="T119" s="15"/>
      <c r="U119" s="15"/>
      <c r="V119" s="14" t="str">
        <f t="shared" si="3"/>
        <v/>
      </c>
      <c r="X119" s="16"/>
    </row>
    <row r="120" hidden="1">
      <c r="A120" s="6" t="str">
        <f t="shared" si="1"/>
        <v>2018_Běžný provoz_Údržba vleků</v>
      </c>
      <c r="B120" s="17" t="s">
        <v>32</v>
      </c>
      <c r="C120" s="7" t="s">
        <v>71</v>
      </c>
      <c r="D120" s="7" t="str">
        <f>VLOOKUP(A120,'Rozpočet 2018'!J:J,1,FALSE)</f>
        <v>2018_Běžný provoz_Údržba vleků</v>
      </c>
      <c r="E120" s="7" t="s">
        <v>177</v>
      </c>
      <c r="F120" s="8">
        <v>43395.0</v>
      </c>
      <c r="H120" s="19" t="s">
        <v>119</v>
      </c>
      <c r="I120" s="12"/>
      <c r="J120" s="12">
        <v>80.0</v>
      </c>
      <c r="K120" s="20">
        <f t="shared" si="10"/>
        <v>-80</v>
      </c>
      <c r="L120" s="13"/>
      <c r="M120" s="13"/>
      <c r="N120" s="14">
        <f t="shared" si="4"/>
        <v>141250</v>
      </c>
      <c r="O120" s="6" t="s">
        <v>117</v>
      </c>
      <c r="P120" s="14"/>
      <c r="Q120" s="15"/>
      <c r="R120" s="15"/>
      <c r="S120" s="15"/>
      <c r="T120" s="15"/>
      <c r="U120" s="15"/>
      <c r="V120" s="14" t="str">
        <f t="shared" si="3"/>
        <v/>
      </c>
      <c r="X120" s="16"/>
    </row>
    <row r="121" hidden="1">
      <c r="A121" s="6" t="str">
        <f t="shared" si="1"/>
        <v>2018_Běžný provoz_Interní nájmy</v>
      </c>
      <c r="B121" s="17" t="s">
        <v>32</v>
      </c>
      <c r="C121" s="27" t="s">
        <v>49</v>
      </c>
      <c r="D121" s="7" t="str">
        <f>VLOOKUP(A121,'Rozpočet 2018'!J:J,1,FALSE)</f>
        <v>2018_Běžný provoz_Interní nájmy</v>
      </c>
      <c r="E121" s="7" t="s">
        <v>50</v>
      </c>
      <c r="F121" s="33">
        <v>43403.0</v>
      </c>
      <c r="H121" s="19" t="s">
        <v>125</v>
      </c>
      <c r="I121" s="12"/>
      <c r="J121" s="12">
        <v>6103.0</v>
      </c>
      <c r="K121" s="20">
        <f t="shared" si="10"/>
        <v>-6103</v>
      </c>
      <c r="L121" s="13"/>
      <c r="M121" s="13"/>
      <c r="N121" s="14">
        <f t="shared" si="4"/>
        <v>135147</v>
      </c>
      <c r="O121" s="6" t="s">
        <v>117</v>
      </c>
      <c r="P121" s="14"/>
      <c r="Q121" s="15"/>
      <c r="R121" s="15"/>
      <c r="S121" s="15"/>
      <c r="T121" s="15"/>
      <c r="U121" s="15"/>
      <c r="V121" s="14" t="str">
        <f t="shared" si="3"/>
        <v/>
      </c>
      <c r="X121" s="16"/>
    </row>
    <row r="122" hidden="1">
      <c r="A122" s="6" t="str">
        <f t="shared" si="1"/>
        <v>2018_Běžný provoz_Interní nájmy</v>
      </c>
      <c r="B122" s="17" t="s">
        <v>32</v>
      </c>
      <c r="C122" s="27" t="s">
        <v>49</v>
      </c>
      <c r="D122" s="7" t="str">
        <f>VLOOKUP(A122,'Rozpočet 2018'!J:J,1,FALSE)</f>
        <v>2018_Běžný provoz_Interní nájmy</v>
      </c>
      <c r="E122" s="7" t="s">
        <v>51</v>
      </c>
      <c r="F122" s="33">
        <v>43403.0</v>
      </c>
      <c r="H122" s="19" t="s">
        <v>125</v>
      </c>
      <c r="I122" s="12"/>
      <c r="J122" s="12">
        <v>6912.0</v>
      </c>
      <c r="K122" s="20">
        <f t="shared" si="10"/>
        <v>-6912</v>
      </c>
      <c r="L122" s="13"/>
      <c r="M122" s="13"/>
      <c r="N122" s="14">
        <f t="shared" si="4"/>
        <v>128235</v>
      </c>
      <c r="O122" s="6" t="s">
        <v>117</v>
      </c>
      <c r="P122" s="14"/>
      <c r="Q122" s="15"/>
      <c r="R122" s="15"/>
      <c r="S122" s="2" t="s">
        <v>120</v>
      </c>
      <c r="T122" s="2" t="s">
        <v>19</v>
      </c>
      <c r="U122" s="15"/>
      <c r="V122" s="14" t="str">
        <f t="shared" si="3"/>
        <v/>
      </c>
      <c r="X122" s="16"/>
    </row>
    <row r="123" hidden="1">
      <c r="A123" s="6" t="str">
        <f t="shared" si="1"/>
        <v>2018_Podpora činnosti_Oddílová soutěž</v>
      </c>
      <c r="B123" s="28" t="s">
        <v>61</v>
      </c>
      <c r="C123" s="25" t="s">
        <v>42</v>
      </c>
      <c r="D123" s="7" t="str">
        <f>VLOOKUP(A123,'Rozpočet 2018'!J:J,1,FALSE)</f>
        <v>2018_Podpora činnosti_Oddílová soutěž</v>
      </c>
      <c r="E123" s="7" t="s">
        <v>178</v>
      </c>
      <c r="F123" s="29">
        <v>43419.0</v>
      </c>
      <c r="H123" s="19" t="s">
        <v>119</v>
      </c>
      <c r="I123" s="12">
        <v>600.0</v>
      </c>
      <c r="J123" s="12"/>
      <c r="K123" s="20">
        <f t="shared" si="10"/>
        <v>600</v>
      </c>
      <c r="L123" s="13"/>
      <c r="M123" s="13"/>
      <c r="N123" s="14">
        <f t="shared" si="4"/>
        <v>128835</v>
      </c>
      <c r="O123" s="6" t="s">
        <v>117</v>
      </c>
      <c r="P123" s="14"/>
      <c r="Q123" s="15"/>
      <c r="R123" s="15"/>
      <c r="S123" s="2" t="s">
        <v>126</v>
      </c>
      <c r="T123" s="2" t="s">
        <v>127</v>
      </c>
      <c r="U123" s="15"/>
      <c r="V123" s="14" t="str">
        <f t="shared" si="3"/>
        <v/>
      </c>
      <c r="X123" s="16"/>
    </row>
    <row r="124" hidden="1">
      <c r="A124" s="6" t="str">
        <f t="shared" si="1"/>
        <v>2018_Podpora činnosti_Oddílové vánoce</v>
      </c>
      <c r="B124" s="28" t="s">
        <v>61</v>
      </c>
      <c r="C124" s="25" t="s">
        <v>103</v>
      </c>
      <c r="D124" s="7" t="str">
        <f>VLOOKUP(A124,'Rozpočet 2018'!J:J,1,FALSE)</f>
        <v>2018_Podpora činnosti_Oddílové vánoce</v>
      </c>
      <c r="E124" s="7" t="s">
        <v>179</v>
      </c>
      <c r="F124" s="29">
        <v>43443.0</v>
      </c>
      <c r="H124" s="19" t="s">
        <v>156</v>
      </c>
      <c r="I124" s="12"/>
      <c r="J124" s="12">
        <v>2450.0</v>
      </c>
      <c r="K124" s="20">
        <f t="shared" si="10"/>
        <v>-2450</v>
      </c>
      <c r="L124" s="13"/>
      <c r="M124" s="13"/>
      <c r="N124" s="14">
        <f t="shared" si="4"/>
        <v>126385</v>
      </c>
      <c r="O124" s="6" t="s">
        <v>117</v>
      </c>
      <c r="P124" s="14"/>
      <c r="Q124" s="15">
        <f>Q105-J106-J107-J121-J122</f>
        <v>39662</v>
      </c>
      <c r="R124" s="15">
        <v>21738.0</v>
      </c>
      <c r="S124" s="15">
        <f>7585+50000+2000</f>
        <v>59585</v>
      </c>
      <c r="T124" s="15">
        <v>8400.0</v>
      </c>
      <c r="U124" s="15"/>
      <c r="V124" s="14">
        <f t="shared" si="3"/>
        <v>3000</v>
      </c>
      <c r="W124" s="7" t="s">
        <v>55</v>
      </c>
      <c r="X124" s="16">
        <v>43463.0</v>
      </c>
      <c r="Y124" s="7" t="s">
        <v>180</v>
      </c>
      <c r="Z124" s="16">
        <v>43463.0</v>
      </c>
    </row>
    <row r="125" hidden="1">
      <c r="A125" s="6" t="str">
        <f t="shared" si="1"/>
        <v>2018_Podpora činnosti_Příjmy dary</v>
      </c>
      <c r="B125" s="28" t="s">
        <v>61</v>
      </c>
      <c r="C125" s="7" t="s">
        <v>181</v>
      </c>
      <c r="D125" s="7" t="str">
        <f>VLOOKUP(A125,'Rozpočet 2018'!J:J,1,FALSE)</f>
        <v>2018_Podpora činnosti_Příjmy dary</v>
      </c>
      <c r="E125" s="7" t="s">
        <v>107</v>
      </c>
      <c r="F125" s="29">
        <v>43446.0</v>
      </c>
      <c r="H125" s="19" t="s">
        <v>125</v>
      </c>
      <c r="I125" s="12">
        <v>2000.0</v>
      </c>
      <c r="J125" s="12"/>
      <c r="K125" s="20">
        <f t="shared" si="10"/>
        <v>2000</v>
      </c>
      <c r="L125" s="13"/>
      <c r="M125" s="13"/>
      <c r="N125" s="14">
        <f t="shared" si="4"/>
        <v>128385</v>
      </c>
      <c r="O125" s="6" t="s">
        <v>117</v>
      </c>
      <c r="P125" s="14"/>
      <c r="Q125" s="15"/>
      <c r="R125" s="15"/>
      <c r="S125" s="15"/>
      <c r="T125" s="15"/>
      <c r="U125" s="15"/>
      <c r="V125" s="14" t="str">
        <f t="shared" si="3"/>
        <v/>
      </c>
      <c r="X125" s="16"/>
    </row>
    <row r="126" hidden="1">
      <c r="A126" s="6" t="str">
        <f t="shared" si="1"/>
        <v>2018b_Převody_stav</v>
      </c>
      <c r="B126" s="7" t="s">
        <v>27</v>
      </c>
      <c r="C126" s="7" t="s">
        <v>22</v>
      </c>
      <c r="D126" s="7" t="str">
        <f>VLOOKUP(A126,'Rozpočet 2018'!J:J,1,FALSE)</f>
        <v>2018b_Převody_stav</v>
      </c>
      <c r="E126" s="7" t="s">
        <v>182</v>
      </c>
      <c r="F126" s="29">
        <v>43465.0</v>
      </c>
      <c r="H126" s="19"/>
      <c r="I126" s="12"/>
      <c r="J126" s="12"/>
      <c r="K126" s="20">
        <f t="shared" si="10"/>
        <v>0</v>
      </c>
      <c r="L126" s="13"/>
      <c r="M126" s="13"/>
      <c r="N126" s="14">
        <f t="shared" si="4"/>
        <v>128385</v>
      </c>
      <c r="O126" s="6" t="s">
        <v>183</v>
      </c>
      <c r="P126" s="14"/>
      <c r="Q126" s="34">
        <f>38662+5059</f>
        <v>43721</v>
      </c>
      <c r="R126" s="15">
        <v>21738.0</v>
      </c>
      <c r="S126" s="15">
        <f>7585+50000+2000</f>
        <v>59585</v>
      </c>
      <c r="T126" s="15">
        <v>8400.0</v>
      </c>
      <c r="U126" s="15"/>
      <c r="V126" s="14">
        <f t="shared" si="3"/>
        <v>5059</v>
      </c>
      <c r="W126" s="7" t="s">
        <v>55</v>
      </c>
      <c r="X126" s="16">
        <v>43515.0</v>
      </c>
    </row>
    <row r="127" hidden="1">
      <c r="A127" s="6" t="str">
        <f t="shared" si="1"/>
        <v>2019_Převody_stav</v>
      </c>
      <c r="B127" s="7" t="s">
        <v>27</v>
      </c>
      <c r="C127" s="7" t="s">
        <v>22</v>
      </c>
      <c r="D127" s="7" t="str">
        <f>VLOOKUP(A127,'Rozpočet 2019'!J:J,1,FALSE)</f>
        <v>2019_Převody_stav</v>
      </c>
      <c r="E127" s="7" t="s">
        <v>184</v>
      </c>
      <c r="F127" s="8">
        <v>43466.0</v>
      </c>
      <c r="H127" s="19"/>
      <c r="I127" s="12"/>
      <c r="J127" s="12"/>
      <c r="K127" s="20">
        <f t="shared" si="10"/>
        <v>0</v>
      </c>
      <c r="L127" s="13"/>
      <c r="M127" s="13"/>
      <c r="N127" s="14">
        <f t="shared" si="4"/>
        <v>128385</v>
      </c>
      <c r="O127" s="6" t="s">
        <v>185</v>
      </c>
      <c r="P127" s="14"/>
      <c r="Q127" s="15"/>
      <c r="R127" s="15"/>
      <c r="S127" s="15"/>
      <c r="T127" s="15"/>
      <c r="U127" s="15"/>
      <c r="V127" s="14" t="str">
        <f t="shared" si="3"/>
        <v/>
      </c>
      <c r="X127" s="16"/>
    </row>
    <row r="128" hidden="1">
      <c r="A128" s="6" t="str">
        <f t="shared" si="1"/>
        <v>2018_Běžný provoz_Přeúčtování TOM</v>
      </c>
      <c r="B128" s="17" t="s">
        <v>32</v>
      </c>
      <c r="C128" s="7" t="s">
        <v>186</v>
      </c>
      <c r="D128" s="7" t="str">
        <f>VLOOKUP(A128,'Rozpočet 2018'!J:J,1,FALSE)</f>
        <v>2018_Běžný provoz_Přeúčtování TOM</v>
      </c>
      <c r="E128" s="7" t="s">
        <v>187</v>
      </c>
      <c r="F128" s="8">
        <v>43480.0</v>
      </c>
      <c r="G128" s="8">
        <v>43475.0</v>
      </c>
      <c r="H128" s="19" t="s">
        <v>125</v>
      </c>
      <c r="I128" s="12">
        <v>5059.0</v>
      </c>
      <c r="J128" s="12"/>
      <c r="K128" s="20">
        <f t="shared" si="10"/>
        <v>5059</v>
      </c>
      <c r="L128" s="13"/>
      <c r="M128" s="13"/>
      <c r="N128" s="14">
        <f t="shared" si="4"/>
        <v>133444</v>
      </c>
      <c r="O128" s="6" t="s">
        <v>117</v>
      </c>
      <c r="P128" s="14"/>
      <c r="Q128" s="15"/>
      <c r="R128" s="15"/>
      <c r="S128" s="15"/>
      <c r="T128" s="15"/>
      <c r="U128" s="15"/>
      <c r="V128" s="14" t="str">
        <f t="shared" si="3"/>
        <v/>
      </c>
      <c r="X128" s="16"/>
    </row>
    <row r="129" hidden="1">
      <c r="A129" s="6" t="str">
        <f t="shared" si="1"/>
        <v>2019_Běžný provoz_Interní nájmy</v>
      </c>
      <c r="B129" s="17" t="s">
        <v>32</v>
      </c>
      <c r="C129" s="27" t="s">
        <v>49</v>
      </c>
      <c r="D129" s="7" t="str">
        <f>VLOOKUP(A129,'Rozpočet 2019'!J:J,1,FALSE)</f>
        <v>2019_Běžný provoz_Interní nájmy</v>
      </c>
      <c r="E129" s="7" t="s">
        <v>50</v>
      </c>
      <c r="F129" s="8">
        <v>43496.0</v>
      </c>
      <c r="G129" s="8">
        <v>43496.0</v>
      </c>
      <c r="H129" s="19" t="s">
        <v>125</v>
      </c>
      <c r="I129" s="12"/>
      <c r="J129" s="12">
        <v>6103.0</v>
      </c>
      <c r="K129" s="20">
        <f t="shared" si="10"/>
        <v>-6103</v>
      </c>
      <c r="L129" s="13"/>
      <c r="M129" s="13"/>
      <c r="N129" s="14">
        <f t="shared" si="4"/>
        <v>127341</v>
      </c>
      <c r="O129" s="6" t="s">
        <v>185</v>
      </c>
      <c r="P129" s="14"/>
      <c r="Q129" s="15"/>
      <c r="R129" s="15"/>
      <c r="S129" s="15"/>
      <c r="T129" s="15"/>
      <c r="U129" s="15"/>
      <c r="V129" s="14" t="str">
        <f t="shared" si="3"/>
        <v/>
      </c>
      <c r="X129" s="16"/>
    </row>
    <row r="130" hidden="1">
      <c r="A130" s="6" t="str">
        <f t="shared" si="1"/>
        <v>2019_Běžný provoz_Interní nájmy</v>
      </c>
      <c r="B130" s="17" t="s">
        <v>32</v>
      </c>
      <c r="C130" s="27" t="s">
        <v>49</v>
      </c>
      <c r="D130" s="7" t="str">
        <f>VLOOKUP(A130,'Rozpočet 2019'!J:J,1,FALSE)</f>
        <v>2019_Běžný provoz_Interní nájmy</v>
      </c>
      <c r="E130" s="7" t="s">
        <v>51</v>
      </c>
      <c r="F130" s="8">
        <v>43496.0</v>
      </c>
      <c r="G130" s="8">
        <v>43496.0</v>
      </c>
      <c r="H130" s="19" t="s">
        <v>125</v>
      </c>
      <c r="I130" s="12"/>
      <c r="J130" s="12">
        <v>7488.0</v>
      </c>
      <c r="K130" s="20">
        <f t="shared" si="10"/>
        <v>-7488</v>
      </c>
      <c r="L130" s="13"/>
      <c r="M130" s="13"/>
      <c r="N130" s="14">
        <f t="shared" si="4"/>
        <v>119853</v>
      </c>
      <c r="O130" s="6" t="s">
        <v>185</v>
      </c>
      <c r="P130" s="14"/>
      <c r="Q130" s="15"/>
      <c r="R130" s="15"/>
      <c r="S130" s="15"/>
      <c r="T130" s="15"/>
      <c r="U130" s="15"/>
      <c r="V130" s="14" t="str">
        <f t="shared" si="3"/>
        <v/>
      </c>
      <c r="X130" s="16"/>
    </row>
    <row r="131" hidden="1">
      <c r="A131" s="6" t="str">
        <f t="shared" si="1"/>
        <v>2019_Běžný provoz_Příspěvky</v>
      </c>
      <c r="B131" s="17" t="s">
        <v>32</v>
      </c>
      <c r="C131" s="21" t="s">
        <v>34</v>
      </c>
      <c r="D131" s="7" t="str">
        <f>VLOOKUP(A131,'Rozpočet 2019'!J:J,1,FALSE)</f>
        <v>2019_Běžný provoz_Příspěvky</v>
      </c>
      <c r="E131" s="7" t="s">
        <v>188</v>
      </c>
      <c r="F131" s="29">
        <v>43496.0</v>
      </c>
      <c r="H131" s="19" t="s">
        <v>119</v>
      </c>
      <c r="I131" s="12">
        <v>400.0</v>
      </c>
      <c r="J131" s="12"/>
      <c r="K131" s="20">
        <f t="shared" si="10"/>
        <v>400</v>
      </c>
      <c r="L131" s="13"/>
      <c r="M131" s="13"/>
      <c r="N131" s="14">
        <f t="shared" si="4"/>
        <v>120253</v>
      </c>
      <c r="O131" s="6" t="s">
        <v>185</v>
      </c>
      <c r="P131" s="14"/>
      <c r="Q131" s="15"/>
      <c r="R131" s="15"/>
      <c r="S131" s="15"/>
      <c r="T131" s="15"/>
      <c r="U131" s="15"/>
      <c r="V131" s="14" t="str">
        <f t="shared" si="3"/>
        <v/>
      </c>
      <c r="X131" s="16"/>
    </row>
    <row r="132" hidden="1">
      <c r="A132" s="6" t="str">
        <f t="shared" si="1"/>
        <v>2019_Podpora činnosti_Příjmy dary</v>
      </c>
      <c r="B132" s="28" t="s">
        <v>61</v>
      </c>
      <c r="C132" s="7" t="s">
        <v>181</v>
      </c>
      <c r="D132" s="7" t="str">
        <f>VLOOKUP(A132,'Rozpočet 2019'!J:J,1,FALSE)</f>
        <v>2019_Podpora činnosti_Příjmy dary</v>
      </c>
      <c r="E132" s="7" t="s">
        <v>107</v>
      </c>
      <c r="F132" s="8">
        <v>43504.0</v>
      </c>
      <c r="G132" s="8">
        <v>43504.0</v>
      </c>
      <c r="H132" s="19" t="s">
        <v>125</v>
      </c>
      <c r="I132" s="12">
        <v>2000.0</v>
      </c>
      <c r="J132" s="12"/>
      <c r="K132" s="20">
        <f t="shared" si="10"/>
        <v>2000</v>
      </c>
      <c r="L132" s="13"/>
      <c r="M132" s="13"/>
      <c r="N132" s="14">
        <f t="shared" si="4"/>
        <v>122253</v>
      </c>
      <c r="O132" s="6" t="s">
        <v>185</v>
      </c>
      <c r="P132" s="14"/>
      <c r="Q132" s="15"/>
      <c r="R132" s="15"/>
      <c r="S132" s="15"/>
      <c r="T132" s="15"/>
      <c r="U132" s="15"/>
      <c r="V132" s="14" t="str">
        <f t="shared" si="3"/>
        <v/>
      </c>
      <c r="X132" s="16"/>
    </row>
    <row r="133" hidden="1">
      <c r="A133" s="6" t="str">
        <f t="shared" si="1"/>
        <v>2019_Běžný provoz_Příspěvky</v>
      </c>
      <c r="B133" s="17" t="s">
        <v>32</v>
      </c>
      <c r="C133" s="21" t="s">
        <v>34</v>
      </c>
      <c r="D133" s="7" t="str">
        <f>VLOOKUP(A133,'Rozpočet 2019'!J:J,1,FALSE)</f>
        <v>2019_Běžný provoz_Příspěvky</v>
      </c>
      <c r="E133" s="7" t="s">
        <v>189</v>
      </c>
      <c r="F133" s="8">
        <v>43515.0</v>
      </c>
      <c r="H133" s="19" t="s">
        <v>156</v>
      </c>
      <c r="I133" s="12">
        <v>12600.0</v>
      </c>
      <c r="J133" s="12"/>
      <c r="K133" s="20">
        <f t="shared" si="10"/>
        <v>12600</v>
      </c>
      <c r="L133" s="13"/>
      <c r="M133" s="13"/>
      <c r="N133" s="14">
        <f t="shared" si="4"/>
        <v>134853</v>
      </c>
      <c r="O133" s="6" t="s">
        <v>185</v>
      </c>
      <c r="P133" s="14"/>
      <c r="Q133" s="35">
        <f>38662+5059-13591+2000</f>
        <v>32130</v>
      </c>
      <c r="R133" s="15">
        <v>22138.0</v>
      </c>
      <c r="S133" s="15">
        <f t="shared" ref="S133:S134" si="11">20185+50000+2000</f>
        <v>72185</v>
      </c>
      <c r="T133" s="15">
        <v>8400.0</v>
      </c>
      <c r="U133" s="15"/>
      <c r="V133" s="14">
        <f t="shared" si="3"/>
        <v>0</v>
      </c>
      <c r="X133" s="16"/>
    </row>
    <row r="134" hidden="1">
      <c r="A134" s="6" t="str">
        <f t="shared" si="1"/>
        <v>2019_Běžný provoz_Příspěvky</v>
      </c>
      <c r="B134" s="17" t="s">
        <v>32</v>
      </c>
      <c r="C134" s="21" t="s">
        <v>34</v>
      </c>
      <c r="D134" s="7" t="str">
        <f>VLOOKUP(A134,'Rozpočet 2019'!J:J,1,FALSE)</f>
        <v>2019_Běžný provoz_Příspěvky</v>
      </c>
      <c r="E134" s="7" t="s">
        <v>190</v>
      </c>
      <c r="F134" s="8">
        <v>43516.0</v>
      </c>
      <c r="H134" s="19" t="s">
        <v>125</v>
      </c>
      <c r="I134" s="12">
        <v>12050.0</v>
      </c>
      <c r="J134" s="12"/>
      <c r="K134" s="20">
        <f t="shared" si="10"/>
        <v>12050</v>
      </c>
      <c r="L134" s="13"/>
      <c r="M134" s="13"/>
      <c r="N134" s="14">
        <f t="shared" si="4"/>
        <v>146903</v>
      </c>
      <c r="O134" s="6" t="s">
        <v>185</v>
      </c>
      <c r="P134" s="14"/>
      <c r="Q134" s="35">
        <f>Q133+12050</f>
        <v>44180</v>
      </c>
      <c r="R134" s="15">
        <v>22138.0</v>
      </c>
      <c r="S134" s="15">
        <f t="shared" si="11"/>
        <v>72185</v>
      </c>
      <c r="T134" s="15">
        <v>8400.0</v>
      </c>
      <c r="U134" s="15"/>
      <c r="V134" s="14">
        <f t="shared" si="3"/>
        <v>0</v>
      </c>
      <c r="W134" s="7" t="s">
        <v>55</v>
      </c>
      <c r="X134" s="16">
        <v>43521.0</v>
      </c>
      <c r="Y134" s="32">
        <v>43466.0</v>
      </c>
      <c r="Z134" s="16">
        <v>43521.0</v>
      </c>
    </row>
    <row r="135" hidden="1">
      <c r="A135" s="6" t="str">
        <f t="shared" si="1"/>
        <v>2019_Běžný provoz_Příspěvky</v>
      </c>
      <c r="B135" s="17" t="s">
        <v>32</v>
      </c>
      <c r="C135" s="21" t="s">
        <v>34</v>
      </c>
      <c r="D135" s="7" t="str">
        <f>VLOOKUP(A135,'Rozpočet 2019'!J:J,1,FALSE)</f>
        <v>2019_Běžný provoz_Příspěvky</v>
      </c>
      <c r="E135" s="7" t="s">
        <v>191</v>
      </c>
      <c r="F135" s="8">
        <v>43522.0</v>
      </c>
      <c r="H135" s="19" t="s">
        <v>156</v>
      </c>
      <c r="I135" s="12">
        <v>1850.0</v>
      </c>
      <c r="J135" s="12"/>
      <c r="K135" s="20">
        <f t="shared" si="10"/>
        <v>1850</v>
      </c>
      <c r="L135" s="13"/>
      <c r="M135" s="13"/>
      <c r="N135" s="14">
        <f t="shared" si="4"/>
        <v>148753</v>
      </c>
      <c r="O135" s="6" t="s">
        <v>185</v>
      </c>
      <c r="P135" s="14"/>
      <c r="Q135" s="35">
        <f>Q134</f>
        <v>44180</v>
      </c>
      <c r="R135" s="15">
        <v>22138.0</v>
      </c>
      <c r="S135" s="15">
        <f>22035+50000+2000</f>
        <v>74035</v>
      </c>
      <c r="T135" s="15">
        <v>8400.0</v>
      </c>
      <c r="U135" s="15"/>
      <c r="V135" s="14">
        <f t="shared" si="3"/>
        <v>0</v>
      </c>
      <c r="W135" s="7" t="s">
        <v>55</v>
      </c>
      <c r="X135" s="16">
        <v>43523.0</v>
      </c>
    </row>
    <row r="136" hidden="1">
      <c r="A136" s="6" t="str">
        <f t="shared" si="1"/>
        <v>2019_Běžný provoz_Příspěvky</v>
      </c>
      <c r="B136" s="17" t="s">
        <v>32</v>
      </c>
      <c r="C136" s="21" t="s">
        <v>34</v>
      </c>
      <c r="D136" s="7" t="str">
        <f>VLOOKUP(A136,'Rozpočet 2019'!J:J,1,FALSE)</f>
        <v>2019_Běžný provoz_Příspěvky</v>
      </c>
      <c r="E136" s="7" t="s">
        <v>192</v>
      </c>
      <c r="F136" s="8">
        <v>43545.0</v>
      </c>
      <c r="G136" s="16"/>
      <c r="H136" s="19" t="s">
        <v>119</v>
      </c>
      <c r="I136" s="12">
        <v>-800.0</v>
      </c>
      <c r="J136" s="12"/>
      <c r="K136" s="20">
        <f t="shared" si="10"/>
        <v>-800</v>
      </c>
      <c r="L136" s="13"/>
      <c r="M136" s="13"/>
      <c r="N136" s="14">
        <f t="shared" si="4"/>
        <v>147953</v>
      </c>
      <c r="O136" s="6" t="s">
        <v>185</v>
      </c>
      <c r="P136" s="14"/>
      <c r="Q136" s="35"/>
      <c r="R136" s="15"/>
      <c r="S136" s="15"/>
      <c r="T136" s="15"/>
      <c r="U136" s="15"/>
      <c r="V136" s="14" t="str">
        <f t="shared" si="3"/>
        <v/>
      </c>
      <c r="W136" s="16"/>
      <c r="X136" s="16"/>
      <c r="Y136" s="16"/>
      <c r="Z136" s="16"/>
    </row>
    <row r="137" hidden="1">
      <c r="A137" s="6" t="str">
        <f t="shared" si="1"/>
        <v>2019_Běžný provoz_Příspěvky ČSK</v>
      </c>
      <c r="B137" s="17" t="s">
        <v>32</v>
      </c>
      <c r="C137" s="21" t="s">
        <v>33</v>
      </c>
      <c r="D137" s="7" t="str">
        <f>VLOOKUP(A137,'Rozpočet 2019'!J:J,1,FALSE)</f>
        <v>2019_Běžný provoz_Příspěvky ČSK</v>
      </c>
      <c r="E137" s="7" t="s">
        <v>139</v>
      </c>
      <c r="F137" s="8">
        <v>43552.0</v>
      </c>
      <c r="H137" s="19" t="s">
        <v>119</v>
      </c>
      <c r="I137" s="12"/>
      <c r="J137" s="12">
        <v>1360.0</v>
      </c>
      <c r="K137" s="20">
        <f t="shared" si="10"/>
        <v>-1360</v>
      </c>
      <c r="L137" s="13"/>
      <c r="M137" s="13"/>
      <c r="N137" s="14">
        <f t="shared" si="4"/>
        <v>146593</v>
      </c>
      <c r="O137" s="6" t="s">
        <v>185</v>
      </c>
      <c r="P137" s="14"/>
      <c r="Q137" s="35">
        <f>Q135</f>
        <v>44180</v>
      </c>
      <c r="R137" s="15">
        <v>19878.0</v>
      </c>
      <c r="S137" s="15">
        <f>12000+62035</f>
        <v>74035</v>
      </c>
      <c r="T137" s="15">
        <v>8400.0</v>
      </c>
      <c r="U137" s="15"/>
      <c r="V137" s="14">
        <f t="shared" si="3"/>
        <v>-100</v>
      </c>
      <c r="X137" s="16"/>
    </row>
    <row r="138" hidden="1">
      <c r="A138" s="6" t="str">
        <f t="shared" si="1"/>
        <v>2019_Podpora činnosti_Příjmy dotace</v>
      </c>
      <c r="B138" s="28" t="s">
        <v>61</v>
      </c>
      <c r="C138" s="7" t="s">
        <v>122</v>
      </c>
      <c r="D138" s="7" t="str">
        <f>VLOOKUP(A138,'Rozpočet 2019'!J:J,1,FALSE)</f>
        <v>2019_Podpora činnosti_Příjmy dotace</v>
      </c>
      <c r="E138" s="7" t="s">
        <v>193</v>
      </c>
      <c r="F138" s="8">
        <v>43554.0</v>
      </c>
      <c r="H138" s="36" t="s">
        <v>125</v>
      </c>
      <c r="I138" s="12"/>
      <c r="J138" s="12">
        <v>50.0</v>
      </c>
      <c r="K138" s="20">
        <f t="shared" si="10"/>
        <v>-50</v>
      </c>
      <c r="L138" s="13"/>
      <c r="M138" s="13"/>
      <c r="N138" s="14">
        <f t="shared" si="4"/>
        <v>146543</v>
      </c>
      <c r="O138" s="6" t="s">
        <v>185</v>
      </c>
      <c r="Q138" s="15"/>
      <c r="R138" s="15"/>
      <c r="S138" s="15"/>
      <c r="T138" s="15"/>
      <c r="U138" s="15"/>
      <c r="X138" s="16"/>
    </row>
    <row r="139" hidden="1">
      <c r="A139" s="6" t="str">
        <f t="shared" si="1"/>
        <v>2019_Běžný provoz_Příspěvky</v>
      </c>
      <c r="B139" s="17" t="s">
        <v>32</v>
      </c>
      <c r="C139" s="21" t="s">
        <v>34</v>
      </c>
      <c r="D139" s="7" t="str">
        <f>VLOOKUP(A139,'Rozpočet 2019'!J:J,1,FALSE)</f>
        <v>2019_Běžný provoz_Příspěvky</v>
      </c>
      <c r="E139" s="7" t="s">
        <v>194</v>
      </c>
      <c r="F139" s="8">
        <v>43556.0</v>
      </c>
      <c r="G139" s="7" t="s">
        <v>195</v>
      </c>
      <c r="H139" s="19" t="s">
        <v>125</v>
      </c>
      <c r="I139" s="12">
        <v>20300.0</v>
      </c>
      <c r="J139" s="12"/>
      <c r="K139" s="20">
        <f t="shared" si="10"/>
        <v>20300</v>
      </c>
      <c r="L139" s="13"/>
      <c r="M139" s="13"/>
      <c r="N139" s="14">
        <f t="shared" si="4"/>
        <v>166843</v>
      </c>
      <c r="O139" s="6" t="s">
        <v>185</v>
      </c>
      <c r="P139" s="14"/>
      <c r="Q139" s="37"/>
      <c r="R139" s="15"/>
      <c r="S139" s="15"/>
      <c r="T139" s="15"/>
      <c r="U139" s="15"/>
      <c r="V139" s="14" t="str">
        <f t="shared" ref="V139:V143" si="12">IF(ISBLANK(Q139),"",SUM(Q139:U139)-N139)</f>
        <v/>
      </c>
      <c r="X139" s="16"/>
      <c r="Z139" s="16"/>
    </row>
    <row r="140" hidden="1">
      <c r="A140" s="6" t="str">
        <f t="shared" si="1"/>
        <v>2019_Běžný provoz_Příspěvky</v>
      </c>
      <c r="B140" s="17" t="s">
        <v>32</v>
      </c>
      <c r="C140" s="21" t="s">
        <v>34</v>
      </c>
      <c r="D140" s="7" t="str">
        <f>VLOOKUP(A140,'Rozpočet 2019'!J:J,1,FALSE)</f>
        <v>2019_Běžný provoz_Příspěvky</v>
      </c>
      <c r="E140" s="7" t="s">
        <v>196</v>
      </c>
      <c r="F140" s="8">
        <v>43560.0</v>
      </c>
      <c r="G140" s="7" t="s">
        <v>195</v>
      </c>
      <c r="H140" s="19" t="s">
        <v>119</v>
      </c>
      <c r="I140" s="12">
        <v>-100.0</v>
      </c>
      <c r="J140" s="12"/>
      <c r="K140" s="20">
        <f t="shared" si="10"/>
        <v>-100</v>
      </c>
      <c r="L140" s="13"/>
      <c r="M140" s="13"/>
      <c r="N140" s="14">
        <f t="shared" si="4"/>
        <v>166743</v>
      </c>
      <c r="O140" s="6" t="s">
        <v>185</v>
      </c>
      <c r="P140" s="14"/>
      <c r="Q140" s="37"/>
      <c r="R140" s="15"/>
      <c r="S140" s="15"/>
      <c r="T140" s="15"/>
      <c r="U140" s="15"/>
      <c r="V140" s="14" t="str">
        <f t="shared" si="12"/>
        <v/>
      </c>
      <c r="X140" s="16"/>
    </row>
    <row r="141" hidden="1">
      <c r="A141" s="6" t="str">
        <f t="shared" si="1"/>
        <v>2019_Běžný provoz_Příspěvky</v>
      </c>
      <c r="B141" s="17" t="s">
        <v>32</v>
      </c>
      <c r="C141" s="21" t="s">
        <v>34</v>
      </c>
      <c r="D141" s="7" t="str">
        <f>VLOOKUP(A141,'Rozpočet 2019'!J:J,1,FALSE)</f>
        <v>2019_Běžný provoz_Příspěvky</v>
      </c>
      <c r="E141" s="7" t="s">
        <v>197</v>
      </c>
      <c r="F141" s="8">
        <v>43563.0</v>
      </c>
      <c r="G141" s="7" t="s">
        <v>195</v>
      </c>
      <c r="H141" s="19" t="s">
        <v>119</v>
      </c>
      <c r="I141" s="12">
        <v>1800.0</v>
      </c>
      <c r="J141" s="12"/>
      <c r="K141" s="20">
        <f t="shared" si="10"/>
        <v>1800</v>
      </c>
      <c r="L141" s="13"/>
      <c r="M141" s="13"/>
      <c r="N141" s="14">
        <f t="shared" si="4"/>
        <v>168543</v>
      </c>
      <c r="O141" s="6" t="s">
        <v>185</v>
      </c>
      <c r="P141" s="14"/>
      <c r="Q141" s="37"/>
      <c r="R141" s="15"/>
      <c r="S141" s="15"/>
      <c r="T141" s="15"/>
      <c r="U141" s="15"/>
      <c r="V141" s="14" t="str">
        <f t="shared" si="12"/>
        <v/>
      </c>
      <c r="X141" s="16"/>
    </row>
    <row r="142" hidden="1">
      <c r="A142" s="6" t="str">
        <f t="shared" si="1"/>
        <v>2019_Běžný provoz_Příspěvky</v>
      </c>
      <c r="B142" s="17" t="s">
        <v>32</v>
      </c>
      <c r="C142" s="21" t="s">
        <v>34</v>
      </c>
      <c r="D142" s="7" t="str">
        <f>VLOOKUP(A142,'Rozpočet 2019'!J:J,1,FALSE)</f>
        <v>2019_Běžný provoz_Příspěvky</v>
      </c>
      <c r="E142" s="7" t="s">
        <v>198</v>
      </c>
      <c r="F142" s="8">
        <v>43564.0</v>
      </c>
      <c r="G142" s="7" t="s">
        <v>195</v>
      </c>
      <c r="H142" s="19" t="s">
        <v>119</v>
      </c>
      <c r="I142" s="12">
        <v>900.0</v>
      </c>
      <c r="J142" s="12"/>
      <c r="K142" s="20">
        <f t="shared" si="10"/>
        <v>900</v>
      </c>
      <c r="L142" s="13"/>
      <c r="M142" s="13"/>
      <c r="N142" s="14">
        <f t="shared" si="4"/>
        <v>169443</v>
      </c>
      <c r="O142" s="6" t="s">
        <v>185</v>
      </c>
      <c r="P142" s="14"/>
      <c r="Q142" s="37"/>
      <c r="R142" s="15"/>
      <c r="S142" s="15"/>
      <c r="T142" s="15"/>
      <c r="U142" s="15"/>
      <c r="V142" s="14" t="str">
        <f t="shared" si="12"/>
        <v/>
      </c>
      <c r="X142" s="16"/>
    </row>
    <row r="143" hidden="1">
      <c r="A143" s="6" t="str">
        <f t="shared" si="1"/>
        <v>2019_Běžný provoz_Příspěvky</v>
      </c>
      <c r="B143" s="17" t="s">
        <v>32</v>
      </c>
      <c r="C143" s="21" t="s">
        <v>34</v>
      </c>
      <c r="D143" s="7" t="str">
        <f>VLOOKUP(A143,'Rozpočet 2019'!J:J,1,FALSE)</f>
        <v>2019_Běžný provoz_Příspěvky</v>
      </c>
      <c r="E143" s="7" t="s">
        <v>199</v>
      </c>
      <c r="F143" s="8">
        <v>43572.0</v>
      </c>
      <c r="G143" s="7" t="s">
        <v>195</v>
      </c>
      <c r="H143" s="19" t="s">
        <v>119</v>
      </c>
      <c r="I143" s="12">
        <v>1350.0</v>
      </c>
      <c r="J143" s="12"/>
      <c r="K143" s="20">
        <f t="shared" si="10"/>
        <v>1350</v>
      </c>
      <c r="L143" s="13"/>
      <c r="M143" s="13"/>
      <c r="N143" s="14">
        <f t="shared" si="4"/>
        <v>170793</v>
      </c>
      <c r="O143" s="6" t="s">
        <v>185</v>
      </c>
      <c r="P143" s="14"/>
      <c r="Q143" s="37"/>
      <c r="R143" s="15"/>
      <c r="S143" s="15"/>
      <c r="T143" s="15"/>
      <c r="U143" s="15"/>
      <c r="V143" s="14" t="str">
        <f t="shared" si="12"/>
        <v/>
      </c>
      <c r="X143" s="16"/>
    </row>
    <row r="144" hidden="1">
      <c r="A144" s="6" t="str">
        <f t="shared" si="1"/>
        <v>2019_Běžný provoz_Příspěvky</v>
      </c>
      <c r="B144" s="17" t="s">
        <v>32</v>
      </c>
      <c r="C144" s="21" t="s">
        <v>34</v>
      </c>
      <c r="D144" s="7" t="str">
        <f>VLOOKUP(A144,'Rozpočet 2019'!J:J,1,FALSE)</f>
        <v>2019_Běžný provoz_Příspěvky</v>
      </c>
      <c r="E144" s="7" t="s">
        <v>200</v>
      </c>
      <c r="F144" s="8">
        <v>43573.0</v>
      </c>
      <c r="H144" s="36" t="s">
        <v>125</v>
      </c>
      <c r="I144" s="12">
        <v>800.0</v>
      </c>
      <c r="J144" s="12"/>
      <c r="K144" s="20">
        <f t="shared" si="10"/>
        <v>800</v>
      </c>
      <c r="L144" s="13"/>
      <c r="M144" s="13"/>
      <c r="N144" s="14">
        <f t="shared" si="4"/>
        <v>171593</v>
      </c>
      <c r="O144" s="6" t="s">
        <v>185</v>
      </c>
      <c r="Q144" s="15"/>
      <c r="R144" s="15"/>
      <c r="S144" s="15"/>
      <c r="T144" s="15"/>
      <c r="U144" s="15"/>
      <c r="X144" s="16"/>
    </row>
    <row r="145" hidden="1">
      <c r="A145" s="6" t="str">
        <f t="shared" si="1"/>
        <v>2019_Běžný provoz_Příspěvky</v>
      </c>
      <c r="B145" s="17" t="s">
        <v>32</v>
      </c>
      <c r="C145" s="21" t="s">
        <v>34</v>
      </c>
      <c r="D145" s="7" t="str">
        <f>VLOOKUP(A145,'Rozpočet 2019'!J:J,1,FALSE)</f>
        <v>2019_Běžný provoz_Příspěvky</v>
      </c>
      <c r="E145" s="7" t="s">
        <v>201</v>
      </c>
      <c r="F145" s="8">
        <v>43581.0</v>
      </c>
      <c r="H145" s="36" t="s">
        <v>125</v>
      </c>
      <c r="I145" s="12">
        <v>1350.0</v>
      </c>
      <c r="J145" s="12"/>
      <c r="K145" s="20">
        <f t="shared" si="10"/>
        <v>1350</v>
      </c>
      <c r="L145" s="13"/>
      <c r="M145" s="13"/>
      <c r="N145" s="14">
        <f t="shared" si="4"/>
        <v>172943</v>
      </c>
      <c r="O145" s="6" t="s">
        <v>185</v>
      </c>
      <c r="Q145" s="15"/>
      <c r="R145" s="15"/>
      <c r="S145" s="15"/>
      <c r="T145" s="15"/>
      <c r="U145" s="15"/>
      <c r="X145" s="16"/>
    </row>
    <row r="146" hidden="1">
      <c r="A146" s="6" t="str">
        <f t="shared" si="1"/>
        <v>2019_Běžný provoz_Interní nájmy</v>
      </c>
      <c r="B146" s="17" t="s">
        <v>32</v>
      </c>
      <c r="C146" s="27" t="s">
        <v>49</v>
      </c>
      <c r="D146" s="7" t="str">
        <f>VLOOKUP(A146,'Rozpočet 2019'!J:J,1,FALSE)</f>
        <v>2019_Běžný provoz_Interní nájmy</v>
      </c>
      <c r="E146" s="7" t="s">
        <v>50</v>
      </c>
      <c r="F146" s="8">
        <v>43585.0</v>
      </c>
      <c r="G146" s="8">
        <v>43585.0</v>
      </c>
      <c r="H146" s="19" t="s">
        <v>125</v>
      </c>
      <c r="I146" s="12"/>
      <c r="J146" s="12">
        <v>6103.0</v>
      </c>
      <c r="K146" s="20">
        <f t="shared" si="10"/>
        <v>-6103</v>
      </c>
      <c r="L146" s="13"/>
      <c r="M146" s="13"/>
      <c r="N146" s="14">
        <f t="shared" si="4"/>
        <v>166840</v>
      </c>
      <c r="O146" s="6" t="s">
        <v>185</v>
      </c>
      <c r="P146" s="14"/>
      <c r="Q146" s="37"/>
      <c r="R146" s="15"/>
      <c r="S146" s="15"/>
      <c r="T146" s="15"/>
      <c r="U146" s="15"/>
      <c r="V146" s="14" t="str">
        <f t="shared" ref="V146:V164" si="13">IF(ISBLANK(Q146),"",SUM(Q146:U146)-N146)</f>
        <v/>
      </c>
      <c r="X146" s="16"/>
    </row>
    <row r="147" hidden="1">
      <c r="A147" s="6" t="str">
        <f t="shared" si="1"/>
        <v>2019_Běžný provoz_Interní nájmy</v>
      </c>
      <c r="B147" s="17" t="s">
        <v>32</v>
      </c>
      <c r="C147" s="27" t="s">
        <v>49</v>
      </c>
      <c r="D147" s="7" t="str">
        <f>VLOOKUP(A147,'Rozpočet 2019'!J:J,1,FALSE)</f>
        <v>2019_Běžný provoz_Interní nájmy</v>
      </c>
      <c r="E147" s="7" t="s">
        <v>51</v>
      </c>
      <c r="F147" s="8">
        <v>43585.0</v>
      </c>
      <c r="G147" s="8">
        <v>43585.0</v>
      </c>
      <c r="H147" s="19" t="s">
        <v>125</v>
      </c>
      <c r="I147" s="12"/>
      <c r="J147" s="12">
        <v>7488.0</v>
      </c>
      <c r="K147" s="20">
        <f t="shared" si="10"/>
        <v>-7488</v>
      </c>
      <c r="L147" s="13"/>
      <c r="M147" s="13"/>
      <c r="N147" s="14">
        <f t="shared" si="4"/>
        <v>159352</v>
      </c>
      <c r="O147" s="6" t="s">
        <v>185</v>
      </c>
      <c r="P147" s="14"/>
      <c r="Q147" s="37"/>
      <c r="R147" s="15"/>
      <c r="S147" s="15"/>
      <c r="T147" s="15"/>
      <c r="U147" s="15"/>
      <c r="V147" s="14" t="str">
        <f t="shared" si="13"/>
        <v/>
      </c>
      <c r="X147" s="16"/>
    </row>
    <row r="148" hidden="1">
      <c r="A148" s="6" t="str">
        <f t="shared" si="1"/>
        <v>2019_Běžný provoz_Příspěvky</v>
      </c>
      <c r="B148" s="17" t="s">
        <v>32</v>
      </c>
      <c r="C148" s="21" t="s">
        <v>34</v>
      </c>
      <c r="D148" s="7" t="str">
        <f>VLOOKUP(A148,'Rozpočet 2019'!J:J,1,FALSE)</f>
        <v>2019_Běžný provoz_Příspěvky</v>
      </c>
      <c r="E148" s="7" t="s">
        <v>202</v>
      </c>
      <c r="F148" s="8">
        <v>43587.0</v>
      </c>
      <c r="G148" s="7" t="s">
        <v>195</v>
      </c>
      <c r="H148" s="19" t="s">
        <v>119</v>
      </c>
      <c r="I148" s="12">
        <v>1750.0</v>
      </c>
      <c r="J148" s="12"/>
      <c r="K148" s="20">
        <f t="shared" si="10"/>
        <v>1750</v>
      </c>
      <c r="L148" s="13"/>
      <c r="M148" s="13"/>
      <c r="N148" s="14">
        <f t="shared" si="4"/>
        <v>161102</v>
      </c>
      <c r="O148" s="6" t="s">
        <v>185</v>
      </c>
      <c r="P148" s="14"/>
      <c r="Q148" s="37"/>
      <c r="R148" s="15"/>
      <c r="S148" s="15"/>
      <c r="T148" s="15"/>
      <c r="U148" s="15"/>
      <c r="V148" s="14" t="str">
        <f t="shared" si="13"/>
        <v/>
      </c>
      <c r="X148" s="16"/>
    </row>
    <row r="149" hidden="1">
      <c r="A149" s="6" t="str">
        <f t="shared" si="1"/>
        <v>2019_Běžný provoz_Materiál</v>
      </c>
      <c r="B149" s="17" t="s">
        <v>32</v>
      </c>
      <c r="C149" s="7" t="s">
        <v>148</v>
      </c>
      <c r="D149" s="7" t="str">
        <f>VLOOKUP(A149,'Rozpočet 2019'!J:J,1,FALSE)</f>
        <v>2019_Běžný provoz_Materiál</v>
      </c>
      <c r="E149" s="7" t="s">
        <v>203</v>
      </c>
      <c r="F149" s="8">
        <v>43592.0</v>
      </c>
      <c r="G149" s="7" t="s">
        <v>195</v>
      </c>
      <c r="H149" s="19" t="s">
        <v>119</v>
      </c>
      <c r="I149" s="12"/>
      <c r="J149" s="12">
        <v>150.0</v>
      </c>
      <c r="K149" s="20">
        <f t="shared" si="10"/>
        <v>-150</v>
      </c>
      <c r="L149" s="13"/>
      <c r="M149" s="13"/>
      <c r="N149" s="14">
        <f t="shared" si="4"/>
        <v>160952</v>
      </c>
      <c r="O149" s="6" t="s">
        <v>185</v>
      </c>
      <c r="P149" s="14"/>
      <c r="Q149" s="37"/>
      <c r="R149" s="15"/>
      <c r="S149" s="15"/>
      <c r="T149" s="15"/>
      <c r="U149" s="15"/>
      <c r="V149" s="14" t="str">
        <f t="shared" si="13"/>
        <v/>
      </c>
      <c r="X149" s="16"/>
    </row>
    <row r="150" hidden="1">
      <c r="A150" s="6" t="str">
        <f t="shared" si="1"/>
        <v>2019_Běžný provoz_Příspěvky</v>
      </c>
      <c r="B150" s="17" t="s">
        <v>32</v>
      </c>
      <c r="C150" s="21" t="s">
        <v>34</v>
      </c>
      <c r="D150" s="7" t="str">
        <f>VLOOKUP(A150,'Rozpočet 2019'!J:J,1,FALSE)</f>
        <v>2019_Běžný provoz_Příspěvky</v>
      </c>
      <c r="E150" s="7" t="s">
        <v>204</v>
      </c>
      <c r="F150" s="8">
        <v>43594.0</v>
      </c>
      <c r="G150" s="7" t="s">
        <v>195</v>
      </c>
      <c r="H150" s="19" t="s">
        <v>119</v>
      </c>
      <c r="I150" s="12">
        <v>1300.0</v>
      </c>
      <c r="J150" s="12"/>
      <c r="K150" s="20">
        <f t="shared" si="10"/>
        <v>1300</v>
      </c>
      <c r="L150" s="13"/>
      <c r="M150" s="13"/>
      <c r="N150" s="14">
        <f t="shared" si="4"/>
        <v>162252</v>
      </c>
      <c r="O150" s="6" t="s">
        <v>185</v>
      </c>
      <c r="P150" s="14"/>
      <c r="Q150" s="37"/>
      <c r="R150" s="15"/>
      <c r="S150" s="15"/>
      <c r="T150" s="15"/>
      <c r="U150" s="15"/>
      <c r="V150" s="14" t="str">
        <f t="shared" si="13"/>
        <v/>
      </c>
      <c r="X150" s="16"/>
    </row>
    <row r="151" hidden="1">
      <c r="A151" s="6" t="str">
        <f t="shared" si="1"/>
        <v>2019_Běžný provoz_Materiál</v>
      </c>
      <c r="B151" s="17" t="s">
        <v>32</v>
      </c>
      <c r="C151" s="7" t="s">
        <v>148</v>
      </c>
      <c r="D151" s="7" t="str">
        <f>VLOOKUP(A151,'Rozpočet 2019'!J:J,1,FALSE)</f>
        <v>2019_Běžný provoz_Materiál</v>
      </c>
      <c r="E151" s="7" t="s">
        <v>205</v>
      </c>
      <c r="F151" s="8">
        <v>43595.0</v>
      </c>
      <c r="G151" s="7" t="s">
        <v>206</v>
      </c>
      <c r="H151" s="19" t="s">
        <v>119</v>
      </c>
      <c r="I151" s="12"/>
      <c r="J151" s="12">
        <v>1540.0</v>
      </c>
      <c r="K151" s="20">
        <f t="shared" si="10"/>
        <v>-1540</v>
      </c>
      <c r="L151" s="13"/>
      <c r="M151" s="13"/>
      <c r="N151" s="14">
        <f t="shared" si="4"/>
        <v>160712</v>
      </c>
      <c r="O151" s="6" t="s">
        <v>185</v>
      </c>
      <c r="P151" s="14"/>
      <c r="Q151" s="37"/>
      <c r="R151" s="15"/>
      <c r="S151" s="15"/>
      <c r="T151" s="15"/>
      <c r="U151" s="15"/>
      <c r="V151" s="14" t="str">
        <f t="shared" si="13"/>
        <v/>
      </c>
      <c r="X151" s="16"/>
    </row>
    <row r="152" hidden="1">
      <c r="A152" s="6" t="str">
        <f t="shared" si="1"/>
        <v>2019_Podpora činnosti_Podpora ČPV</v>
      </c>
      <c r="B152" s="28" t="s">
        <v>61</v>
      </c>
      <c r="C152" s="25" t="s">
        <v>143</v>
      </c>
      <c r="D152" s="7" t="str">
        <f>VLOOKUP(A152,'Rozpočet 2019'!J:J,1,FALSE)</f>
        <v>2019_Podpora činnosti_Podpora ČPV</v>
      </c>
      <c r="E152" s="7" t="s">
        <v>207</v>
      </c>
      <c r="F152" s="8">
        <v>43612.0</v>
      </c>
      <c r="G152" s="7" t="s">
        <v>195</v>
      </c>
      <c r="H152" s="19" t="s">
        <v>119</v>
      </c>
      <c r="I152" s="12"/>
      <c r="J152" s="12">
        <v>600.0</v>
      </c>
      <c r="K152" s="20">
        <f t="shared" si="10"/>
        <v>-600</v>
      </c>
      <c r="L152" s="13"/>
      <c r="M152" s="13"/>
      <c r="N152" s="14">
        <f t="shared" si="4"/>
        <v>160112</v>
      </c>
      <c r="O152" s="6" t="s">
        <v>185</v>
      </c>
      <c r="P152" s="14"/>
      <c r="Q152" s="37"/>
      <c r="R152" s="15"/>
      <c r="S152" s="2" t="s">
        <v>120</v>
      </c>
      <c r="T152" s="2" t="s">
        <v>19</v>
      </c>
      <c r="U152" s="15"/>
      <c r="V152" s="14" t="str">
        <f t="shared" si="13"/>
        <v/>
      </c>
      <c r="X152" s="16"/>
    </row>
    <row r="153" hidden="1">
      <c r="A153" s="6" t="str">
        <f t="shared" si="1"/>
        <v>2019_Podpora činnosti_Podpora zahraniční zájezd</v>
      </c>
      <c r="B153" s="28" t="s">
        <v>61</v>
      </c>
      <c r="C153" s="25" t="s">
        <v>153</v>
      </c>
      <c r="D153" s="7" t="str">
        <f>VLOOKUP(A153,'Rozpočet 2019'!J:J,1,FALSE)</f>
        <v>2019_Podpora činnosti_Podpora zahraniční zájezd</v>
      </c>
      <c r="E153" s="7" t="s">
        <v>208</v>
      </c>
      <c r="F153" s="8">
        <v>43618.0</v>
      </c>
      <c r="G153" s="7" t="s">
        <v>195</v>
      </c>
      <c r="H153" s="19" t="s">
        <v>119</v>
      </c>
      <c r="I153" s="12"/>
      <c r="J153" s="12">
        <v>4000.0</v>
      </c>
      <c r="K153" s="20">
        <f t="shared" si="10"/>
        <v>-4000</v>
      </c>
      <c r="L153" s="13"/>
      <c r="M153" s="13"/>
      <c r="N153" s="14">
        <f t="shared" si="4"/>
        <v>156112</v>
      </c>
      <c r="O153" s="6" t="s">
        <v>185</v>
      </c>
      <c r="P153" s="14"/>
      <c r="Q153" s="37"/>
      <c r="R153" s="15"/>
      <c r="S153" s="2" t="s">
        <v>126</v>
      </c>
      <c r="T153" s="2" t="s">
        <v>127</v>
      </c>
      <c r="U153" s="15"/>
      <c r="V153" s="14" t="str">
        <f t="shared" si="13"/>
        <v/>
      </c>
      <c r="X153" s="16"/>
    </row>
    <row r="154" hidden="1">
      <c r="A154" s="6" t="str">
        <f t="shared" si="1"/>
        <v>2019_Běžný provoz_Údržba vleků</v>
      </c>
      <c r="B154" s="17" t="s">
        <v>32</v>
      </c>
      <c r="C154" s="7" t="s">
        <v>71</v>
      </c>
      <c r="D154" s="7" t="str">
        <f>VLOOKUP(A154,'Rozpočet 2019'!J:J,1,FALSE)</f>
        <v>2019_Běžný provoz_Údržba vleků</v>
      </c>
      <c r="E154" s="7" t="s">
        <v>209</v>
      </c>
      <c r="F154" s="8">
        <v>43637.0</v>
      </c>
      <c r="G154" s="7" t="s">
        <v>195</v>
      </c>
      <c r="H154" s="19" t="s">
        <v>119</v>
      </c>
      <c r="I154" s="12"/>
      <c r="J154" s="12">
        <v>1200.0</v>
      </c>
      <c r="K154" s="20">
        <f t="shared" si="10"/>
        <v>-1200</v>
      </c>
      <c r="L154" s="13"/>
      <c r="M154" s="13"/>
      <c r="N154" s="14">
        <f t="shared" si="4"/>
        <v>154912</v>
      </c>
      <c r="O154" s="6" t="s">
        <v>185</v>
      </c>
      <c r="P154" s="14"/>
      <c r="Q154" s="35">
        <f>$Q$137+20300-13591+800+1350</f>
        <v>53039</v>
      </c>
      <c r="R154" s="15">
        <v>19487.0</v>
      </c>
      <c r="S154" s="15">
        <f>2000+2035+70001</f>
        <v>74036</v>
      </c>
      <c r="T154" s="15">
        <v>8400.0</v>
      </c>
      <c r="U154" s="15"/>
      <c r="V154" s="14">
        <f t="shared" si="13"/>
        <v>50</v>
      </c>
      <c r="X154" s="16"/>
      <c r="Z154" s="16">
        <v>43673.0</v>
      </c>
    </row>
    <row r="155" hidden="1">
      <c r="A155" s="6" t="str">
        <f t="shared" si="1"/>
        <v>2019_Hamerák-akce_Náklady příprava</v>
      </c>
      <c r="B155" s="23" t="s">
        <v>37</v>
      </c>
      <c r="C155" s="24" t="s">
        <v>158</v>
      </c>
      <c r="D155" s="7" t="str">
        <f>VLOOKUP(A155,'Rozpočet 2019'!J:J,1,FALSE)</f>
        <v>2019_Hamerák-akce_Náklady příprava</v>
      </c>
      <c r="E155" s="7" t="s">
        <v>210</v>
      </c>
      <c r="F155" s="8">
        <v>43675.0</v>
      </c>
      <c r="G155" s="38"/>
      <c r="H155" s="19" t="s">
        <v>119</v>
      </c>
      <c r="I155" s="12"/>
      <c r="J155" s="12">
        <v>247.0</v>
      </c>
      <c r="K155" s="20">
        <f t="shared" si="10"/>
        <v>-247</v>
      </c>
      <c r="L155" s="13"/>
      <c r="M155" s="13"/>
      <c r="N155" s="14">
        <f t="shared" si="4"/>
        <v>154665</v>
      </c>
      <c r="O155" s="6" t="s">
        <v>185</v>
      </c>
      <c r="P155" s="14"/>
      <c r="Q155" s="15"/>
      <c r="R155" s="15"/>
      <c r="S155" s="15"/>
      <c r="T155" s="15"/>
      <c r="U155" s="15"/>
      <c r="V155" s="14" t="str">
        <f t="shared" si="13"/>
        <v/>
      </c>
      <c r="X155" s="16"/>
    </row>
    <row r="156" hidden="1">
      <c r="A156" s="6" t="str">
        <f t="shared" si="1"/>
        <v>2019_Hamerák-akce_Náklady příprava</v>
      </c>
      <c r="B156" s="23" t="s">
        <v>37</v>
      </c>
      <c r="C156" s="24" t="s">
        <v>158</v>
      </c>
      <c r="D156" s="7" t="str">
        <f>VLOOKUP(A156,'Rozpočet 2019'!J:J,1,FALSE)</f>
        <v>2019_Hamerák-akce_Náklady příprava</v>
      </c>
      <c r="E156" s="7" t="s">
        <v>211</v>
      </c>
      <c r="F156" s="8">
        <v>43675.0</v>
      </c>
      <c r="H156" s="19" t="s">
        <v>119</v>
      </c>
      <c r="I156" s="12"/>
      <c r="J156" s="12">
        <v>114.0</v>
      </c>
      <c r="K156" s="20">
        <f t="shared" si="10"/>
        <v>-114</v>
      </c>
      <c r="L156" s="13"/>
      <c r="M156" s="13"/>
      <c r="N156" s="14">
        <f t="shared" si="4"/>
        <v>154551</v>
      </c>
      <c r="O156" s="6" t="s">
        <v>185</v>
      </c>
      <c r="P156" s="14"/>
      <c r="Q156" s="15"/>
      <c r="R156" s="15"/>
      <c r="S156" s="15"/>
      <c r="T156" s="15"/>
      <c r="U156" s="15"/>
      <c r="V156" s="14" t="str">
        <f t="shared" si="13"/>
        <v/>
      </c>
      <c r="X156" s="16"/>
    </row>
    <row r="157" hidden="1">
      <c r="A157" s="6" t="str">
        <f t="shared" si="1"/>
        <v>2019_Běžný provoz_Interní nájmy</v>
      </c>
      <c r="B157" s="17" t="s">
        <v>32</v>
      </c>
      <c r="C157" s="27" t="s">
        <v>49</v>
      </c>
      <c r="D157" s="7" t="str">
        <f>VLOOKUP(A157,'Rozpočet 2019'!J:J,1,FALSE)</f>
        <v>2019_Běžný provoz_Interní nájmy</v>
      </c>
      <c r="E157" s="7" t="s">
        <v>50</v>
      </c>
      <c r="F157" s="8">
        <v>43677.0</v>
      </c>
      <c r="G157" s="8">
        <v>43677.0</v>
      </c>
      <c r="H157" s="19" t="s">
        <v>125</v>
      </c>
      <c r="I157" s="12"/>
      <c r="J157" s="12">
        <v>6103.0</v>
      </c>
      <c r="K157" s="20">
        <f t="shared" si="10"/>
        <v>-6103</v>
      </c>
      <c r="L157" s="13"/>
      <c r="M157" s="13"/>
      <c r="N157" s="14">
        <f t="shared" si="4"/>
        <v>148448</v>
      </c>
      <c r="O157" s="6" t="s">
        <v>185</v>
      </c>
      <c r="P157" s="14"/>
      <c r="Q157" s="15"/>
      <c r="R157" s="15"/>
      <c r="S157" s="15"/>
      <c r="T157" s="15"/>
      <c r="U157" s="15"/>
      <c r="V157" s="14" t="str">
        <f t="shared" si="13"/>
        <v/>
      </c>
      <c r="X157" s="16"/>
    </row>
    <row r="158" hidden="1">
      <c r="A158" s="6" t="str">
        <f t="shared" si="1"/>
        <v>2019_Běžný provoz_Údržba vleků</v>
      </c>
      <c r="B158" s="17" t="s">
        <v>32</v>
      </c>
      <c r="C158" s="7" t="s">
        <v>71</v>
      </c>
      <c r="D158" s="7" t="str">
        <f>VLOOKUP(A158,'Rozpočet 2019'!J:J,1,FALSE)</f>
        <v>2019_Běžný provoz_Údržba vleků</v>
      </c>
      <c r="E158" s="7" t="s">
        <v>164</v>
      </c>
      <c r="F158" s="8">
        <v>43681.0</v>
      </c>
      <c r="H158" s="19" t="s">
        <v>156</v>
      </c>
      <c r="I158" s="12">
        <v>5000.0</v>
      </c>
      <c r="J158" s="12"/>
      <c r="K158" s="20">
        <f t="shared" si="10"/>
        <v>5000</v>
      </c>
      <c r="L158" s="13"/>
      <c r="M158" s="13"/>
      <c r="N158" s="14">
        <f t="shared" si="4"/>
        <v>153448</v>
      </c>
      <c r="O158" s="6" t="s">
        <v>185</v>
      </c>
      <c r="Q158" s="15"/>
      <c r="R158" s="15"/>
      <c r="S158" s="15"/>
      <c r="T158" s="15"/>
      <c r="U158" s="15"/>
      <c r="V158" s="14" t="str">
        <f t="shared" si="13"/>
        <v/>
      </c>
    </row>
    <row r="159" hidden="1">
      <c r="A159" s="6" t="str">
        <f t="shared" si="1"/>
        <v>2019_Hamerák-akce_Náklady příprava</v>
      </c>
      <c r="B159" s="23" t="s">
        <v>37</v>
      </c>
      <c r="C159" s="24" t="s">
        <v>158</v>
      </c>
      <c r="D159" s="7" t="str">
        <f>VLOOKUP(A159,'Rozpočet 2019'!J:J,1,FALSE)</f>
        <v>2019_Hamerák-akce_Náklady příprava</v>
      </c>
      <c r="E159" s="7" t="s">
        <v>212</v>
      </c>
      <c r="F159" s="8">
        <v>43681.0</v>
      </c>
      <c r="H159" s="19" t="s">
        <v>156</v>
      </c>
      <c r="I159" s="12"/>
      <c r="J159" s="12">
        <v>5000.0</v>
      </c>
      <c r="K159" s="20">
        <f t="shared" si="10"/>
        <v>-5000</v>
      </c>
      <c r="L159" s="13"/>
      <c r="M159" s="13"/>
      <c r="N159" s="14">
        <f t="shared" si="4"/>
        <v>148448</v>
      </c>
      <c r="O159" s="6" t="s">
        <v>185</v>
      </c>
      <c r="Q159" s="15"/>
      <c r="R159" s="15"/>
      <c r="S159" s="15"/>
      <c r="T159" s="15"/>
      <c r="U159" s="15"/>
      <c r="V159" s="14" t="str">
        <f t="shared" si="13"/>
        <v/>
      </c>
    </row>
    <row r="160" hidden="1">
      <c r="A160" s="6" t="str">
        <f t="shared" si="1"/>
        <v>2019_Běžný provoz_Výdaje ostatní</v>
      </c>
      <c r="B160" s="17" t="s">
        <v>32</v>
      </c>
      <c r="C160" s="7" t="s">
        <v>165</v>
      </c>
      <c r="D160" s="7" t="str">
        <f>VLOOKUP(A160,'Rozpočet 2019'!J:J,1,FALSE)</f>
        <v>2019_Běžný provoz_Výdaje ostatní</v>
      </c>
      <c r="E160" s="7" t="s">
        <v>166</v>
      </c>
      <c r="F160" s="8">
        <v>43690.0</v>
      </c>
      <c r="H160" s="19" t="s">
        <v>119</v>
      </c>
      <c r="I160" s="12"/>
      <c r="J160" s="12">
        <v>241.0</v>
      </c>
      <c r="K160" s="20">
        <f t="shared" si="10"/>
        <v>-241</v>
      </c>
      <c r="L160" s="13"/>
      <c r="M160" s="13"/>
      <c r="N160" s="14">
        <f t="shared" si="4"/>
        <v>148207</v>
      </c>
      <c r="O160" s="6" t="s">
        <v>185</v>
      </c>
      <c r="P160" s="14"/>
      <c r="Q160" s="15"/>
      <c r="R160" s="15"/>
      <c r="S160" s="15"/>
      <c r="T160" s="15"/>
      <c r="U160" s="15"/>
      <c r="V160" s="14" t="str">
        <f t="shared" si="13"/>
        <v/>
      </c>
      <c r="X160" s="16"/>
    </row>
    <row r="161" hidden="1">
      <c r="A161" s="6" t="str">
        <f t="shared" si="1"/>
        <v>2019_Podpora činnosti_Podpora ČPV</v>
      </c>
      <c r="B161" s="28" t="s">
        <v>61</v>
      </c>
      <c r="C161" s="25" t="s">
        <v>143</v>
      </c>
      <c r="D161" s="7" t="str">
        <f>VLOOKUP(A161,'Rozpočet 2019'!J:J,1,FALSE)</f>
        <v>2019_Podpora činnosti_Podpora ČPV</v>
      </c>
      <c r="E161" s="7" t="s">
        <v>213</v>
      </c>
      <c r="F161" s="8">
        <v>43693.0</v>
      </c>
      <c r="G161" s="7" t="s">
        <v>195</v>
      </c>
      <c r="H161" s="19" t="s">
        <v>119</v>
      </c>
      <c r="I161" s="12"/>
      <c r="J161" s="12">
        <v>3000.0</v>
      </c>
      <c r="K161" s="20">
        <f t="shared" si="10"/>
        <v>-3000</v>
      </c>
      <c r="L161" s="13"/>
      <c r="M161" s="13"/>
      <c r="N161" s="14">
        <f t="shared" si="4"/>
        <v>145207</v>
      </c>
      <c r="O161" s="6" t="s">
        <v>185</v>
      </c>
      <c r="P161" s="14"/>
      <c r="Q161" s="15"/>
      <c r="R161" s="15"/>
      <c r="S161" s="15"/>
      <c r="T161" s="15"/>
      <c r="U161" s="15"/>
      <c r="V161" s="14" t="str">
        <f t="shared" si="13"/>
        <v/>
      </c>
      <c r="X161" s="16"/>
    </row>
    <row r="162" hidden="1">
      <c r="A162" s="6" t="str">
        <f t="shared" si="1"/>
        <v>2019_Běžný provoz_Údržba vleků</v>
      </c>
      <c r="B162" s="17" t="s">
        <v>32</v>
      </c>
      <c r="C162" s="7" t="s">
        <v>71</v>
      </c>
      <c r="D162" s="7" t="str">
        <f>VLOOKUP(A162,'Rozpočet 2019'!J:J,1,FALSE)</f>
        <v>2019_Běžný provoz_Údržba vleků</v>
      </c>
      <c r="E162" s="7" t="s">
        <v>214</v>
      </c>
      <c r="F162" s="8">
        <v>43708.0</v>
      </c>
      <c r="H162" s="19"/>
      <c r="I162" s="12"/>
      <c r="J162" s="12">
        <v>2300.0</v>
      </c>
      <c r="K162" s="20">
        <f t="shared" si="10"/>
        <v>-2300</v>
      </c>
      <c r="L162" s="13"/>
      <c r="M162" s="13"/>
      <c r="N162" s="14">
        <f t="shared" si="4"/>
        <v>142907</v>
      </c>
      <c r="O162" s="6" t="s">
        <v>185</v>
      </c>
      <c r="P162" s="14"/>
      <c r="Q162" s="15"/>
      <c r="R162" s="15"/>
      <c r="S162" s="15"/>
      <c r="T162" s="15"/>
      <c r="U162" s="15"/>
      <c r="V162" s="14" t="str">
        <f t="shared" si="13"/>
        <v/>
      </c>
      <c r="X162" s="16"/>
    </row>
    <row r="163" hidden="1">
      <c r="A163" s="6" t="str">
        <f t="shared" si="1"/>
        <v>2019_Hamerák-akce_Náklady příprava</v>
      </c>
      <c r="B163" s="23" t="s">
        <v>37</v>
      </c>
      <c r="C163" s="24" t="s">
        <v>158</v>
      </c>
      <c r="D163" s="7" t="str">
        <f>VLOOKUP(A163,'Rozpočet 2019'!J:J,1,FALSE)</f>
        <v>2019_Hamerák-akce_Náklady příprava</v>
      </c>
      <c r="E163" s="7" t="s">
        <v>215</v>
      </c>
      <c r="F163" s="8">
        <v>43735.0</v>
      </c>
      <c r="H163" s="19" t="s">
        <v>119</v>
      </c>
      <c r="I163" s="12"/>
      <c r="J163" s="12">
        <v>443.0</v>
      </c>
      <c r="K163" s="20">
        <f t="shared" si="10"/>
        <v>-443</v>
      </c>
      <c r="L163" s="13"/>
      <c r="M163" s="13"/>
      <c r="N163" s="14">
        <f t="shared" si="4"/>
        <v>142464</v>
      </c>
      <c r="O163" s="6" t="s">
        <v>185</v>
      </c>
      <c r="P163" s="14"/>
      <c r="Q163" s="15"/>
      <c r="R163" s="15"/>
      <c r="S163" s="15"/>
      <c r="T163" s="15"/>
      <c r="U163" s="15"/>
      <c r="V163" s="14" t="str">
        <f t="shared" si="13"/>
        <v/>
      </c>
      <c r="X163" s="16"/>
    </row>
    <row r="164" hidden="1">
      <c r="A164" s="6" t="str">
        <f t="shared" si="1"/>
        <v>2019_Hamerák-akce_Náklady příprava</v>
      </c>
      <c r="B164" s="23" t="s">
        <v>37</v>
      </c>
      <c r="C164" s="24" t="s">
        <v>158</v>
      </c>
      <c r="D164" s="7" t="str">
        <f>VLOOKUP(A164,'Rozpočet 2019'!J:J,1,FALSE)</f>
        <v>2019_Hamerák-akce_Náklady příprava</v>
      </c>
      <c r="E164" s="7" t="s">
        <v>216</v>
      </c>
      <c r="F164" s="8">
        <v>43735.0</v>
      </c>
      <c r="H164" s="19" t="s">
        <v>119</v>
      </c>
      <c r="I164" s="12"/>
      <c r="J164" s="12">
        <v>3033.0</v>
      </c>
      <c r="K164" s="20">
        <f t="shared" si="10"/>
        <v>-3033</v>
      </c>
      <c r="L164" s="13"/>
      <c r="M164" s="13"/>
      <c r="N164" s="14">
        <f t="shared" si="4"/>
        <v>139431</v>
      </c>
      <c r="O164" s="6" t="s">
        <v>185</v>
      </c>
      <c r="P164" s="14"/>
      <c r="Q164" s="15"/>
      <c r="R164" s="15"/>
      <c r="S164" s="15"/>
      <c r="T164" s="15"/>
      <c r="U164" s="15"/>
      <c r="V164" s="14" t="str">
        <f t="shared" si="13"/>
        <v/>
      </c>
      <c r="X164" s="16"/>
    </row>
    <row r="165" hidden="1">
      <c r="A165" s="6" t="str">
        <f t="shared" si="1"/>
        <v>2019_Hamerák-akce_Náklady příprava</v>
      </c>
      <c r="B165" s="23" t="s">
        <v>37</v>
      </c>
      <c r="C165" s="24" t="s">
        <v>158</v>
      </c>
      <c r="D165" s="7" t="str">
        <f>VLOOKUP(A165,'Rozpočet 2019'!J:J,1,FALSE)</f>
        <v>2019_Hamerák-akce_Náklady příprava</v>
      </c>
      <c r="E165" s="7" t="s">
        <v>217</v>
      </c>
      <c r="F165" s="8">
        <v>43735.0</v>
      </c>
      <c r="H165" s="36" t="s">
        <v>125</v>
      </c>
      <c r="I165" s="12"/>
      <c r="J165" s="12">
        <v>6000.0</v>
      </c>
      <c r="K165" s="20">
        <f t="shared" si="10"/>
        <v>-6000</v>
      </c>
      <c r="L165" s="13"/>
      <c r="M165" s="13"/>
      <c r="N165" s="14">
        <f t="shared" si="4"/>
        <v>133431</v>
      </c>
      <c r="O165" s="6" t="s">
        <v>185</v>
      </c>
      <c r="Q165" s="15"/>
      <c r="R165" s="15"/>
      <c r="S165" s="15"/>
      <c r="T165" s="15"/>
      <c r="U165" s="15"/>
      <c r="X165" s="16"/>
    </row>
    <row r="166" hidden="1">
      <c r="A166" s="6" t="str">
        <f t="shared" si="1"/>
        <v>2019_Hamerák-akce_Náklady příprava</v>
      </c>
      <c r="B166" s="23" t="s">
        <v>37</v>
      </c>
      <c r="C166" s="24" t="s">
        <v>158</v>
      </c>
      <c r="D166" s="7" t="str">
        <f>VLOOKUP(A166,'Rozpočet 2019'!J:J,1,FALSE)</f>
        <v>2019_Hamerák-akce_Náklady příprava</v>
      </c>
      <c r="E166" s="7" t="s">
        <v>218</v>
      </c>
      <c r="F166" s="8">
        <v>43738.0</v>
      </c>
      <c r="H166" s="36" t="s">
        <v>125</v>
      </c>
      <c r="I166" s="12"/>
      <c r="J166" s="12">
        <v>2338.0</v>
      </c>
      <c r="K166" s="20">
        <f t="shared" si="10"/>
        <v>-2338</v>
      </c>
      <c r="L166" s="13"/>
      <c r="M166" s="13"/>
      <c r="N166" s="14">
        <f t="shared" si="4"/>
        <v>131093</v>
      </c>
      <c r="O166" s="6" t="s">
        <v>185</v>
      </c>
      <c r="Q166" s="15"/>
      <c r="R166" s="15"/>
      <c r="S166" s="15"/>
      <c r="T166" s="15"/>
      <c r="U166" s="15"/>
      <c r="X166" s="16"/>
    </row>
    <row r="167" hidden="1">
      <c r="A167" s="6" t="str">
        <f t="shared" si="1"/>
        <v>2019_Hamerák-akce_Hamerák finance</v>
      </c>
      <c r="B167" s="23" t="s">
        <v>37</v>
      </c>
      <c r="C167" s="24" t="s">
        <v>95</v>
      </c>
      <c r="D167" s="7" t="str">
        <f>VLOOKUP(A167,'Rozpočet 2019'!J:J,1,FALSE)</f>
        <v>2019_Hamerák-akce_Hamerák finance</v>
      </c>
      <c r="E167" s="7" t="s">
        <v>219</v>
      </c>
      <c r="F167" s="39">
        <v>43739.0</v>
      </c>
      <c r="H167" s="19" t="s">
        <v>156</v>
      </c>
      <c r="I167" s="12"/>
      <c r="J167" s="12">
        <v>20000.0</v>
      </c>
      <c r="K167" s="20">
        <f t="shared" si="10"/>
        <v>-20000</v>
      </c>
      <c r="L167" s="13"/>
      <c r="M167" s="13"/>
      <c r="N167" s="14">
        <f t="shared" si="4"/>
        <v>111093</v>
      </c>
      <c r="O167" s="6" t="s">
        <v>185</v>
      </c>
      <c r="Q167" s="15"/>
      <c r="R167" s="15"/>
      <c r="S167" s="15"/>
      <c r="T167" s="15"/>
      <c r="U167" s="15"/>
      <c r="X167" s="16"/>
    </row>
    <row r="168" hidden="1">
      <c r="A168" s="6" t="str">
        <f t="shared" si="1"/>
        <v>2019_Hamerák-akce_Hamerák finance</v>
      </c>
      <c r="B168" s="23" t="s">
        <v>37</v>
      </c>
      <c r="C168" s="24" t="s">
        <v>95</v>
      </c>
      <c r="D168" s="7" t="str">
        <f>VLOOKUP(A168,'Rozpočet 2019'!J:J,1,FALSE)</f>
        <v>2019_Hamerák-akce_Hamerák finance</v>
      </c>
      <c r="E168" s="7" t="s">
        <v>220</v>
      </c>
      <c r="F168" s="39">
        <v>43739.0</v>
      </c>
      <c r="H168" s="19" t="s">
        <v>156</v>
      </c>
      <c r="I168" s="12"/>
      <c r="J168" s="12">
        <v>8400.0</v>
      </c>
      <c r="K168" s="20">
        <f t="shared" si="10"/>
        <v>-8400</v>
      </c>
      <c r="L168" s="13"/>
      <c r="M168" s="13"/>
      <c r="N168" s="14">
        <f t="shared" si="4"/>
        <v>102693</v>
      </c>
      <c r="O168" s="6" t="s">
        <v>185</v>
      </c>
      <c r="Q168" s="15"/>
      <c r="R168" s="15"/>
      <c r="S168" s="15"/>
      <c r="T168" s="15"/>
      <c r="U168" s="15"/>
      <c r="V168" s="14" t="str">
        <f t="shared" ref="V168:V169" si="14">IF(ISBLANK(Q168),"",SUM(Q168:U168)-N168)</f>
        <v/>
      </c>
    </row>
    <row r="169" hidden="1">
      <c r="A169" s="6" t="str">
        <f t="shared" si="1"/>
        <v>2019_Běžný provoz_Příspěvky</v>
      </c>
      <c r="B169" s="17" t="s">
        <v>32</v>
      </c>
      <c r="C169" s="21" t="s">
        <v>34</v>
      </c>
      <c r="D169" s="7" t="str">
        <f>VLOOKUP(A169,'Rozpočet 2019'!J:J,1,FALSE)</f>
        <v>2019_Běžný provoz_Příspěvky</v>
      </c>
      <c r="E169" s="7" t="s">
        <v>221</v>
      </c>
      <c r="F169" s="8">
        <v>43741.0</v>
      </c>
      <c r="H169" s="19" t="s">
        <v>119</v>
      </c>
      <c r="I169" s="12">
        <v>900.0</v>
      </c>
      <c r="J169" s="12"/>
      <c r="K169" s="20">
        <f t="shared" si="10"/>
        <v>900</v>
      </c>
      <c r="L169" s="13"/>
      <c r="M169" s="13"/>
      <c r="N169" s="14">
        <f t="shared" si="4"/>
        <v>103593</v>
      </c>
      <c r="O169" s="6" t="s">
        <v>185</v>
      </c>
      <c r="P169" s="14"/>
      <c r="Q169" s="15"/>
      <c r="R169" s="15"/>
      <c r="S169" s="15"/>
      <c r="T169" s="15"/>
      <c r="U169" s="15"/>
      <c r="V169" s="14" t="str">
        <f t="shared" si="14"/>
        <v/>
      </c>
      <c r="X169" s="16"/>
    </row>
    <row r="170" hidden="1">
      <c r="A170" s="6" t="str">
        <f t="shared" si="1"/>
        <v>2019_Hamerák-akce_Hamerák finance</v>
      </c>
      <c r="B170" s="23" t="s">
        <v>37</v>
      </c>
      <c r="C170" s="24" t="s">
        <v>95</v>
      </c>
      <c r="D170" s="7" t="str">
        <f>VLOOKUP(A170,'Rozpočet 2019'!J:J,1,FALSE)</f>
        <v>2019_Hamerák-akce_Hamerák finance</v>
      </c>
      <c r="E170" s="7" t="s">
        <v>222</v>
      </c>
      <c r="F170" s="39">
        <v>43744.0</v>
      </c>
      <c r="H170" s="19" t="s">
        <v>156</v>
      </c>
      <c r="I170" s="12">
        <v>14204.0</v>
      </c>
      <c r="J170" s="12"/>
      <c r="K170" s="20">
        <f t="shared" si="10"/>
        <v>14204</v>
      </c>
      <c r="L170" s="13"/>
      <c r="M170" s="13"/>
      <c r="N170" s="14">
        <f t="shared" si="4"/>
        <v>117797</v>
      </c>
      <c r="O170" s="6" t="s">
        <v>185</v>
      </c>
      <c r="Q170" s="15"/>
      <c r="R170" s="15"/>
      <c r="S170" s="15"/>
      <c r="T170" s="15"/>
      <c r="U170" s="15"/>
      <c r="X170" s="16"/>
    </row>
    <row r="171" hidden="1">
      <c r="A171" s="6" t="str">
        <f t="shared" si="1"/>
        <v>2019_Podpora činnosti_Příjmy dotace</v>
      </c>
      <c r="B171" s="28" t="s">
        <v>61</v>
      </c>
      <c r="C171" s="7" t="s">
        <v>122</v>
      </c>
      <c r="D171" s="7" t="str">
        <f>VLOOKUP(A171,'Rozpočet 2019'!J:J,1,FALSE)</f>
        <v>2019_Podpora činnosti_Příjmy dotace</v>
      </c>
      <c r="E171" s="7" t="s">
        <v>223</v>
      </c>
      <c r="F171" s="8">
        <v>43745.0</v>
      </c>
      <c r="H171" s="19" t="s">
        <v>119</v>
      </c>
      <c r="I171" s="12">
        <v>1190.0</v>
      </c>
      <c r="J171" s="12"/>
      <c r="K171" s="20">
        <f t="shared" si="10"/>
        <v>1190</v>
      </c>
      <c r="L171" s="13"/>
      <c r="M171" s="13"/>
      <c r="N171" s="14">
        <f t="shared" si="4"/>
        <v>118987</v>
      </c>
      <c r="O171" s="6" t="s">
        <v>185</v>
      </c>
      <c r="P171" s="14"/>
      <c r="Q171" s="15"/>
      <c r="R171" s="15"/>
      <c r="S171" s="15"/>
      <c r="T171" s="15"/>
      <c r="U171" s="15"/>
      <c r="V171" s="14"/>
      <c r="X171" s="16"/>
    </row>
    <row r="172" hidden="1">
      <c r="A172" s="6" t="str">
        <f t="shared" si="1"/>
        <v>2019_Hamerák-akce_Náklady příprava</v>
      </c>
      <c r="B172" s="23" t="s">
        <v>37</v>
      </c>
      <c r="C172" s="24" t="s">
        <v>158</v>
      </c>
      <c r="D172" s="7" t="str">
        <f>VLOOKUP(A172,'Rozpočet 2019'!J:J,1,FALSE)</f>
        <v>2019_Hamerák-akce_Náklady příprava</v>
      </c>
      <c r="E172" s="7" t="s">
        <v>224</v>
      </c>
      <c r="F172" s="8">
        <v>43747.0</v>
      </c>
      <c r="H172" s="36" t="s">
        <v>119</v>
      </c>
      <c r="I172" s="12"/>
      <c r="J172" s="12">
        <v>-611.0</v>
      </c>
      <c r="K172" s="20">
        <f t="shared" si="10"/>
        <v>611</v>
      </c>
      <c r="L172" s="13"/>
      <c r="M172" s="13"/>
      <c r="N172" s="14">
        <f t="shared" si="4"/>
        <v>119598</v>
      </c>
      <c r="O172" s="6" t="s">
        <v>185</v>
      </c>
      <c r="Q172" s="15"/>
      <c r="R172" s="15"/>
      <c r="S172" s="15"/>
      <c r="T172" s="15"/>
      <c r="U172" s="15"/>
      <c r="X172" s="16"/>
    </row>
    <row r="173" hidden="1">
      <c r="A173" s="6" t="str">
        <f t="shared" si="1"/>
        <v>2019_Hamerák-akce_Náklady příprava</v>
      </c>
      <c r="B173" s="23" t="s">
        <v>37</v>
      </c>
      <c r="C173" s="24" t="s">
        <v>158</v>
      </c>
      <c r="D173" s="7" t="str">
        <f>VLOOKUP(A173,'Rozpočet 2019'!J:J,1,FALSE)</f>
        <v>2019_Hamerák-akce_Náklady příprava</v>
      </c>
      <c r="E173" s="7" t="s">
        <v>225</v>
      </c>
      <c r="F173" s="8">
        <v>43752.0</v>
      </c>
      <c r="H173" s="36" t="s">
        <v>119</v>
      </c>
      <c r="I173" s="12"/>
      <c r="J173" s="12">
        <v>418.0</v>
      </c>
      <c r="K173" s="20">
        <f t="shared" si="10"/>
        <v>-418</v>
      </c>
      <c r="L173" s="13"/>
      <c r="M173" s="13"/>
      <c r="N173" s="14">
        <f t="shared" si="4"/>
        <v>119180</v>
      </c>
      <c r="O173" s="6" t="s">
        <v>185</v>
      </c>
      <c r="Q173" s="15"/>
      <c r="R173" s="15"/>
      <c r="S173" s="15"/>
      <c r="T173" s="15"/>
      <c r="U173" s="15"/>
      <c r="X173" s="16"/>
    </row>
    <row r="174" hidden="1">
      <c r="A174" s="6" t="str">
        <f t="shared" si="1"/>
        <v>2019_Běžný provoz_Příspěvky</v>
      </c>
      <c r="B174" s="17" t="s">
        <v>32</v>
      </c>
      <c r="C174" s="21" t="s">
        <v>34</v>
      </c>
      <c r="D174" s="7" t="str">
        <f>VLOOKUP(A174,'Rozpočet 2019'!J:J,1,FALSE)</f>
        <v>2019_Běžný provoz_Příspěvky</v>
      </c>
      <c r="E174" s="7" t="s">
        <v>226</v>
      </c>
      <c r="F174" s="8">
        <v>43754.0</v>
      </c>
      <c r="H174" s="36" t="s">
        <v>119</v>
      </c>
      <c r="I174" s="12">
        <v>900.0</v>
      </c>
      <c r="J174" s="12"/>
      <c r="K174" s="20">
        <f t="shared" si="10"/>
        <v>900</v>
      </c>
      <c r="L174" s="13"/>
      <c r="M174" s="13"/>
      <c r="N174" s="14">
        <f t="shared" si="4"/>
        <v>120080</v>
      </c>
      <c r="O174" s="6" t="s">
        <v>185</v>
      </c>
      <c r="Q174" s="15"/>
      <c r="R174" s="15"/>
      <c r="S174" s="15"/>
      <c r="T174" s="15"/>
      <c r="U174" s="15"/>
      <c r="X174" s="16"/>
    </row>
    <row r="175" hidden="1">
      <c r="A175" s="6" t="str">
        <f t="shared" si="1"/>
        <v>2019_Hamerák-akce_Náklady příprava</v>
      </c>
      <c r="B175" s="23" t="s">
        <v>37</v>
      </c>
      <c r="C175" s="24" t="s">
        <v>158</v>
      </c>
      <c r="D175" s="7" t="str">
        <f>VLOOKUP(A175,'Rozpočet 2019'!J:J,1,FALSE)</f>
        <v>2019_Hamerák-akce_Náklady příprava</v>
      </c>
      <c r="E175" s="7" t="s">
        <v>98</v>
      </c>
      <c r="F175" s="8">
        <v>43759.0</v>
      </c>
      <c r="H175" s="36" t="s">
        <v>125</v>
      </c>
      <c r="I175" s="12"/>
      <c r="J175" s="12">
        <v>12100.0</v>
      </c>
      <c r="K175" s="20">
        <f t="shared" si="10"/>
        <v>-12100</v>
      </c>
      <c r="L175" s="13"/>
      <c r="M175" s="13"/>
      <c r="N175" s="14">
        <f t="shared" si="4"/>
        <v>107980</v>
      </c>
      <c r="O175" s="6" t="s">
        <v>185</v>
      </c>
      <c r="Q175" s="15"/>
      <c r="R175" s="15"/>
      <c r="S175" s="15"/>
      <c r="T175" s="15"/>
      <c r="U175" s="15"/>
      <c r="X175" s="16"/>
    </row>
    <row r="176" hidden="1">
      <c r="A176" s="6" t="str">
        <f t="shared" si="1"/>
        <v>2019_Běžný provoz_Interní nájmy</v>
      </c>
      <c r="B176" s="17" t="s">
        <v>32</v>
      </c>
      <c r="C176" s="27" t="s">
        <v>49</v>
      </c>
      <c r="D176" s="7" t="str">
        <f>VLOOKUP(A176,'Rozpočet 2019'!J:J,1,FALSE)</f>
        <v>2019_Běžný provoz_Interní nájmy</v>
      </c>
      <c r="E176" s="7" t="s">
        <v>50</v>
      </c>
      <c r="F176" s="8">
        <v>43768.0</v>
      </c>
      <c r="G176" s="8">
        <v>43769.0</v>
      </c>
      <c r="H176" s="19" t="s">
        <v>125</v>
      </c>
      <c r="I176" s="12"/>
      <c r="J176" s="12">
        <v>6103.0</v>
      </c>
      <c r="K176" s="20">
        <f t="shared" si="10"/>
        <v>-6103</v>
      </c>
      <c r="L176" s="13"/>
      <c r="M176" s="13"/>
      <c r="N176" s="14">
        <f t="shared" si="4"/>
        <v>101877</v>
      </c>
      <c r="O176" s="6" t="s">
        <v>185</v>
      </c>
      <c r="P176" s="14"/>
      <c r="Q176" s="15"/>
      <c r="R176" s="15"/>
      <c r="S176" s="15"/>
      <c r="T176" s="15"/>
      <c r="U176" s="15"/>
      <c r="V176" s="14" t="str">
        <f t="shared" ref="V176:V193" si="15">IF(ISBLANK(Q176),"",SUM(Q176:U176)-N176)</f>
        <v/>
      </c>
      <c r="X176" s="16"/>
    </row>
    <row r="177" hidden="1">
      <c r="A177" s="6" t="str">
        <f t="shared" si="1"/>
        <v>2019_Běžný provoz_Interní nájmy</v>
      </c>
      <c r="B177" s="17" t="s">
        <v>32</v>
      </c>
      <c r="C177" s="27" t="s">
        <v>49</v>
      </c>
      <c r="D177" s="7" t="str">
        <f>VLOOKUP(A177,'Rozpočet 2019'!J:J,1,FALSE)</f>
        <v>2019_Běžný provoz_Interní nájmy</v>
      </c>
      <c r="E177" s="7" t="s">
        <v>51</v>
      </c>
      <c r="F177" s="8">
        <v>43768.0</v>
      </c>
      <c r="G177" s="8">
        <v>43769.0</v>
      </c>
      <c r="H177" s="19" t="s">
        <v>125</v>
      </c>
      <c r="I177" s="12"/>
      <c r="J177" s="12">
        <v>6912.0</v>
      </c>
      <c r="K177" s="20">
        <f t="shared" si="10"/>
        <v>-6912</v>
      </c>
      <c r="L177" s="13"/>
      <c r="M177" s="13"/>
      <c r="N177" s="14">
        <f t="shared" si="4"/>
        <v>94965</v>
      </c>
      <c r="O177" s="6" t="s">
        <v>185</v>
      </c>
      <c r="P177" s="14"/>
      <c r="Q177" s="15"/>
      <c r="R177" s="15"/>
      <c r="S177" s="15"/>
      <c r="T177" s="15"/>
      <c r="U177" s="15"/>
      <c r="V177" s="14" t="str">
        <f t="shared" si="15"/>
        <v/>
      </c>
      <c r="X177" s="16"/>
    </row>
    <row r="178" hidden="1">
      <c r="A178" s="6" t="str">
        <f t="shared" si="1"/>
        <v>2019_Hamerák-akce_Náklady příprava</v>
      </c>
      <c r="B178" s="23" t="s">
        <v>37</v>
      </c>
      <c r="C178" s="24" t="s">
        <v>158</v>
      </c>
      <c r="D178" s="7" t="str">
        <f>VLOOKUP(A178,'Rozpočet 2019'!J:J,1,FALSE)</f>
        <v>2019_Hamerák-akce_Náklady příprava</v>
      </c>
      <c r="E178" s="7" t="s">
        <v>227</v>
      </c>
      <c r="F178" s="8">
        <v>43768.0</v>
      </c>
      <c r="H178" s="36" t="s">
        <v>119</v>
      </c>
      <c r="I178" s="12"/>
      <c r="J178" s="12">
        <v>500.0</v>
      </c>
      <c r="K178" s="20">
        <f t="shared" si="10"/>
        <v>-500</v>
      </c>
      <c r="L178" s="13"/>
      <c r="M178" s="13"/>
      <c r="N178" s="14">
        <f t="shared" si="4"/>
        <v>94465</v>
      </c>
      <c r="O178" s="6" t="s">
        <v>185</v>
      </c>
      <c r="Q178" s="15"/>
      <c r="R178" s="15"/>
      <c r="S178" s="15"/>
      <c r="T178" s="15"/>
      <c r="U178" s="15"/>
      <c r="V178" s="14" t="str">
        <f t="shared" si="15"/>
        <v/>
      </c>
      <c r="X178" s="16"/>
    </row>
    <row r="179" hidden="1">
      <c r="A179" s="6" t="str">
        <f t="shared" si="1"/>
        <v>2019_Hamerák-akce_Náklady příprava</v>
      </c>
      <c r="B179" s="23" t="s">
        <v>37</v>
      </c>
      <c r="C179" s="24" t="s">
        <v>158</v>
      </c>
      <c r="D179" s="7" t="str">
        <f>VLOOKUP(A179,'Rozpočet 2019'!J:J,1,FALSE)</f>
        <v>2019_Hamerák-akce_Náklady příprava</v>
      </c>
      <c r="E179" s="7" t="s">
        <v>228</v>
      </c>
      <c r="F179" s="8">
        <v>43768.0</v>
      </c>
      <c r="H179" s="36" t="s">
        <v>119</v>
      </c>
      <c r="I179" s="12"/>
      <c r="J179" s="12">
        <v>750.0</v>
      </c>
      <c r="K179" s="20">
        <f t="shared" si="10"/>
        <v>-750</v>
      </c>
      <c r="L179" s="13"/>
      <c r="M179" s="13"/>
      <c r="N179" s="14">
        <f t="shared" si="4"/>
        <v>93715</v>
      </c>
      <c r="O179" s="6" t="s">
        <v>185</v>
      </c>
      <c r="Q179" s="15"/>
      <c r="R179" s="15"/>
      <c r="S179" s="15"/>
      <c r="T179" s="15"/>
      <c r="U179" s="15"/>
      <c r="V179" s="14" t="str">
        <f t="shared" si="15"/>
        <v/>
      </c>
      <c r="X179" s="16"/>
    </row>
    <row r="180" hidden="1">
      <c r="A180" s="6" t="str">
        <f t="shared" si="1"/>
        <v>2019_Hamerák-akce_Náklady příprava</v>
      </c>
      <c r="B180" s="23" t="s">
        <v>37</v>
      </c>
      <c r="C180" s="24" t="s">
        <v>158</v>
      </c>
      <c r="D180" s="7" t="str">
        <f>VLOOKUP(A180,'Rozpočet 2019'!J:J,1,FALSE)</f>
        <v>2019_Hamerák-akce_Náklady příprava</v>
      </c>
      <c r="E180" s="7" t="s">
        <v>229</v>
      </c>
      <c r="F180" s="8">
        <v>43780.0</v>
      </c>
      <c r="H180" s="36" t="s">
        <v>119</v>
      </c>
      <c r="I180" s="12"/>
      <c r="J180" s="12">
        <v>1029.0</v>
      </c>
      <c r="K180" s="20">
        <f t="shared" si="10"/>
        <v>-1029</v>
      </c>
      <c r="L180" s="13"/>
      <c r="M180" s="13"/>
      <c r="N180" s="14">
        <f t="shared" si="4"/>
        <v>92686</v>
      </c>
      <c r="O180" s="6" t="s">
        <v>185</v>
      </c>
      <c r="Q180" s="15"/>
      <c r="R180" s="15"/>
      <c r="S180" s="15"/>
      <c r="T180" s="15"/>
      <c r="U180" s="15"/>
      <c r="V180" s="14" t="str">
        <f t="shared" si="15"/>
        <v/>
      </c>
      <c r="X180" s="16"/>
      <c r="Z180" s="16">
        <v>43780.0</v>
      </c>
    </row>
    <row r="181" hidden="1">
      <c r="A181" s="6" t="str">
        <f t="shared" si="1"/>
        <v>2019_Hamerák-akce_Náklady příprava</v>
      </c>
      <c r="B181" s="23" t="s">
        <v>37</v>
      </c>
      <c r="C181" s="24" t="s">
        <v>158</v>
      </c>
      <c r="D181" s="7" t="str">
        <f>VLOOKUP(A181,'Rozpočet 2019'!J:J,1,FALSE)</f>
        <v>2019_Hamerák-akce_Náklady příprava</v>
      </c>
      <c r="E181" s="7" t="s">
        <v>230</v>
      </c>
      <c r="F181" s="8">
        <v>43781.0</v>
      </c>
      <c r="H181" s="36" t="s">
        <v>119</v>
      </c>
      <c r="I181" s="12"/>
      <c r="J181" s="12">
        <v>651.0</v>
      </c>
      <c r="K181" s="20">
        <f t="shared" si="10"/>
        <v>-651</v>
      </c>
      <c r="L181" s="13"/>
      <c r="M181" s="13"/>
      <c r="N181" s="14">
        <f t="shared" si="4"/>
        <v>92035</v>
      </c>
      <c r="O181" s="6" t="s">
        <v>185</v>
      </c>
      <c r="Q181" s="15"/>
      <c r="R181" s="15"/>
      <c r="S181" s="2" t="s">
        <v>120</v>
      </c>
      <c r="T181" s="2" t="s">
        <v>19</v>
      </c>
      <c r="U181" s="15"/>
      <c r="V181" s="14" t="str">
        <f t="shared" si="15"/>
        <v/>
      </c>
      <c r="X181" s="16"/>
    </row>
    <row r="182" hidden="1">
      <c r="A182" s="6" t="str">
        <f t="shared" si="1"/>
        <v>2019_Hamerák-akce_Náklady příprava</v>
      </c>
      <c r="B182" s="23" t="s">
        <v>37</v>
      </c>
      <c r="C182" s="24" t="s">
        <v>158</v>
      </c>
      <c r="D182" s="7" t="str">
        <f>VLOOKUP(A182,'Rozpočet 2019'!J:J,1,FALSE)</f>
        <v>2019_Hamerák-akce_Náklady příprava</v>
      </c>
      <c r="E182" s="7" t="s">
        <v>231</v>
      </c>
      <c r="F182" s="8">
        <v>43781.0</v>
      </c>
      <c r="H182" s="36" t="s">
        <v>119</v>
      </c>
      <c r="I182" s="12"/>
      <c r="J182" s="12">
        <v>957.0</v>
      </c>
      <c r="K182" s="20">
        <f t="shared" si="10"/>
        <v>-957</v>
      </c>
      <c r="L182" s="13"/>
      <c r="M182" s="13"/>
      <c r="N182" s="14">
        <f t="shared" si="4"/>
        <v>91078</v>
      </c>
      <c r="O182" s="6" t="s">
        <v>185</v>
      </c>
      <c r="Q182" s="15"/>
      <c r="R182" s="15"/>
      <c r="S182" s="2" t="s">
        <v>232</v>
      </c>
      <c r="T182" s="2" t="s">
        <v>233</v>
      </c>
      <c r="U182" s="15"/>
      <c r="V182" s="14" t="str">
        <f t="shared" si="15"/>
        <v/>
      </c>
      <c r="X182" s="16"/>
    </row>
    <row r="183" hidden="1">
      <c r="A183" s="6" t="str">
        <f t="shared" si="1"/>
        <v>2019_Hamerák-akce_Hamerák finance</v>
      </c>
      <c r="B183" s="23" t="s">
        <v>37</v>
      </c>
      <c r="C183" s="24" t="s">
        <v>95</v>
      </c>
      <c r="D183" s="7" t="str">
        <f>VLOOKUP(A183,'Rozpočet 2019'!J:J,1,FALSE)</f>
        <v>2019_Hamerák-akce_Hamerák finance</v>
      </c>
      <c r="E183" s="7" t="s">
        <v>99</v>
      </c>
      <c r="F183" s="8">
        <v>43781.0</v>
      </c>
      <c r="H183" s="36" t="s">
        <v>125</v>
      </c>
      <c r="I183" s="12">
        <f>65000+15000</f>
        <v>80000</v>
      </c>
      <c r="J183" s="12"/>
      <c r="K183" s="20">
        <f t="shared" si="10"/>
        <v>80000</v>
      </c>
      <c r="L183" s="13"/>
      <c r="M183" s="13"/>
      <c r="N183" s="14">
        <f t="shared" si="4"/>
        <v>171078</v>
      </c>
      <c r="O183" s="6" t="s">
        <v>185</v>
      </c>
      <c r="Q183" s="15">
        <f>50889-6103-7488-6000-12100-6103-6912+80000</f>
        <v>86183</v>
      </c>
      <c r="R183" s="15">
        <v>13313.0</v>
      </c>
      <c r="S183" s="15">
        <v>16072.0</v>
      </c>
      <c r="T183" s="15">
        <v>50000.0</v>
      </c>
      <c r="U183" s="15"/>
      <c r="V183" s="14">
        <f t="shared" si="15"/>
        <v>-5510</v>
      </c>
      <c r="X183" s="16"/>
    </row>
    <row r="184" hidden="1">
      <c r="A184" s="6" t="str">
        <f t="shared" si="1"/>
        <v>2019_Podpora činnosti_Oddílové vánoce</v>
      </c>
      <c r="B184" s="28" t="s">
        <v>61</v>
      </c>
      <c r="C184" s="25" t="s">
        <v>103</v>
      </c>
      <c r="D184" s="7" t="str">
        <f>VLOOKUP(A184,'Rozpočet 2019'!J:J,1,FALSE)</f>
        <v>2019_Podpora činnosti_Oddílové vánoce</v>
      </c>
      <c r="E184" s="7" t="s">
        <v>234</v>
      </c>
      <c r="F184" s="29">
        <v>43808.0</v>
      </c>
      <c r="H184" s="19" t="s">
        <v>119</v>
      </c>
      <c r="I184" s="12"/>
      <c r="J184" s="12">
        <v>1800.0</v>
      </c>
      <c r="K184" s="20">
        <f t="shared" si="10"/>
        <v>-1800</v>
      </c>
      <c r="L184" s="13"/>
      <c r="M184" s="13"/>
      <c r="N184" s="14">
        <f t="shared" si="4"/>
        <v>169278</v>
      </c>
      <c r="O184" s="6" t="s">
        <v>185</v>
      </c>
      <c r="Q184" s="15"/>
      <c r="R184" s="15"/>
      <c r="S184" s="15"/>
      <c r="T184" s="15"/>
      <c r="U184" s="15"/>
      <c r="V184" s="14" t="str">
        <f t="shared" si="15"/>
        <v/>
      </c>
    </row>
    <row r="185" hidden="1">
      <c r="A185" s="6" t="str">
        <f t="shared" si="1"/>
        <v>2019_Běžný provoz_Příspěvky</v>
      </c>
      <c r="B185" s="17" t="s">
        <v>32</v>
      </c>
      <c r="C185" s="21" t="s">
        <v>34</v>
      </c>
      <c r="D185" s="7" t="str">
        <f>VLOOKUP(A185,'Rozpočet 2019'!J:J,1,FALSE)</f>
        <v>2019_Běžný provoz_Příspěvky</v>
      </c>
      <c r="E185" s="7" t="s">
        <v>226</v>
      </c>
      <c r="F185" s="8">
        <v>43809.0</v>
      </c>
      <c r="H185" s="36" t="s">
        <v>119</v>
      </c>
      <c r="I185" s="12">
        <v>900.0</v>
      </c>
      <c r="J185" s="12"/>
      <c r="K185" s="20">
        <f t="shared" si="10"/>
        <v>900</v>
      </c>
      <c r="L185" s="13"/>
      <c r="M185" s="13"/>
      <c r="N185" s="14">
        <f t="shared" si="4"/>
        <v>170178</v>
      </c>
      <c r="O185" s="6" t="s">
        <v>185</v>
      </c>
      <c r="Q185" s="15"/>
      <c r="R185" s="15"/>
      <c r="S185" s="15"/>
      <c r="T185" s="15"/>
      <c r="U185" s="15"/>
      <c r="V185" s="14" t="str">
        <f t="shared" si="15"/>
        <v/>
      </c>
    </row>
    <row r="186" hidden="1">
      <c r="A186" s="6" t="str">
        <f t="shared" si="1"/>
        <v>2019_Běžný provoz_Příspěvky</v>
      </c>
      <c r="B186" s="17" t="s">
        <v>32</v>
      </c>
      <c r="C186" s="21" t="s">
        <v>34</v>
      </c>
      <c r="D186" s="7" t="str">
        <f>VLOOKUP(A186,'Rozpočet 2019'!J:J,1,FALSE)</f>
        <v>2019_Běžný provoz_Příspěvky</v>
      </c>
      <c r="E186" s="7" t="s">
        <v>235</v>
      </c>
      <c r="F186" s="8">
        <v>43810.0</v>
      </c>
      <c r="H186" s="36" t="s">
        <v>119</v>
      </c>
      <c r="I186" s="12">
        <v>1550.0</v>
      </c>
      <c r="J186" s="12"/>
      <c r="K186" s="20">
        <f t="shared" si="10"/>
        <v>1550</v>
      </c>
      <c r="L186" s="13"/>
      <c r="M186" s="13"/>
      <c r="N186" s="14">
        <f t="shared" si="4"/>
        <v>171728</v>
      </c>
      <c r="O186" s="6" t="s">
        <v>185</v>
      </c>
      <c r="Q186" s="15"/>
      <c r="R186" s="15"/>
      <c r="S186" s="15"/>
      <c r="T186" s="15"/>
      <c r="U186" s="15"/>
      <c r="V186" s="14" t="str">
        <f t="shared" si="15"/>
        <v/>
      </c>
    </row>
    <row r="187" hidden="1">
      <c r="A187" s="6" t="str">
        <f t="shared" si="1"/>
        <v>2019_Podpora činnosti_Podpora ČPV</v>
      </c>
      <c r="B187" s="28" t="s">
        <v>61</v>
      </c>
      <c r="C187" s="25" t="s">
        <v>143</v>
      </c>
      <c r="D187" s="7" t="str">
        <f>VLOOKUP(A187,'Rozpočet 2019'!J:J,1,FALSE)</f>
        <v>2019_Podpora činnosti_Podpora ČPV</v>
      </c>
      <c r="E187" s="7" t="s">
        <v>236</v>
      </c>
      <c r="F187" s="8">
        <v>43829.0</v>
      </c>
      <c r="G187" s="39">
        <v>43838.0</v>
      </c>
      <c r="H187" s="36" t="s">
        <v>119</v>
      </c>
      <c r="I187" s="12"/>
      <c r="J187" s="12">
        <v>2000.0</v>
      </c>
      <c r="K187" s="20">
        <f t="shared" si="10"/>
        <v>-2000</v>
      </c>
      <c r="L187" s="13"/>
      <c r="M187" s="13"/>
      <c r="N187" s="14">
        <f t="shared" si="4"/>
        <v>169728</v>
      </c>
      <c r="O187" s="6" t="s">
        <v>185</v>
      </c>
      <c r="P187" s="14"/>
      <c r="Q187" s="15"/>
      <c r="R187" s="15"/>
      <c r="S187" s="15"/>
      <c r="T187" s="15"/>
      <c r="U187" s="15"/>
      <c r="V187" s="14" t="str">
        <f t="shared" si="15"/>
        <v/>
      </c>
      <c r="X187" s="16"/>
    </row>
    <row r="188" hidden="1">
      <c r="A188" s="6" t="str">
        <f t="shared" si="1"/>
        <v>2019_Běžný provoz_Přeúčtování TOM</v>
      </c>
      <c r="B188" s="17" t="s">
        <v>32</v>
      </c>
      <c r="C188" s="7" t="s">
        <v>186</v>
      </c>
      <c r="D188" s="7" t="str">
        <f>VLOOKUP(A188,'Rozpočet 2019'!J:J,1,FALSE)</f>
        <v>2019_Běžný provoz_Přeúčtování TOM</v>
      </c>
      <c r="E188" s="7" t="s">
        <v>237</v>
      </c>
      <c r="F188" s="8">
        <v>43829.0</v>
      </c>
      <c r="G188" s="39">
        <v>43861.0</v>
      </c>
      <c r="H188" s="19" t="s">
        <v>125</v>
      </c>
      <c r="I188" s="12"/>
      <c r="J188" s="12"/>
      <c r="K188" s="20">
        <f t="shared" si="10"/>
        <v>0</v>
      </c>
      <c r="L188" s="13"/>
      <c r="M188" s="13"/>
      <c r="N188" s="14">
        <f t="shared" si="4"/>
        <v>169728</v>
      </c>
      <c r="O188" s="6" t="s">
        <v>185</v>
      </c>
      <c r="Q188" s="15"/>
      <c r="R188" s="15"/>
      <c r="S188" s="15"/>
      <c r="T188" s="15"/>
      <c r="U188" s="15"/>
      <c r="V188" s="14" t="str">
        <f t="shared" si="15"/>
        <v/>
      </c>
    </row>
    <row r="189" hidden="1">
      <c r="A189" s="6" t="str">
        <f t="shared" si="1"/>
        <v>2019_Hamerák-akce_Náklady příprava</v>
      </c>
      <c r="B189" s="23" t="s">
        <v>37</v>
      </c>
      <c r="C189" s="24" t="s">
        <v>158</v>
      </c>
      <c r="D189" s="7" t="str">
        <f>VLOOKUP(A189,'Rozpočet 2019'!J:J,1,FALSE)</f>
        <v>2019_Hamerák-akce_Náklady příprava</v>
      </c>
      <c r="E189" s="7" t="s">
        <v>238</v>
      </c>
      <c r="F189" s="8">
        <v>43830.0</v>
      </c>
      <c r="H189" s="36" t="s">
        <v>125</v>
      </c>
      <c r="I189" s="12"/>
      <c r="J189" s="12">
        <v>303.0</v>
      </c>
      <c r="K189" s="20">
        <f t="shared" si="10"/>
        <v>-303</v>
      </c>
      <c r="L189" s="13"/>
      <c r="M189" s="13"/>
      <c r="N189" s="14">
        <f t="shared" si="4"/>
        <v>169425</v>
      </c>
      <c r="O189" s="6" t="s">
        <v>185</v>
      </c>
      <c r="Q189" s="15"/>
      <c r="R189" s="15"/>
      <c r="S189" s="15"/>
      <c r="T189" s="15"/>
      <c r="U189" s="15"/>
      <c r="V189" s="14" t="str">
        <f t="shared" si="15"/>
        <v/>
      </c>
      <c r="X189" s="16"/>
    </row>
    <row r="190" hidden="1">
      <c r="A190" s="6" t="str">
        <f t="shared" si="1"/>
        <v>2020_Převody_stav</v>
      </c>
      <c r="B190" s="7" t="s">
        <v>27</v>
      </c>
      <c r="C190" s="7" t="s">
        <v>22</v>
      </c>
      <c r="D190" s="7" t="str">
        <f>VLOOKUP(A190,'Rozpočet 2019'!J:J,1,FALSE)</f>
        <v>#N/A</v>
      </c>
      <c r="E190" s="7" t="s">
        <v>239</v>
      </c>
      <c r="F190" s="29">
        <v>43830.0</v>
      </c>
      <c r="H190" s="40"/>
      <c r="I190" s="12"/>
      <c r="J190" s="12"/>
      <c r="K190" s="20">
        <f t="shared" si="10"/>
        <v>0</v>
      </c>
      <c r="L190" s="13"/>
      <c r="M190" s="13"/>
      <c r="N190" s="14">
        <f t="shared" si="4"/>
        <v>169425</v>
      </c>
      <c r="O190" s="6" t="s">
        <v>240</v>
      </c>
      <c r="Q190" s="15">
        <f>88071+5059</f>
        <v>93130</v>
      </c>
      <c r="R190" s="15">
        <v>10355.0</v>
      </c>
      <c r="S190" s="15">
        <v>16072.0</v>
      </c>
      <c r="T190" s="15">
        <v>50000.0</v>
      </c>
      <c r="U190" s="15"/>
      <c r="V190" s="14">
        <f t="shared" si="15"/>
        <v>132</v>
      </c>
      <c r="W190" s="7" t="s">
        <v>55</v>
      </c>
      <c r="X190" s="32">
        <v>43885.0</v>
      </c>
      <c r="Y190" s="32">
        <v>43831.0</v>
      </c>
      <c r="Z190" s="32">
        <v>43839.0</v>
      </c>
    </row>
    <row r="191" hidden="1">
      <c r="A191" s="6" t="str">
        <f t="shared" si="1"/>
        <v>2019b_Převody_stav</v>
      </c>
      <c r="B191" s="7" t="s">
        <v>27</v>
      </c>
      <c r="C191" s="7" t="s">
        <v>22</v>
      </c>
      <c r="D191" s="7" t="str">
        <f>VLOOKUP(A191,'Rozpočet 2019'!J:J,1,FALSE)</f>
        <v>#N/A</v>
      </c>
      <c r="E191" s="7" t="s">
        <v>241</v>
      </c>
      <c r="F191" s="8">
        <v>43831.0</v>
      </c>
      <c r="H191" s="40"/>
      <c r="I191" s="12"/>
      <c r="J191" s="12"/>
      <c r="K191" s="20">
        <f t="shared" si="10"/>
        <v>0</v>
      </c>
      <c r="L191" s="13"/>
      <c r="M191" s="13"/>
      <c r="N191" s="14">
        <f t="shared" si="4"/>
        <v>169425</v>
      </c>
      <c r="O191" s="6" t="s">
        <v>242</v>
      </c>
      <c r="Q191" s="15"/>
      <c r="R191" s="15"/>
      <c r="S191" s="2" t="s">
        <v>120</v>
      </c>
      <c r="T191" s="15"/>
      <c r="U191" s="15"/>
      <c r="V191" s="14" t="str">
        <f t="shared" si="15"/>
        <v/>
      </c>
    </row>
    <row r="192" hidden="1">
      <c r="A192" s="6" t="str">
        <f t="shared" si="1"/>
        <v>2020_Běžný provoz_Interní nájmy</v>
      </c>
      <c r="B192" s="17" t="s">
        <v>32</v>
      </c>
      <c r="C192" s="27" t="s">
        <v>49</v>
      </c>
      <c r="D192" s="7" t="str">
        <f>VLOOKUP(A192,'Rozpočet 2020'!J:J,1,FALSE)</f>
        <v>2020_Běžný provoz_Interní nájmy</v>
      </c>
      <c r="E192" s="7" t="s">
        <v>50</v>
      </c>
      <c r="F192" s="8">
        <v>43861.0</v>
      </c>
      <c r="H192" s="19" t="s">
        <v>125</v>
      </c>
      <c r="I192" s="12"/>
      <c r="J192" s="12">
        <v>6103.0</v>
      </c>
      <c r="K192" s="20">
        <f t="shared" si="10"/>
        <v>-6103</v>
      </c>
      <c r="L192" s="13"/>
      <c r="M192" s="13"/>
      <c r="N192" s="14">
        <f t="shared" si="4"/>
        <v>163322</v>
      </c>
      <c r="O192" s="6" t="s">
        <v>240</v>
      </c>
      <c r="Q192" s="15"/>
      <c r="R192" s="15"/>
      <c r="S192" s="15"/>
      <c r="T192" s="15"/>
      <c r="U192" s="15"/>
      <c r="V192" s="14" t="str">
        <f t="shared" si="15"/>
        <v/>
      </c>
    </row>
    <row r="193" hidden="1">
      <c r="A193" s="6" t="str">
        <f t="shared" si="1"/>
        <v>2020_Běžný provoz_Interní nájmy</v>
      </c>
      <c r="B193" s="17" t="s">
        <v>32</v>
      </c>
      <c r="C193" s="27" t="s">
        <v>49</v>
      </c>
      <c r="D193" s="7" t="str">
        <f>VLOOKUP(A193,'Rozpočet 2020'!J:J,1,FALSE)</f>
        <v>2020_Běžný provoz_Interní nájmy</v>
      </c>
      <c r="E193" s="7" t="s">
        <v>51</v>
      </c>
      <c r="F193" s="8">
        <v>43861.0</v>
      </c>
      <c r="H193" s="19" t="s">
        <v>125</v>
      </c>
      <c r="I193" s="12"/>
      <c r="J193" s="12">
        <v>7488.0</v>
      </c>
      <c r="K193" s="20">
        <f t="shared" si="10"/>
        <v>-7488</v>
      </c>
      <c r="L193" s="13"/>
      <c r="M193" s="13"/>
      <c r="N193" s="14">
        <f t="shared" si="4"/>
        <v>155834</v>
      </c>
      <c r="O193" s="6" t="s">
        <v>240</v>
      </c>
      <c r="Q193" s="15"/>
      <c r="R193" s="15"/>
      <c r="S193" s="15"/>
      <c r="T193" s="15"/>
      <c r="U193" s="15"/>
      <c r="V193" s="14" t="str">
        <f t="shared" si="15"/>
        <v/>
      </c>
    </row>
    <row r="194" hidden="1">
      <c r="A194" s="6" t="str">
        <f t="shared" si="1"/>
        <v>2020_Běžný provoz_Přeúčtování TOM</v>
      </c>
      <c r="B194" s="17" t="s">
        <v>32</v>
      </c>
      <c r="C194" s="7" t="s">
        <v>186</v>
      </c>
      <c r="D194" s="7" t="str">
        <f>VLOOKUP(A194,'Rozpočet 2020'!J:J,1,FALSE)</f>
        <v>2020_Běžný provoz_Přeúčtování TOM</v>
      </c>
      <c r="E194" s="7" t="s">
        <v>243</v>
      </c>
      <c r="F194" s="8">
        <v>43861.0</v>
      </c>
      <c r="H194" s="36" t="s">
        <v>125</v>
      </c>
      <c r="I194" s="12">
        <v>5059.0</v>
      </c>
      <c r="J194" s="12">
        <v>5059.0</v>
      </c>
      <c r="K194" s="20">
        <f t="shared" si="10"/>
        <v>0</v>
      </c>
      <c r="L194" s="13"/>
      <c r="M194" s="13"/>
      <c r="N194" s="14">
        <f t="shared" si="4"/>
        <v>155834</v>
      </c>
      <c r="O194" s="6" t="s">
        <v>240</v>
      </c>
      <c r="P194" s="7" t="s">
        <v>244</v>
      </c>
      <c r="Q194" s="15"/>
      <c r="R194" s="15"/>
      <c r="S194" s="15"/>
      <c r="T194" s="15"/>
      <c r="U194" s="15"/>
    </row>
    <row r="195" hidden="1">
      <c r="A195" s="6" t="str">
        <f t="shared" si="1"/>
        <v>2020_Běžný provoz_Údržba vleků</v>
      </c>
      <c r="B195" s="17" t="s">
        <v>32</v>
      </c>
      <c r="C195" s="7" t="s">
        <v>71</v>
      </c>
      <c r="D195" s="7" t="str">
        <f>VLOOKUP(A195,'Rozpočet 2020'!J:J,1,FALSE)</f>
        <v>2020_Běžný provoz_Údržba vleků</v>
      </c>
      <c r="E195" s="7" t="s">
        <v>245</v>
      </c>
      <c r="F195" s="8">
        <v>43883.0</v>
      </c>
      <c r="G195" s="7" t="s">
        <v>246</v>
      </c>
      <c r="H195" s="19" t="s">
        <v>156</v>
      </c>
      <c r="I195" s="12"/>
      <c r="J195" s="12">
        <v>2300.0</v>
      </c>
      <c r="K195" s="20">
        <f t="shared" si="10"/>
        <v>-2300</v>
      </c>
      <c r="L195" s="13"/>
      <c r="M195" s="13"/>
      <c r="N195" s="14">
        <f t="shared" si="4"/>
        <v>153534</v>
      </c>
      <c r="O195" s="6" t="s">
        <v>240</v>
      </c>
      <c r="P195" s="14"/>
      <c r="Q195" s="15"/>
      <c r="R195" s="15"/>
      <c r="S195" s="15"/>
      <c r="T195" s="15"/>
      <c r="U195" s="15"/>
      <c r="V195" s="14" t="str">
        <f t="shared" ref="V195:V199" si="16">IF(ISBLANK(Q195),"",SUM(Q195:U195)-N195)</f>
        <v/>
      </c>
      <c r="X195" s="16"/>
    </row>
    <row r="196" hidden="1">
      <c r="A196" s="6" t="str">
        <f t="shared" si="1"/>
        <v>2020_Běžný provoz_Příspěvky</v>
      </c>
      <c r="B196" s="17" t="s">
        <v>32</v>
      </c>
      <c r="C196" s="21" t="s">
        <v>34</v>
      </c>
      <c r="D196" s="7" t="str">
        <f>VLOOKUP(A196,'Rozpočet 2020'!J:J,1,FALSE)</f>
        <v>2020_Běžný provoz_Příspěvky</v>
      </c>
      <c r="E196" s="7" t="s">
        <v>247</v>
      </c>
      <c r="F196" s="8">
        <v>43883.0</v>
      </c>
      <c r="H196" s="19" t="s">
        <v>156</v>
      </c>
      <c r="I196" s="12">
        <v>5150.0</v>
      </c>
      <c r="J196" s="12"/>
      <c r="K196" s="20">
        <f t="shared" si="10"/>
        <v>5150</v>
      </c>
      <c r="L196" s="13"/>
      <c r="M196" s="13"/>
      <c r="N196" s="14">
        <f t="shared" si="4"/>
        <v>158684</v>
      </c>
      <c r="O196" s="6" t="s">
        <v>240</v>
      </c>
      <c r="Q196" s="15"/>
      <c r="R196" s="15"/>
      <c r="S196" s="15"/>
      <c r="T196" s="15"/>
      <c r="U196" s="15"/>
      <c r="V196" s="14" t="str">
        <f t="shared" si="16"/>
        <v/>
      </c>
    </row>
    <row r="197" hidden="1">
      <c r="A197" s="6" t="str">
        <f t="shared" si="1"/>
        <v>2020_Běžný provoz_Příspěvky ČSK</v>
      </c>
      <c r="B197" s="17" t="s">
        <v>32</v>
      </c>
      <c r="C197" s="21" t="s">
        <v>33</v>
      </c>
      <c r="D197" s="7" t="str">
        <f>VLOOKUP(A197,'Rozpočet 2020'!J:J,1,FALSE)</f>
        <v>2020_Běžný provoz_Příspěvky ČSK</v>
      </c>
      <c r="E197" s="7" t="s">
        <v>139</v>
      </c>
      <c r="F197" s="8">
        <v>43914.0</v>
      </c>
      <c r="H197" s="36" t="s">
        <v>119</v>
      </c>
      <c r="I197" s="12"/>
      <c r="J197" s="12">
        <v>1330.0</v>
      </c>
      <c r="K197" s="20">
        <f t="shared" si="10"/>
        <v>-1330</v>
      </c>
      <c r="L197" s="13"/>
      <c r="M197" s="13"/>
      <c r="N197" s="14">
        <f t="shared" si="4"/>
        <v>157354</v>
      </c>
      <c r="O197" s="6" t="s">
        <v>240</v>
      </c>
      <c r="Q197" s="15"/>
      <c r="R197" s="15"/>
      <c r="S197" s="15"/>
      <c r="T197" s="15"/>
      <c r="U197" s="15"/>
      <c r="V197" s="14" t="str">
        <f t="shared" si="16"/>
        <v/>
      </c>
    </row>
    <row r="198" hidden="1">
      <c r="A198" s="6" t="str">
        <f t="shared" si="1"/>
        <v>2020_Běžný provoz_Interní nájmy</v>
      </c>
      <c r="B198" s="17" t="s">
        <v>32</v>
      </c>
      <c r="C198" s="27" t="s">
        <v>49</v>
      </c>
      <c r="D198" s="7" t="str">
        <f>VLOOKUP(A198,'Rozpočet 2020'!J:J,1,FALSE)</f>
        <v>2020_Běžný provoz_Interní nájmy</v>
      </c>
      <c r="E198" s="7" t="s">
        <v>51</v>
      </c>
      <c r="F198" s="8">
        <v>43951.0</v>
      </c>
      <c r="H198" s="19" t="s">
        <v>125</v>
      </c>
      <c r="I198" s="12"/>
      <c r="J198" s="12">
        <v>3286.0</v>
      </c>
      <c r="K198" s="20">
        <f t="shared" si="10"/>
        <v>-3286</v>
      </c>
      <c r="L198" s="13"/>
      <c r="M198" s="13"/>
      <c r="N198" s="14">
        <f t="shared" si="4"/>
        <v>154068</v>
      </c>
      <c r="O198" s="6" t="s">
        <v>240</v>
      </c>
      <c r="Q198" s="15"/>
      <c r="R198" s="15"/>
      <c r="S198" s="15"/>
      <c r="T198" s="15"/>
      <c r="U198" s="15"/>
      <c r="V198" s="14" t="str">
        <f t="shared" si="16"/>
        <v/>
      </c>
    </row>
    <row r="199" hidden="1">
      <c r="A199" s="6" t="str">
        <f t="shared" si="1"/>
        <v>2020_Běžný provoz_Interní nájmy</v>
      </c>
      <c r="B199" s="17" t="s">
        <v>32</v>
      </c>
      <c r="C199" s="27" t="s">
        <v>49</v>
      </c>
      <c r="D199" s="7" t="str">
        <f>VLOOKUP(A199,'Rozpočet 2020'!J:J,1,FALSE)</f>
        <v>2020_Běžný provoz_Interní nájmy</v>
      </c>
      <c r="E199" s="7" t="s">
        <v>50</v>
      </c>
      <c r="F199" s="8">
        <v>43951.0</v>
      </c>
      <c r="H199" s="19" t="s">
        <v>125</v>
      </c>
      <c r="I199" s="12"/>
      <c r="J199" s="12">
        <v>2880.0</v>
      </c>
      <c r="K199" s="20">
        <f t="shared" si="10"/>
        <v>-2880</v>
      </c>
      <c r="L199" s="13"/>
      <c r="M199" s="13"/>
      <c r="N199" s="14">
        <f t="shared" si="4"/>
        <v>151188</v>
      </c>
      <c r="O199" s="6" t="s">
        <v>240</v>
      </c>
      <c r="Q199" s="15"/>
      <c r="R199" s="15"/>
      <c r="S199" s="15"/>
      <c r="T199" s="15"/>
      <c r="U199" s="15"/>
      <c r="V199" s="14" t="str">
        <f t="shared" si="16"/>
        <v/>
      </c>
    </row>
    <row r="200" hidden="1">
      <c r="A200" s="6" t="str">
        <f t="shared" si="1"/>
        <v>2020_Běžný provoz_Přeúčtování TOM</v>
      </c>
      <c r="B200" s="17" t="s">
        <v>32</v>
      </c>
      <c r="C200" s="7" t="s">
        <v>186</v>
      </c>
      <c r="D200" s="7" t="str">
        <f>VLOOKUP(A200,'Rozpočet 2020'!J:J,1,FALSE)</f>
        <v>2020_Běžný provoz_Přeúčtování TOM</v>
      </c>
      <c r="E200" s="7" t="s">
        <v>248</v>
      </c>
      <c r="F200" s="8">
        <v>43951.0</v>
      </c>
      <c r="H200" s="36" t="s">
        <v>125</v>
      </c>
      <c r="I200" s="12">
        <v>2702.0</v>
      </c>
      <c r="J200" s="12"/>
      <c r="K200" s="20">
        <f t="shared" si="10"/>
        <v>2702</v>
      </c>
      <c r="L200" s="13"/>
      <c r="M200" s="13"/>
      <c r="N200" s="14">
        <f t="shared" si="4"/>
        <v>153890</v>
      </c>
      <c r="O200" s="6" t="s">
        <v>240</v>
      </c>
      <c r="Q200" s="15"/>
      <c r="R200" s="15"/>
      <c r="S200" s="15"/>
      <c r="T200" s="15"/>
      <c r="U200" s="15"/>
    </row>
    <row r="201" hidden="1">
      <c r="A201" s="6" t="str">
        <f t="shared" si="1"/>
        <v>2020_Hamerák-akce_Náklady příprava</v>
      </c>
      <c r="B201" s="23" t="s">
        <v>37</v>
      </c>
      <c r="C201" s="24" t="s">
        <v>158</v>
      </c>
      <c r="D201" s="7" t="str">
        <f>VLOOKUP(A201,'Rozpočet 2020'!J:J,1,FALSE)</f>
        <v>2020_Hamerák-akce_Náklady příprava</v>
      </c>
      <c r="E201" s="7" t="s">
        <v>249</v>
      </c>
      <c r="F201" s="8">
        <v>44005.0</v>
      </c>
      <c r="G201" s="39">
        <v>44005.0</v>
      </c>
      <c r="H201" s="36" t="s">
        <v>125</v>
      </c>
      <c r="I201" s="12"/>
      <c r="J201" s="12">
        <v>596.53</v>
      </c>
      <c r="K201" s="20">
        <f t="shared" si="10"/>
        <v>-596.53</v>
      </c>
      <c r="L201" s="13"/>
      <c r="M201" s="13"/>
      <c r="N201" s="14">
        <f t="shared" si="4"/>
        <v>153293.47</v>
      </c>
      <c r="O201" s="6" t="s">
        <v>240</v>
      </c>
      <c r="Q201" s="15"/>
      <c r="R201" s="15"/>
      <c r="S201" s="15"/>
      <c r="T201" s="15"/>
      <c r="U201" s="15"/>
      <c r="V201" s="14" t="str">
        <f t="shared" ref="V201:V203" si="17">IF(ISBLANK(Q201),"",SUM(Q201:U201)-N201)</f>
        <v/>
      </c>
    </row>
    <row r="202" hidden="1">
      <c r="A202" s="6" t="str">
        <f t="shared" si="1"/>
        <v>2020_Podpora činnosti_Podpora zahraniční zájezd</v>
      </c>
      <c r="B202" s="28" t="s">
        <v>61</v>
      </c>
      <c r="C202" s="25" t="s">
        <v>153</v>
      </c>
      <c r="D202" s="7" t="str">
        <f>VLOOKUP(A202,'Rozpočet 2020'!J:J,1,FALSE)</f>
        <v>2020_Podpora činnosti_Podpora zahraniční zájezd</v>
      </c>
      <c r="E202" s="7" t="s">
        <v>250</v>
      </c>
      <c r="F202" s="8">
        <v>44010.0</v>
      </c>
      <c r="H202" s="36" t="s">
        <v>119</v>
      </c>
      <c r="I202" s="12"/>
      <c r="J202" s="12">
        <v>3000.0</v>
      </c>
      <c r="K202" s="20">
        <f t="shared" si="10"/>
        <v>-3000</v>
      </c>
      <c r="L202" s="13"/>
      <c r="M202" s="13"/>
      <c r="N202" s="14">
        <f t="shared" si="4"/>
        <v>150293.47</v>
      </c>
      <c r="O202" s="6" t="s">
        <v>240</v>
      </c>
      <c r="Q202" s="15"/>
      <c r="R202" s="15"/>
      <c r="S202" s="15"/>
      <c r="T202" s="15"/>
      <c r="U202" s="15"/>
      <c r="V202" s="14" t="str">
        <f t="shared" si="17"/>
        <v/>
      </c>
    </row>
    <row r="203" hidden="1">
      <c r="A203" s="6" t="str">
        <f t="shared" si="1"/>
        <v>2020_Běžný provoz_Příspěvky</v>
      </c>
      <c r="B203" s="17" t="s">
        <v>32</v>
      </c>
      <c r="C203" s="21" t="s">
        <v>34</v>
      </c>
      <c r="D203" s="7" t="str">
        <f>VLOOKUP(A203,'Rozpočet 2020'!J:J,1,FALSE)</f>
        <v>2020_Běžný provoz_Příspěvky</v>
      </c>
      <c r="E203" s="7" t="s">
        <v>251</v>
      </c>
      <c r="F203" s="8">
        <v>44045.0</v>
      </c>
      <c r="H203" s="36" t="s">
        <v>252</v>
      </c>
      <c r="I203" s="12">
        <v>32500.0</v>
      </c>
      <c r="J203" s="12"/>
      <c r="K203" s="20">
        <f t="shared" si="10"/>
        <v>32500</v>
      </c>
      <c r="L203" s="13"/>
      <c r="M203" s="13"/>
      <c r="N203" s="14">
        <f t="shared" si="4"/>
        <v>182793.47</v>
      </c>
      <c r="O203" s="6" t="s">
        <v>240</v>
      </c>
      <c r="Q203" s="15">
        <f>75479-J201-J202</f>
        <v>71882.47</v>
      </c>
      <c r="R203" s="15">
        <v>24817.0</v>
      </c>
      <c r="S203" s="15">
        <v>32500.0</v>
      </c>
      <c r="T203" s="15">
        <v>50000.0</v>
      </c>
      <c r="U203" s="15"/>
      <c r="V203" s="14">
        <f t="shared" si="17"/>
        <v>-3594</v>
      </c>
      <c r="W203" s="7" t="s">
        <v>55</v>
      </c>
      <c r="X203" s="32">
        <v>44045.0</v>
      </c>
      <c r="Y203" s="41">
        <v>44012.0</v>
      </c>
      <c r="Z203" s="32">
        <v>44045.0</v>
      </c>
      <c r="AA203" s="32">
        <v>44045.0</v>
      </c>
    </row>
    <row r="204" hidden="1">
      <c r="A204" s="6" t="str">
        <f t="shared" si="1"/>
        <v>2020_Běžný provoz_Údržba vleků</v>
      </c>
      <c r="B204" s="17" t="s">
        <v>32</v>
      </c>
      <c r="C204" s="7" t="s">
        <v>71</v>
      </c>
      <c r="D204" s="7" t="str">
        <f>VLOOKUP(A204,'Rozpočet 2020'!J:J,1,FALSE)</f>
        <v>2020_Běžný provoz_Údržba vleků</v>
      </c>
      <c r="E204" s="7" t="s">
        <v>253</v>
      </c>
      <c r="F204" s="8">
        <v>44047.0</v>
      </c>
      <c r="H204" s="36" t="s">
        <v>119</v>
      </c>
      <c r="I204" s="12"/>
      <c r="J204" s="12">
        <v>1254.0</v>
      </c>
      <c r="K204" s="20">
        <f t="shared" si="10"/>
        <v>-1254</v>
      </c>
      <c r="L204" s="13"/>
      <c r="M204" s="13"/>
      <c r="N204" s="14">
        <f t="shared" si="4"/>
        <v>181539.47</v>
      </c>
      <c r="O204" s="6" t="s">
        <v>240</v>
      </c>
      <c r="Q204" s="15"/>
      <c r="R204" s="15"/>
      <c r="S204" s="15"/>
      <c r="T204" s="15"/>
      <c r="U204" s="15"/>
    </row>
    <row r="205" hidden="1">
      <c r="A205" s="6" t="str">
        <f t="shared" si="1"/>
        <v>2020_Běžný provoz_Výdaje ostatní</v>
      </c>
      <c r="B205" s="17" t="s">
        <v>32</v>
      </c>
      <c r="C205" s="7" t="s">
        <v>165</v>
      </c>
      <c r="D205" s="7" t="str">
        <f>VLOOKUP(A205,'Rozpočet 2020'!J:J,1,FALSE)</f>
        <v>2020_Běžný provoz_Výdaje ostatní</v>
      </c>
      <c r="E205" s="7" t="s">
        <v>254</v>
      </c>
      <c r="F205" s="8">
        <v>44055.0</v>
      </c>
      <c r="H205" s="36" t="s">
        <v>119</v>
      </c>
      <c r="I205" s="12"/>
      <c r="J205" s="12">
        <v>497.31</v>
      </c>
      <c r="K205" s="20">
        <f t="shared" si="10"/>
        <v>-497.31</v>
      </c>
      <c r="L205" s="13"/>
      <c r="M205" s="13"/>
      <c r="N205" s="14">
        <f t="shared" si="4"/>
        <v>181042.16</v>
      </c>
      <c r="O205" s="6" t="s">
        <v>240</v>
      </c>
      <c r="Q205" s="15"/>
      <c r="R205" s="15"/>
      <c r="S205" s="15"/>
      <c r="T205" s="15"/>
      <c r="U205" s="15"/>
    </row>
    <row r="206" hidden="1">
      <c r="A206" s="6" t="str">
        <f t="shared" si="1"/>
        <v>2020_Běžný provoz_Příjem půjčení vleků</v>
      </c>
      <c r="B206" s="17" t="s">
        <v>32</v>
      </c>
      <c r="C206" s="7" t="s">
        <v>255</v>
      </c>
      <c r="D206" s="7" t="str">
        <f>VLOOKUP(A206,'Rozpočet 2020'!J:J,1,FALSE)</f>
        <v>2020_Běžný provoz_Příjem půjčení vleků</v>
      </c>
      <c r="E206" s="7" t="s">
        <v>256</v>
      </c>
      <c r="F206" s="8">
        <v>44055.0</v>
      </c>
      <c r="H206" s="36" t="s">
        <v>119</v>
      </c>
      <c r="I206" s="12">
        <v>5000.0</v>
      </c>
      <c r="J206" s="12"/>
      <c r="K206" s="20">
        <f t="shared" si="10"/>
        <v>5000</v>
      </c>
      <c r="L206" s="13"/>
      <c r="M206" s="13"/>
      <c r="N206" s="14">
        <f t="shared" si="4"/>
        <v>186042.16</v>
      </c>
      <c r="O206" s="6" t="s">
        <v>240</v>
      </c>
      <c r="Q206" s="15"/>
      <c r="R206" s="15"/>
      <c r="S206" s="15"/>
      <c r="T206" s="15"/>
      <c r="U206" s="15"/>
    </row>
    <row r="207" hidden="1">
      <c r="A207" s="6" t="str">
        <f t="shared" si="1"/>
        <v>2020_Běžný provoz_Interní nájmy</v>
      </c>
      <c r="B207" s="17" t="s">
        <v>32</v>
      </c>
      <c r="C207" s="27" t="s">
        <v>49</v>
      </c>
      <c r="D207" s="7" t="str">
        <f>VLOOKUP(A207,'Rozpočet 2020'!J:J,1,FALSE)</f>
        <v>2020_Běžný provoz_Interní nájmy</v>
      </c>
      <c r="E207" s="7" t="s">
        <v>51</v>
      </c>
      <c r="F207" s="8">
        <v>44060.0</v>
      </c>
      <c r="H207" s="19" t="s">
        <v>125</v>
      </c>
      <c r="I207" s="12"/>
      <c r="J207" s="12">
        <v>3286.0</v>
      </c>
      <c r="K207" s="20">
        <f t="shared" si="10"/>
        <v>-3286</v>
      </c>
      <c r="L207" s="13"/>
      <c r="M207" s="13"/>
      <c r="N207" s="14">
        <f t="shared" si="4"/>
        <v>182756.16</v>
      </c>
      <c r="O207" s="6" t="s">
        <v>240</v>
      </c>
      <c r="Q207" s="15"/>
      <c r="R207" s="15"/>
      <c r="S207" s="2" t="s">
        <v>18</v>
      </c>
      <c r="T207" s="2" t="s">
        <v>19</v>
      </c>
      <c r="U207" s="15"/>
    </row>
    <row r="208" hidden="1">
      <c r="A208" s="6" t="str">
        <f t="shared" si="1"/>
        <v>2020_Běžný provoz_Interní nájmy</v>
      </c>
      <c r="B208" s="17" t="s">
        <v>32</v>
      </c>
      <c r="C208" s="27" t="s">
        <v>49</v>
      </c>
      <c r="D208" s="7" t="str">
        <f>VLOOKUP(A208,'Rozpočet 2020'!J:J,1,FALSE)</f>
        <v>2020_Běžný provoz_Interní nájmy</v>
      </c>
      <c r="E208" s="7" t="s">
        <v>50</v>
      </c>
      <c r="F208" s="8">
        <v>44060.0</v>
      </c>
      <c r="H208" s="19" t="s">
        <v>125</v>
      </c>
      <c r="I208" s="12"/>
      <c r="J208" s="12">
        <v>2304.0</v>
      </c>
      <c r="K208" s="20">
        <f t="shared" si="10"/>
        <v>-2304</v>
      </c>
      <c r="L208" s="13"/>
      <c r="M208" s="13"/>
      <c r="N208" s="14">
        <f t="shared" si="4"/>
        <v>180452.16</v>
      </c>
      <c r="O208" s="6" t="s">
        <v>240</v>
      </c>
      <c r="Q208" s="15"/>
      <c r="R208" s="15"/>
      <c r="S208" s="2" t="s">
        <v>34</v>
      </c>
      <c r="T208" s="2" t="s">
        <v>233</v>
      </c>
      <c r="U208" s="15"/>
    </row>
    <row r="209" hidden="1">
      <c r="A209" s="6" t="str">
        <f t="shared" si="1"/>
        <v>2020_Běžný provoz_Příspěvky</v>
      </c>
      <c r="B209" s="17" t="s">
        <v>32</v>
      </c>
      <c r="C209" s="21" t="s">
        <v>34</v>
      </c>
      <c r="D209" s="7" t="str">
        <f>VLOOKUP(A209,'Rozpočet 2020'!J:J,1,FALSE)</f>
        <v>2020_Běžný provoz_Příspěvky</v>
      </c>
      <c r="E209" s="7" t="s">
        <v>257</v>
      </c>
      <c r="F209" s="8">
        <v>44061.0</v>
      </c>
      <c r="H209" s="36" t="s">
        <v>252</v>
      </c>
      <c r="I209" s="12">
        <v>3300.0</v>
      </c>
      <c r="J209" s="12"/>
      <c r="K209" s="20">
        <f t="shared" si="10"/>
        <v>3300</v>
      </c>
      <c r="L209" s="13"/>
      <c r="M209" s="13"/>
      <c r="N209" s="14">
        <f t="shared" si="4"/>
        <v>183752.16</v>
      </c>
      <c r="O209" s="6" t="s">
        <v>240</v>
      </c>
      <c r="Q209" s="15"/>
      <c r="R209" s="15"/>
      <c r="S209" s="15"/>
      <c r="T209" s="15"/>
      <c r="U209" s="15"/>
    </row>
    <row r="210" hidden="1">
      <c r="A210" s="6" t="str">
        <f t="shared" si="1"/>
        <v>2020_Podpora činnosti_Podpora ČPV</v>
      </c>
      <c r="B210" s="28" t="s">
        <v>61</v>
      </c>
      <c r="C210" s="25" t="s">
        <v>143</v>
      </c>
      <c r="D210" s="7" t="str">
        <f>VLOOKUP(A210,'Rozpočet 2020'!J:J,1,FALSE)</f>
        <v>2020_Podpora činnosti_Podpora ČPV</v>
      </c>
      <c r="E210" s="7" t="s">
        <v>258</v>
      </c>
      <c r="F210" s="8">
        <v>44081.0</v>
      </c>
      <c r="H210" s="36" t="s">
        <v>119</v>
      </c>
      <c r="I210" s="42"/>
      <c r="J210" s="12">
        <v>1484.0</v>
      </c>
      <c r="K210" s="20">
        <f t="shared" si="10"/>
        <v>-1484</v>
      </c>
      <c r="L210" s="13"/>
      <c r="M210" s="13"/>
      <c r="N210" s="14">
        <f t="shared" si="4"/>
        <v>182268.16</v>
      </c>
      <c r="O210" s="6" t="s">
        <v>240</v>
      </c>
      <c r="Q210" s="15"/>
      <c r="R210" s="15"/>
      <c r="S210" s="15"/>
      <c r="T210" s="15"/>
      <c r="U210" s="15"/>
    </row>
    <row r="211" hidden="1">
      <c r="A211" s="6" t="str">
        <f t="shared" si="1"/>
        <v>2020_Hamerák-akce_Náklady příprava</v>
      </c>
      <c r="B211" s="23" t="s">
        <v>37</v>
      </c>
      <c r="C211" s="24" t="s">
        <v>158</v>
      </c>
      <c r="D211" s="7" t="str">
        <f>VLOOKUP(A211,'Rozpočet 2020'!J:J,1,FALSE)</f>
        <v>2020_Hamerák-akce_Náklady příprava</v>
      </c>
      <c r="E211" s="7" t="s">
        <v>259</v>
      </c>
      <c r="F211" s="8">
        <v>44090.0</v>
      </c>
      <c r="H211" s="36" t="s">
        <v>119</v>
      </c>
      <c r="I211" s="42"/>
      <c r="J211" s="12">
        <v>1464.0</v>
      </c>
      <c r="K211" s="20">
        <f t="shared" si="10"/>
        <v>-1464</v>
      </c>
      <c r="L211" s="13"/>
      <c r="M211" s="13"/>
      <c r="N211" s="14">
        <f t="shared" si="4"/>
        <v>180804.16</v>
      </c>
      <c r="O211" s="6" t="s">
        <v>240</v>
      </c>
      <c r="Q211" s="15"/>
      <c r="R211" s="15"/>
      <c r="S211" s="15"/>
      <c r="T211" s="15"/>
      <c r="U211" s="15"/>
    </row>
    <row r="212" hidden="1">
      <c r="A212" s="6" t="str">
        <f t="shared" si="1"/>
        <v>2020_Podpora činnosti_Podpora ČPV</v>
      </c>
      <c r="B212" s="28" t="s">
        <v>61</v>
      </c>
      <c r="C212" s="25" t="s">
        <v>143</v>
      </c>
      <c r="D212" s="7" t="str">
        <f>VLOOKUP(A212,'Rozpočet 2020'!J:J,1,FALSE)</f>
        <v>2020_Podpora činnosti_Podpora ČPV</v>
      </c>
      <c r="E212" s="7" t="s">
        <v>260</v>
      </c>
      <c r="F212" s="8">
        <v>44092.0</v>
      </c>
      <c r="H212" s="36" t="s">
        <v>119</v>
      </c>
      <c r="I212" s="42"/>
      <c r="J212" s="12">
        <v>2500.0</v>
      </c>
      <c r="K212" s="20">
        <f t="shared" si="10"/>
        <v>-2500</v>
      </c>
      <c r="L212" s="13"/>
      <c r="M212" s="13"/>
      <c r="N212" s="14">
        <f t="shared" si="4"/>
        <v>178304.16</v>
      </c>
      <c r="O212" s="6" t="s">
        <v>240</v>
      </c>
      <c r="Q212" s="15"/>
      <c r="R212" s="15"/>
      <c r="S212" s="15"/>
      <c r="T212" s="15"/>
      <c r="U212" s="15"/>
    </row>
    <row r="213" hidden="1">
      <c r="A213" s="6" t="str">
        <f t="shared" si="1"/>
        <v>2020_Hamerák-akce_Náklady příprava</v>
      </c>
      <c r="B213" s="23" t="s">
        <v>37</v>
      </c>
      <c r="C213" s="24" t="s">
        <v>158</v>
      </c>
      <c r="D213" s="7" t="str">
        <f>VLOOKUP(A213,'Rozpočet 2020'!J:J,1,FALSE)</f>
        <v>2020_Hamerák-akce_Náklady příprava</v>
      </c>
      <c r="E213" s="7" t="s">
        <v>261</v>
      </c>
      <c r="F213" s="8">
        <v>44109.0</v>
      </c>
      <c r="H213" s="36" t="s">
        <v>119</v>
      </c>
      <c r="I213" s="12"/>
      <c r="J213" s="12">
        <v>245.0</v>
      </c>
      <c r="K213" s="20">
        <f t="shared" si="10"/>
        <v>-245</v>
      </c>
      <c r="L213" s="13"/>
      <c r="M213" s="13"/>
      <c r="N213" s="14">
        <f t="shared" si="4"/>
        <v>178059.16</v>
      </c>
      <c r="O213" s="6" t="s">
        <v>240</v>
      </c>
      <c r="Q213" s="15"/>
      <c r="R213" s="15"/>
      <c r="S213" s="15"/>
      <c r="T213" s="15"/>
      <c r="U213" s="15"/>
    </row>
    <row r="214" hidden="1">
      <c r="A214" s="6" t="str">
        <f t="shared" si="1"/>
        <v>2020_Běžný provoz_Údržba vleků</v>
      </c>
      <c r="B214" s="17" t="s">
        <v>32</v>
      </c>
      <c r="C214" s="7" t="s">
        <v>71</v>
      </c>
      <c r="D214" s="7" t="str">
        <f>VLOOKUP(A214,'Rozpočet 2020'!J:J,1,FALSE)</f>
        <v>2020_Běžný provoz_Údržba vleků</v>
      </c>
      <c r="E214" s="7" t="s">
        <v>262</v>
      </c>
      <c r="F214" s="8">
        <v>44109.0</v>
      </c>
      <c r="H214" s="36" t="s">
        <v>119</v>
      </c>
      <c r="I214" s="12"/>
      <c r="J214" s="12">
        <v>1067.0</v>
      </c>
      <c r="K214" s="20">
        <f t="shared" si="10"/>
        <v>-1067</v>
      </c>
      <c r="L214" s="13"/>
      <c r="M214" s="13"/>
      <c r="N214" s="14">
        <f t="shared" si="4"/>
        <v>176992.16</v>
      </c>
      <c r="O214" s="6" t="s">
        <v>240</v>
      </c>
      <c r="Q214" s="15"/>
      <c r="R214" s="15"/>
      <c r="S214" s="15"/>
      <c r="T214" s="15"/>
      <c r="U214" s="15"/>
    </row>
    <row r="215" hidden="1">
      <c r="A215" s="6" t="str">
        <f t="shared" si="1"/>
        <v>2020_Běžný provoz_Interní nájmy</v>
      </c>
      <c r="B215" s="17" t="s">
        <v>32</v>
      </c>
      <c r="C215" s="27" t="s">
        <v>49</v>
      </c>
      <c r="D215" s="7" t="str">
        <f>VLOOKUP(A215,'Rozpočet 2020'!J:J,1,FALSE)</f>
        <v>2020_Běžný provoz_Interní nájmy</v>
      </c>
      <c r="E215" s="7" t="s">
        <v>50</v>
      </c>
      <c r="F215" s="39">
        <v>44134.0</v>
      </c>
      <c r="H215" s="19" t="s">
        <v>125</v>
      </c>
      <c r="I215" s="12"/>
      <c r="J215" s="31">
        <v>6103.0</v>
      </c>
      <c r="K215" s="20">
        <f t="shared" si="10"/>
        <v>-6103</v>
      </c>
      <c r="L215" s="13"/>
      <c r="M215" s="13"/>
      <c r="N215" s="14">
        <f t="shared" si="4"/>
        <v>170889.16</v>
      </c>
      <c r="O215" s="6" t="s">
        <v>240</v>
      </c>
      <c r="Q215" s="15"/>
      <c r="R215" s="15"/>
      <c r="S215" s="15"/>
      <c r="T215" s="15"/>
      <c r="U215" s="15"/>
      <c r="V215" s="14" t="str">
        <f>IF(ISBLANK(Q215),"",SUM(Q215:U215)-N215)</f>
        <v/>
      </c>
    </row>
    <row r="216" hidden="1">
      <c r="A216" s="6" t="str">
        <f t="shared" si="1"/>
        <v>2020_Běžný provoz_Interní nájmy</v>
      </c>
      <c r="B216" s="17" t="s">
        <v>32</v>
      </c>
      <c r="C216" s="27" t="s">
        <v>49</v>
      </c>
      <c r="D216" s="7" t="str">
        <f>VLOOKUP(A216,'Rozpočet 2020'!J:J,1,FALSE)</f>
        <v>2020_Běžný provoz_Interní nájmy</v>
      </c>
      <c r="E216" s="7" t="s">
        <v>51</v>
      </c>
      <c r="F216" s="39">
        <v>44134.0</v>
      </c>
      <c r="H216" s="19" t="s">
        <v>125</v>
      </c>
      <c r="I216" s="12"/>
      <c r="J216" s="31">
        <v>6912.0</v>
      </c>
      <c r="K216" s="20">
        <f t="shared" si="10"/>
        <v>-6912</v>
      </c>
      <c r="L216" s="13"/>
      <c r="M216" s="13"/>
      <c r="N216" s="14">
        <f t="shared" si="4"/>
        <v>163977.16</v>
      </c>
      <c r="O216" s="6" t="s">
        <v>240</v>
      </c>
      <c r="Q216" s="15"/>
      <c r="R216" s="15"/>
      <c r="S216" s="15"/>
      <c r="T216" s="15"/>
      <c r="U216" s="15"/>
    </row>
    <row r="217" hidden="1">
      <c r="A217" s="6" t="str">
        <f t="shared" si="1"/>
        <v>2020_Běžný provoz_Výdaje ostatní</v>
      </c>
      <c r="B217" s="17" t="s">
        <v>32</v>
      </c>
      <c r="C217" s="7" t="s">
        <v>165</v>
      </c>
      <c r="D217" s="7" t="str">
        <f>VLOOKUP(A217,'Rozpočet 2020'!J:J,1,FALSE)</f>
        <v>2020_Běžný provoz_Výdaje ostatní</v>
      </c>
      <c r="E217" s="7" t="s">
        <v>263</v>
      </c>
      <c r="F217" s="8">
        <v>44179.0</v>
      </c>
      <c r="H217" s="19" t="s">
        <v>119</v>
      </c>
      <c r="I217" s="12"/>
      <c r="J217" s="12">
        <v>500.0</v>
      </c>
      <c r="K217" s="20">
        <f t="shared" si="10"/>
        <v>-500</v>
      </c>
      <c r="L217" s="13"/>
      <c r="M217" s="13"/>
      <c r="N217" s="14">
        <f t="shared" si="4"/>
        <v>163477.16</v>
      </c>
      <c r="O217" s="6" t="s">
        <v>240</v>
      </c>
      <c r="P217" s="14"/>
      <c r="Q217" s="15">
        <f>Q205-J215-J216</f>
        <v>-13015</v>
      </c>
      <c r="R217" s="15">
        <v>20802.69</v>
      </c>
      <c r="S217" s="15">
        <v>35800.0</v>
      </c>
      <c r="T217" s="15">
        <v>50000.0</v>
      </c>
      <c r="U217" s="15"/>
      <c r="V217" s="14">
        <f>IF(ISBLANK(Q217),"",SUM(Q217:U217)-N217)</f>
        <v>-69889.47</v>
      </c>
      <c r="X217" s="16"/>
    </row>
    <row r="218" hidden="1">
      <c r="A218" s="6" t="str">
        <f t="shared" si="1"/>
        <v>2020_Podpora činnosti_Příjmy dotace</v>
      </c>
      <c r="B218" s="28" t="s">
        <v>61</v>
      </c>
      <c r="C218" s="43" t="s">
        <v>122</v>
      </c>
      <c r="D218" s="7" t="str">
        <f>VLOOKUP(A218,'Rozpočet 2020'!J:J,1,FALSE)</f>
        <v>2020_Podpora činnosti_Příjmy dotace</v>
      </c>
      <c r="E218" s="7" t="s">
        <v>264</v>
      </c>
      <c r="F218" s="39">
        <v>44196.0</v>
      </c>
      <c r="H218" s="36" t="s">
        <v>125</v>
      </c>
      <c r="I218" s="12">
        <v>29000.0</v>
      </c>
      <c r="J218" s="12"/>
      <c r="K218" s="20">
        <f t="shared" si="10"/>
        <v>29000</v>
      </c>
      <c r="L218" s="13"/>
      <c r="M218" s="13"/>
      <c r="N218" s="14">
        <f t="shared" si="4"/>
        <v>192477.16</v>
      </c>
      <c r="O218" s="6" t="s">
        <v>240</v>
      </c>
      <c r="Q218" s="15"/>
      <c r="R218" s="15"/>
      <c r="S218" s="15"/>
      <c r="T218" s="15"/>
      <c r="U218" s="15"/>
    </row>
    <row r="219" hidden="1">
      <c r="A219" s="6" t="str">
        <f t="shared" si="1"/>
        <v>2021_Běžný provoz_Příspěvky ČSK</v>
      </c>
      <c r="B219" s="17" t="s">
        <v>32</v>
      </c>
      <c r="C219" s="21" t="s">
        <v>33</v>
      </c>
      <c r="D219" s="7" t="str">
        <f>VLOOKUP(A219,'Rozpočet 2021'!J:J,1,FALSE)</f>
        <v>2021_Běžný provoz_Příspěvky ČSK</v>
      </c>
      <c r="E219" s="7" t="s">
        <v>139</v>
      </c>
      <c r="F219" s="8">
        <v>44284.0</v>
      </c>
      <c r="H219" s="36" t="s">
        <v>119</v>
      </c>
      <c r="I219" s="12"/>
      <c r="J219" s="12">
        <v>1330.0</v>
      </c>
      <c r="K219" s="20">
        <f t="shared" si="10"/>
        <v>-1330</v>
      </c>
      <c r="L219" s="13"/>
      <c r="M219" s="13"/>
      <c r="N219" s="14">
        <f t="shared" si="4"/>
        <v>191147.16</v>
      </c>
      <c r="O219" s="6" t="s">
        <v>265</v>
      </c>
      <c r="Q219" s="44"/>
      <c r="R219" s="44"/>
      <c r="S219" s="44"/>
      <c r="T219" s="44"/>
      <c r="U219" s="44"/>
    </row>
    <row r="220" hidden="1">
      <c r="A220" s="6" t="str">
        <f t="shared" si="1"/>
        <v>2021_Běžný provoz_Interní nájmy</v>
      </c>
      <c r="B220" s="17" t="s">
        <v>32</v>
      </c>
      <c r="C220" s="27" t="s">
        <v>49</v>
      </c>
      <c r="D220" s="7" t="str">
        <f>VLOOKUP(A220,'Rozpočet 2021'!J:J,1,FALSE)</f>
        <v>2021_Běžný provoz_Interní nájmy</v>
      </c>
      <c r="E220" s="7" t="s">
        <v>51</v>
      </c>
      <c r="F220" s="8">
        <v>44377.0</v>
      </c>
      <c r="H220" s="19" t="s">
        <v>125</v>
      </c>
      <c r="I220" s="12"/>
      <c r="J220" s="31">
        <v>3296.0</v>
      </c>
      <c r="K220" s="20">
        <f t="shared" si="10"/>
        <v>-3296</v>
      </c>
      <c r="L220" s="13"/>
      <c r="M220" s="13"/>
      <c r="N220" s="14">
        <f t="shared" si="4"/>
        <v>187851.16</v>
      </c>
      <c r="O220" s="6" t="s">
        <v>265</v>
      </c>
      <c r="Q220" s="44"/>
      <c r="R220" s="44"/>
      <c r="S220" s="44"/>
      <c r="T220" s="44"/>
      <c r="U220" s="44"/>
    </row>
    <row r="221" hidden="1">
      <c r="A221" s="6" t="str">
        <f t="shared" si="1"/>
        <v>2021_Podpora činnosti_Oddílová soutěž</v>
      </c>
      <c r="B221" s="28" t="s">
        <v>61</v>
      </c>
      <c r="C221" s="25" t="s">
        <v>42</v>
      </c>
      <c r="D221" s="7" t="str">
        <f>VLOOKUP(A221,'Rozpočet 2021'!J:J,1,FALSE)</f>
        <v>2021_Podpora činnosti_Oddílová soutěž</v>
      </c>
      <c r="E221" s="7" t="s">
        <v>266</v>
      </c>
      <c r="F221" s="8">
        <v>44380.0</v>
      </c>
      <c r="H221" s="36" t="s">
        <v>119</v>
      </c>
      <c r="I221" s="12"/>
      <c r="J221" s="12">
        <v>1000.0</v>
      </c>
      <c r="K221" s="20">
        <f t="shared" si="10"/>
        <v>-1000</v>
      </c>
      <c r="L221" s="13"/>
      <c r="M221" s="13"/>
      <c r="N221" s="14">
        <f t="shared" si="4"/>
        <v>186851.16</v>
      </c>
      <c r="O221" s="6" t="s">
        <v>265</v>
      </c>
      <c r="Q221" s="15"/>
      <c r="R221" s="15"/>
      <c r="S221" s="15"/>
      <c r="T221" s="15"/>
      <c r="U221" s="15"/>
    </row>
    <row r="222" hidden="1">
      <c r="A222" s="6" t="str">
        <f t="shared" si="1"/>
        <v>2021_Běžný provoz_Příspěvky</v>
      </c>
      <c r="B222" s="17" t="s">
        <v>32</v>
      </c>
      <c r="C222" s="21" t="s">
        <v>34</v>
      </c>
      <c r="D222" s="7" t="str">
        <f>VLOOKUP(A222,'Rozpočet 2021'!J:J,1,FALSE)</f>
        <v>2021_Běžný provoz_Příspěvky</v>
      </c>
      <c r="E222" s="7" t="s">
        <v>267</v>
      </c>
      <c r="F222" s="8">
        <v>44380.0</v>
      </c>
      <c r="H222" s="36" t="s">
        <v>252</v>
      </c>
      <c r="I222" s="12">
        <v>36250.0</v>
      </c>
      <c r="J222" s="12"/>
      <c r="K222" s="20">
        <f t="shared" si="10"/>
        <v>36250</v>
      </c>
      <c r="L222" s="13"/>
      <c r="M222" s="13"/>
      <c r="N222" s="14">
        <f t="shared" si="4"/>
        <v>223101.16</v>
      </c>
      <c r="O222" s="6" t="s">
        <v>265</v>
      </c>
      <c r="Q222" s="15"/>
      <c r="R222" s="15">
        <v>18472.69</v>
      </c>
      <c r="S222" s="15">
        <v>71750.01</v>
      </c>
      <c r="T222" s="15">
        <v>50000.0</v>
      </c>
      <c r="U222" s="15"/>
    </row>
    <row r="223" hidden="1">
      <c r="A223" s="6" t="str">
        <f t="shared" si="1"/>
        <v>2021_Běžný provoz_Interní nájmy</v>
      </c>
      <c r="B223" s="17" t="s">
        <v>32</v>
      </c>
      <c r="C223" s="27" t="s">
        <v>49</v>
      </c>
      <c r="D223" s="7" t="str">
        <f>VLOOKUP(A223,'Rozpočet 2021'!J:J,1,FALSE)</f>
        <v>2021_Běžný provoz_Interní nájmy</v>
      </c>
      <c r="E223" s="7" t="s">
        <v>50</v>
      </c>
      <c r="F223" s="8">
        <v>44407.0</v>
      </c>
      <c r="H223" s="19" t="s">
        <v>125</v>
      </c>
      <c r="I223" s="12"/>
      <c r="J223" s="31">
        <v>6103.0</v>
      </c>
      <c r="K223" s="20">
        <f t="shared" si="10"/>
        <v>-6103</v>
      </c>
      <c r="L223" s="13"/>
      <c r="M223" s="13"/>
      <c r="N223" s="14">
        <f t="shared" si="4"/>
        <v>216998.16</v>
      </c>
      <c r="O223" s="6" t="s">
        <v>265</v>
      </c>
      <c r="Q223" s="44"/>
      <c r="R223" s="44"/>
      <c r="S223" s="44"/>
      <c r="T223" s="44"/>
      <c r="U223" s="44"/>
    </row>
    <row r="224" hidden="1">
      <c r="A224" s="6" t="str">
        <f t="shared" si="1"/>
        <v>2021_Podpora činnosti_Oddílová soutěž</v>
      </c>
      <c r="B224" s="28" t="s">
        <v>61</v>
      </c>
      <c r="C224" s="25" t="s">
        <v>42</v>
      </c>
      <c r="D224" s="7" t="str">
        <f>VLOOKUP(A224,'Rozpočet 2021'!J:J,1,FALSE)</f>
        <v>2021_Podpora činnosti_Oddílová soutěž</v>
      </c>
      <c r="E224" s="7" t="s">
        <v>134</v>
      </c>
      <c r="F224" s="8">
        <v>44417.0</v>
      </c>
      <c r="H224" s="36" t="s">
        <v>119</v>
      </c>
      <c r="I224" s="12"/>
      <c r="J224" s="12">
        <v>1000.0</v>
      </c>
      <c r="K224" s="20">
        <f t="shared" si="10"/>
        <v>-1000</v>
      </c>
      <c r="L224" s="13"/>
      <c r="M224" s="13"/>
      <c r="N224" s="14">
        <f t="shared" si="4"/>
        <v>215998.16</v>
      </c>
      <c r="O224" s="6" t="s">
        <v>265</v>
      </c>
      <c r="Q224" s="44"/>
      <c r="R224" s="44"/>
      <c r="S224" s="44"/>
      <c r="T224" s="44"/>
      <c r="U224" s="44"/>
    </row>
    <row r="225" hidden="1">
      <c r="A225" s="6" t="str">
        <f t="shared" si="1"/>
        <v>2021_Běžný provoz_Výdaje ostatní</v>
      </c>
      <c r="B225" s="17" t="s">
        <v>32</v>
      </c>
      <c r="C225" s="7" t="s">
        <v>165</v>
      </c>
      <c r="D225" s="7" t="str">
        <f>VLOOKUP(A225,'Rozpočet 2021'!J:J,1,FALSE)</f>
        <v>2021_Běžný provoz_Výdaje ostatní</v>
      </c>
      <c r="E225" s="45" t="s">
        <v>268</v>
      </c>
      <c r="F225" s="8">
        <v>44420.0</v>
      </c>
      <c r="H225" s="36" t="s">
        <v>119</v>
      </c>
      <c r="I225" s="12"/>
      <c r="J225" s="12">
        <v>497.31</v>
      </c>
      <c r="K225" s="20">
        <f t="shared" si="10"/>
        <v>-497.31</v>
      </c>
      <c r="L225" s="13"/>
      <c r="M225" s="13"/>
      <c r="N225" s="14">
        <f t="shared" si="4"/>
        <v>215500.85</v>
      </c>
      <c r="O225" s="6" t="s">
        <v>265</v>
      </c>
      <c r="Q225" s="15"/>
      <c r="R225" s="15"/>
      <c r="S225" s="15"/>
      <c r="T225" s="15"/>
      <c r="U225" s="15"/>
    </row>
    <row r="226" hidden="1">
      <c r="A226" s="6" t="str">
        <f t="shared" si="1"/>
        <v>2021_Běžný provoz_Příjem půjčení vleků</v>
      </c>
      <c r="B226" s="17" t="s">
        <v>32</v>
      </c>
      <c r="C226" s="7" t="s">
        <v>255</v>
      </c>
      <c r="D226" s="7" t="str">
        <f>VLOOKUP(A226,'Rozpočet 2021'!J:J,1,FALSE)</f>
        <v>2021_Běžný provoz_Příjem půjčení vleků</v>
      </c>
      <c r="E226" s="7" t="s">
        <v>256</v>
      </c>
      <c r="F226" s="8">
        <v>44432.0</v>
      </c>
      <c r="H226" s="36" t="s">
        <v>119</v>
      </c>
      <c r="I226" s="12">
        <v>5000.0</v>
      </c>
      <c r="J226" s="12"/>
      <c r="K226" s="20">
        <f t="shared" si="10"/>
        <v>5000</v>
      </c>
      <c r="L226" s="13"/>
      <c r="M226" s="13"/>
      <c r="N226" s="14">
        <f t="shared" si="4"/>
        <v>220500.85</v>
      </c>
      <c r="O226" s="6" t="s">
        <v>265</v>
      </c>
      <c r="Q226" s="15"/>
      <c r="R226" s="15"/>
      <c r="S226" s="15"/>
      <c r="T226" s="15"/>
      <c r="U226" s="15"/>
    </row>
    <row r="227" hidden="1">
      <c r="A227" s="6" t="str">
        <f t="shared" si="1"/>
        <v>2021_Podpora činnosti_Podpora ČPV</v>
      </c>
      <c r="B227" s="28" t="s">
        <v>61</v>
      </c>
      <c r="C227" s="25" t="s">
        <v>143</v>
      </c>
      <c r="D227" s="7" t="str">
        <f>VLOOKUP(A227,'Rozpočet 2021'!J:J,1,FALSE)</f>
        <v>2021_Podpora činnosti_Podpora ČPV</v>
      </c>
      <c r="E227" s="7" t="s">
        <v>269</v>
      </c>
      <c r="F227" s="8">
        <v>44442.0</v>
      </c>
      <c r="H227" s="36" t="s">
        <v>119</v>
      </c>
      <c r="I227" s="12"/>
      <c r="J227" s="12">
        <v>2000.0</v>
      </c>
      <c r="K227" s="20">
        <f t="shared" si="10"/>
        <v>-2000</v>
      </c>
      <c r="L227" s="13"/>
      <c r="M227" s="13"/>
      <c r="N227" s="14">
        <f t="shared" si="4"/>
        <v>218500.85</v>
      </c>
      <c r="O227" s="6" t="s">
        <v>265</v>
      </c>
      <c r="Q227" s="15"/>
      <c r="R227" s="15"/>
      <c r="S227" s="15"/>
      <c r="T227" s="15"/>
      <c r="U227" s="15"/>
    </row>
    <row r="228" hidden="1">
      <c r="A228" s="6" t="str">
        <f t="shared" si="1"/>
        <v>2021_Běžný provoz_Příspěvky</v>
      </c>
      <c r="B228" s="17" t="s">
        <v>32</v>
      </c>
      <c r="C228" s="21" t="s">
        <v>34</v>
      </c>
      <c r="D228" s="7" t="str">
        <f>VLOOKUP(A228,'Rozpočet 2021'!J:J,1,FALSE)</f>
        <v>2021_Běžný provoz_Příspěvky</v>
      </c>
      <c r="E228" s="7" t="s">
        <v>270</v>
      </c>
      <c r="F228" s="8">
        <v>44446.0</v>
      </c>
      <c r="H228" s="36" t="s">
        <v>119</v>
      </c>
      <c r="I228" s="12">
        <v>1550.0</v>
      </c>
      <c r="J228" s="12"/>
      <c r="K228" s="20">
        <f t="shared" si="10"/>
        <v>1550</v>
      </c>
      <c r="L228" s="13"/>
      <c r="M228" s="13"/>
      <c r="N228" s="14">
        <f t="shared" si="4"/>
        <v>220050.85</v>
      </c>
      <c r="O228" s="6" t="s">
        <v>265</v>
      </c>
      <c r="Q228" s="15"/>
      <c r="R228" s="15"/>
      <c r="S228" s="15"/>
      <c r="T228" s="15"/>
      <c r="U228" s="15"/>
    </row>
    <row r="229" hidden="1">
      <c r="A229" s="6" t="str">
        <f t="shared" si="1"/>
        <v>2021_Hamerák-akce_Hamerák finance</v>
      </c>
      <c r="B229" s="23" t="s">
        <v>37</v>
      </c>
      <c r="C229" s="24" t="s">
        <v>95</v>
      </c>
      <c r="D229" s="7" t="str">
        <f>VLOOKUP(A229,'Rozpočet 2021'!J:J,1,FALSE)</f>
        <v>2021_Hamerák-akce_Hamerák finance</v>
      </c>
      <c r="E229" s="7" t="s">
        <v>271</v>
      </c>
      <c r="F229" s="8">
        <v>44446.0</v>
      </c>
      <c r="H229" s="36" t="s">
        <v>119</v>
      </c>
      <c r="I229" s="12"/>
      <c r="J229" s="12">
        <v>1292.0</v>
      </c>
      <c r="K229" s="20">
        <f t="shared" si="10"/>
        <v>-1292</v>
      </c>
      <c r="L229" s="13"/>
      <c r="M229" s="13"/>
      <c r="N229" s="14">
        <f t="shared" si="4"/>
        <v>218758.85</v>
      </c>
      <c r="O229" s="6" t="s">
        <v>265</v>
      </c>
      <c r="Q229" s="15"/>
      <c r="R229" s="15"/>
      <c r="S229" s="15"/>
      <c r="T229" s="15"/>
      <c r="U229" s="15"/>
    </row>
    <row r="230" hidden="1">
      <c r="A230" s="6" t="str">
        <f t="shared" si="1"/>
        <v>2021_Hamerák-akce_Hamerák finance</v>
      </c>
      <c r="B230" s="23" t="s">
        <v>37</v>
      </c>
      <c r="C230" s="24" t="s">
        <v>95</v>
      </c>
      <c r="D230" s="7" t="str">
        <f>VLOOKUP(A230,'Rozpočet 2021'!J:J,1,FALSE)</f>
        <v>2021_Hamerák-akce_Hamerák finance</v>
      </c>
      <c r="E230" s="7" t="s">
        <v>272</v>
      </c>
      <c r="F230" s="8">
        <v>44448.0</v>
      </c>
      <c r="H230" s="36" t="s">
        <v>119</v>
      </c>
      <c r="I230" s="12"/>
      <c r="J230" s="12">
        <v>1012.0</v>
      </c>
      <c r="K230" s="20">
        <f t="shared" si="10"/>
        <v>-1012</v>
      </c>
      <c r="L230" s="13"/>
      <c r="M230" s="13"/>
      <c r="N230" s="14">
        <f t="shared" si="4"/>
        <v>217746.85</v>
      </c>
      <c r="O230" s="6" t="s">
        <v>265</v>
      </c>
      <c r="Q230" s="15"/>
      <c r="R230" s="15"/>
      <c r="S230" s="15"/>
      <c r="T230" s="15"/>
      <c r="U230" s="15"/>
    </row>
    <row r="231" hidden="1">
      <c r="A231" s="6" t="str">
        <f t="shared" si="1"/>
        <v>2021_Podpora činnosti_Podpora ČPV</v>
      </c>
      <c r="B231" s="28" t="s">
        <v>61</v>
      </c>
      <c r="C231" s="25" t="s">
        <v>143</v>
      </c>
      <c r="D231" s="7" t="str">
        <f>VLOOKUP(A231,'Rozpočet 2021'!J:J,1,FALSE)</f>
        <v>2021_Podpora činnosti_Podpora ČPV</v>
      </c>
      <c r="E231" s="7" t="s">
        <v>260</v>
      </c>
      <c r="F231" s="8">
        <v>44455.0</v>
      </c>
      <c r="H231" s="36" t="s">
        <v>119</v>
      </c>
      <c r="I231" s="12"/>
      <c r="J231" s="12">
        <v>2500.0</v>
      </c>
      <c r="K231" s="20">
        <f t="shared" si="10"/>
        <v>-2500</v>
      </c>
      <c r="L231" s="13"/>
      <c r="M231" s="13"/>
      <c r="N231" s="14">
        <f t="shared" si="4"/>
        <v>215246.85</v>
      </c>
      <c r="O231" s="6" t="s">
        <v>265</v>
      </c>
      <c r="Q231" s="15"/>
      <c r="R231" s="15"/>
      <c r="S231" s="15"/>
      <c r="T231" s="15"/>
      <c r="U231" s="15"/>
    </row>
    <row r="232" hidden="1">
      <c r="A232" s="6" t="str">
        <f t="shared" si="1"/>
        <v>2021_Hamerák-akce_Hamerák finance</v>
      </c>
      <c r="B232" s="23" t="s">
        <v>37</v>
      </c>
      <c r="C232" s="24" t="s">
        <v>95</v>
      </c>
      <c r="D232" s="7" t="str">
        <f>VLOOKUP(A232,'Rozpočet 2021'!J:J,1,FALSE)</f>
        <v>2021_Hamerák-akce_Hamerák finance</v>
      </c>
      <c r="E232" s="7" t="s">
        <v>273</v>
      </c>
      <c r="F232" s="8">
        <v>44469.0</v>
      </c>
      <c r="H232" s="36" t="s">
        <v>119</v>
      </c>
      <c r="I232" s="12"/>
      <c r="J232" s="46">
        <v>10000.0</v>
      </c>
      <c r="K232" s="20">
        <f t="shared" si="10"/>
        <v>-10000</v>
      </c>
      <c r="L232" s="13"/>
      <c r="M232" s="13"/>
      <c r="N232" s="14">
        <f t="shared" si="4"/>
        <v>205246.85</v>
      </c>
      <c r="O232" s="6" t="s">
        <v>265</v>
      </c>
      <c r="Q232" s="15"/>
      <c r="R232" s="15"/>
      <c r="S232" s="15"/>
      <c r="T232" s="15"/>
      <c r="U232" s="15"/>
    </row>
    <row r="233" hidden="1">
      <c r="A233" s="6" t="str">
        <f t="shared" si="1"/>
        <v>2021_Hamerák-akce_Hamerák finance</v>
      </c>
      <c r="B233" s="23" t="s">
        <v>37</v>
      </c>
      <c r="C233" s="24" t="s">
        <v>95</v>
      </c>
      <c r="D233" s="7" t="str">
        <f>VLOOKUP(A233,'Rozpočet 2021'!J:J,1,FALSE)</f>
        <v>2021_Hamerák-akce_Hamerák finance</v>
      </c>
      <c r="E233" s="7" t="s">
        <v>274</v>
      </c>
      <c r="F233" s="29">
        <v>44473.0</v>
      </c>
      <c r="H233" s="36" t="s">
        <v>119</v>
      </c>
      <c r="I233" s="12"/>
      <c r="J233" s="46">
        <v>15000.0</v>
      </c>
      <c r="K233" s="20">
        <f t="shared" si="10"/>
        <v>-15000</v>
      </c>
      <c r="L233" s="13"/>
      <c r="M233" s="13"/>
      <c r="N233" s="14">
        <f t="shared" si="4"/>
        <v>190246.85</v>
      </c>
      <c r="O233" s="6" t="s">
        <v>265</v>
      </c>
      <c r="Q233" s="15"/>
      <c r="R233" s="15"/>
      <c r="S233" s="15"/>
      <c r="T233" s="15"/>
      <c r="U233" s="15"/>
    </row>
    <row r="234" hidden="1">
      <c r="A234" s="6" t="str">
        <f t="shared" si="1"/>
        <v>2021_Hamerák-akce_Hamerák finance</v>
      </c>
      <c r="B234" s="23" t="s">
        <v>37</v>
      </c>
      <c r="C234" s="24" t="s">
        <v>95</v>
      </c>
      <c r="D234" s="7" t="str">
        <f>VLOOKUP(A234,'Rozpočet 2021'!J:J,1,FALSE)</f>
        <v>2021_Hamerák-akce_Hamerák finance</v>
      </c>
      <c r="E234" s="7" t="s">
        <v>275</v>
      </c>
      <c r="F234" s="8">
        <v>44477.0</v>
      </c>
      <c r="H234" s="36" t="s">
        <v>125</v>
      </c>
      <c r="I234" s="12"/>
      <c r="J234" s="12">
        <v>14520.0</v>
      </c>
      <c r="K234" s="20">
        <f t="shared" si="10"/>
        <v>-14520</v>
      </c>
      <c r="L234" s="13"/>
      <c r="M234" s="13"/>
      <c r="N234" s="14">
        <f t="shared" si="4"/>
        <v>175726.85</v>
      </c>
      <c r="O234" s="6" t="s">
        <v>265</v>
      </c>
      <c r="Q234" s="44"/>
      <c r="R234" s="44"/>
      <c r="S234" s="44"/>
      <c r="T234" s="44"/>
      <c r="U234" s="44"/>
    </row>
    <row r="235" hidden="1">
      <c r="A235" s="6" t="str">
        <f t="shared" si="1"/>
        <v>2021_Běžný provoz_Údržba vleků</v>
      </c>
      <c r="B235" s="17" t="s">
        <v>32</v>
      </c>
      <c r="C235" s="7" t="s">
        <v>71</v>
      </c>
      <c r="D235" s="7" t="str">
        <f>VLOOKUP(A235,'Rozpočet 2021'!J:J,1,FALSE)</f>
        <v>2021_Běžný provoz_Údržba vleků</v>
      </c>
      <c r="E235" s="47" t="s">
        <v>276</v>
      </c>
      <c r="F235" s="8">
        <v>44482.0</v>
      </c>
      <c r="H235" s="19" t="s">
        <v>125</v>
      </c>
      <c r="I235" s="12"/>
      <c r="J235" s="12">
        <v>112.0</v>
      </c>
      <c r="K235" s="20">
        <f t="shared" si="10"/>
        <v>-112</v>
      </c>
      <c r="L235" s="13"/>
      <c r="M235" s="13"/>
      <c r="N235" s="14">
        <f t="shared" si="4"/>
        <v>175614.85</v>
      </c>
      <c r="O235" s="6" t="s">
        <v>265</v>
      </c>
      <c r="Q235" s="44"/>
      <c r="R235" s="44"/>
      <c r="S235" s="44"/>
      <c r="T235" s="44"/>
      <c r="U235" s="44"/>
    </row>
    <row r="236" hidden="1">
      <c r="A236" s="6" t="str">
        <f t="shared" si="1"/>
        <v>2021_Hamerák-akce_Hamerák finance</v>
      </c>
      <c r="B236" s="23" t="s">
        <v>37</v>
      </c>
      <c r="C236" s="24" t="s">
        <v>95</v>
      </c>
      <c r="D236" s="7" t="str">
        <f>VLOOKUP(A236,'Rozpočet 2021'!J:J,1,FALSE)</f>
        <v>2021_Hamerák-akce_Hamerák finance</v>
      </c>
      <c r="E236" s="7" t="s">
        <v>277</v>
      </c>
      <c r="F236" s="8">
        <v>44487.0</v>
      </c>
      <c r="H236" s="36" t="s">
        <v>125</v>
      </c>
      <c r="I236" s="12"/>
      <c r="J236" s="12">
        <v>18452.0</v>
      </c>
      <c r="K236" s="20">
        <f t="shared" si="10"/>
        <v>-18452</v>
      </c>
      <c r="L236" s="13"/>
      <c r="M236" s="13"/>
      <c r="N236" s="14">
        <f t="shared" si="4"/>
        <v>157162.85</v>
      </c>
      <c r="O236" s="6" t="s">
        <v>265</v>
      </c>
      <c r="Q236" s="44"/>
      <c r="R236" s="44"/>
      <c r="S236" s="44"/>
      <c r="T236" s="44"/>
      <c r="U236" s="44"/>
    </row>
    <row r="237" hidden="1">
      <c r="A237" s="6" t="str">
        <f t="shared" si="1"/>
        <v>2021_Hamerák-akce_Hamerák finance</v>
      </c>
      <c r="B237" s="23" t="s">
        <v>37</v>
      </c>
      <c r="C237" s="24" t="s">
        <v>95</v>
      </c>
      <c r="D237" s="7" t="str">
        <f>VLOOKUP(A237,'Rozpočet 2021'!J:J,1,FALSE)</f>
        <v>2021_Hamerák-akce_Hamerák finance</v>
      </c>
      <c r="E237" s="7" t="s">
        <v>278</v>
      </c>
      <c r="F237" s="29">
        <v>44496.0</v>
      </c>
      <c r="H237" s="36" t="s">
        <v>119</v>
      </c>
      <c r="I237" s="46">
        <v>30000.0</v>
      </c>
      <c r="J237" s="46"/>
      <c r="K237" s="20">
        <f t="shared" si="10"/>
        <v>30000</v>
      </c>
      <c r="L237" s="13"/>
      <c r="M237" s="13"/>
      <c r="N237" s="14">
        <f t="shared" si="4"/>
        <v>187162.85</v>
      </c>
      <c r="O237" s="6" t="s">
        <v>265</v>
      </c>
      <c r="Q237" s="15"/>
      <c r="R237" s="15"/>
      <c r="S237" s="15"/>
      <c r="T237" s="15"/>
      <c r="U237" s="15"/>
    </row>
    <row r="238" hidden="1">
      <c r="A238" s="6" t="str">
        <f t="shared" si="1"/>
        <v>2021_Hamerák-akce_Hamerák finance</v>
      </c>
      <c r="B238" s="23" t="s">
        <v>37</v>
      </c>
      <c r="C238" s="24" t="s">
        <v>95</v>
      </c>
      <c r="D238" s="7" t="str">
        <f>VLOOKUP(A238,'Rozpočet 2021'!J:J,1,FALSE)</f>
        <v>2021_Hamerák-akce_Hamerák finance</v>
      </c>
      <c r="E238" s="7" t="s">
        <v>279</v>
      </c>
      <c r="F238" s="29">
        <v>44496.0</v>
      </c>
      <c r="H238" s="36" t="s">
        <v>119</v>
      </c>
      <c r="I238" s="12"/>
      <c r="J238" s="12">
        <v>14025.0</v>
      </c>
      <c r="K238" s="20">
        <f t="shared" si="10"/>
        <v>-14025</v>
      </c>
      <c r="L238" s="13"/>
      <c r="M238" s="13"/>
      <c r="N238" s="14">
        <f t="shared" si="4"/>
        <v>173137.85</v>
      </c>
      <c r="O238" s="6" t="s">
        <v>265</v>
      </c>
      <c r="Q238" s="15"/>
      <c r="R238" s="15"/>
      <c r="S238" s="15"/>
      <c r="T238" s="15"/>
      <c r="U238" s="15"/>
    </row>
    <row r="239" hidden="1">
      <c r="A239" s="6" t="str">
        <f t="shared" si="1"/>
        <v>2021_Podpora činnosti_Oddílová soutěž</v>
      </c>
      <c r="B239" s="28" t="s">
        <v>61</v>
      </c>
      <c r="C239" s="25" t="s">
        <v>42</v>
      </c>
      <c r="D239" s="7" t="str">
        <f>VLOOKUP(A239,'Rozpočet 2021'!J:J,1,FALSE)</f>
        <v>2021_Podpora činnosti_Oddílová soutěž</v>
      </c>
      <c r="E239" s="7" t="s">
        <v>280</v>
      </c>
      <c r="F239" s="29">
        <v>44496.0</v>
      </c>
      <c r="H239" s="36" t="s">
        <v>119</v>
      </c>
      <c r="I239" s="12"/>
      <c r="J239" s="12">
        <v>600.0</v>
      </c>
      <c r="K239" s="20">
        <f t="shared" si="10"/>
        <v>-600</v>
      </c>
      <c r="L239" s="13"/>
      <c r="M239" s="13"/>
      <c r="N239" s="14">
        <f t="shared" si="4"/>
        <v>172537.85</v>
      </c>
      <c r="O239" s="6" t="s">
        <v>265</v>
      </c>
      <c r="Q239" s="15"/>
      <c r="R239" s="15"/>
      <c r="S239" s="15"/>
      <c r="T239" s="15"/>
      <c r="U239" s="15"/>
    </row>
    <row r="240" hidden="1">
      <c r="A240" s="6" t="str">
        <f t="shared" si="1"/>
        <v>2021_Běžný provoz_Údržba vleků</v>
      </c>
      <c r="B240" s="17" t="s">
        <v>32</v>
      </c>
      <c r="C240" s="7" t="s">
        <v>71</v>
      </c>
      <c r="D240" s="7" t="str">
        <f>VLOOKUP(A240,'Rozpočet 2021'!J:J,1,FALSE)</f>
        <v>2021_Běžný provoz_Údržba vleků</v>
      </c>
      <c r="E240" s="7" t="s">
        <v>281</v>
      </c>
      <c r="F240" s="29">
        <v>44496.0</v>
      </c>
      <c r="H240" s="36" t="s">
        <v>119</v>
      </c>
      <c r="I240" s="12"/>
      <c r="J240" s="12">
        <v>100.0</v>
      </c>
      <c r="K240" s="20">
        <f t="shared" si="10"/>
        <v>-100</v>
      </c>
      <c r="L240" s="13"/>
      <c r="M240" s="13"/>
      <c r="N240" s="14">
        <f t="shared" si="4"/>
        <v>172437.85</v>
      </c>
      <c r="O240" s="6" t="s">
        <v>265</v>
      </c>
      <c r="Q240" s="44"/>
      <c r="R240" s="44"/>
      <c r="S240" s="44"/>
      <c r="T240" s="44"/>
      <c r="U240" s="44"/>
    </row>
    <row r="241" hidden="1">
      <c r="A241" s="6" t="str">
        <f t="shared" si="1"/>
        <v>2021_Hamerák-akce_Hamerák finance</v>
      </c>
      <c r="B241" s="23" t="s">
        <v>37</v>
      </c>
      <c r="C241" s="24" t="s">
        <v>95</v>
      </c>
      <c r="D241" s="7" t="str">
        <f>VLOOKUP(A241,'Rozpočet 2021'!J:J,1,FALSE)</f>
        <v>2021_Hamerák-akce_Hamerák finance</v>
      </c>
      <c r="E241" s="7" t="s">
        <v>282</v>
      </c>
      <c r="F241" s="29">
        <v>44496.0</v>
      </c>
      <c r="H241" s="36" t="s">
        <v>119</v>
      </c>
      <c r="I241" s="12"/>
      <c r="J241" s="12">
        <v>5986.4</v>
      </c>
      <c r="K241" s="20">
        <f t="shared" si="10"/>
        <v>-5986.4</v>
      </c>
      <c r="L241" s="13"/>
      <c r="M241" s="13"/>
      <c r="N241" s="14">
        <f t="shared" si="4"/>
        <v>166451.45</v>
      </c>
      <c r="O241" s="6" t="s">
        <v>265</v>
      </c>
      <c r="Q241" s="44"/>
      <c r="R241" s="44"/>
      <c r="S241" s="44"/>
      <c r="T241" s="44"/>
      <c r="U241" s="44"/>
    </row>
    <row r="242" hidden="1">
      <c r="A242" s="6" t="str">
        <f t="shared" si="1"/>
        <v>2021_Hamerák-akce_Hamerák finance</v>
      </c>
      <c r="B242" s="23" t="s">
        <v>37</v>
      </c>
      <c r="C242" s="24" t="s">
        <v>95</v>
      </c>
      <c r="D242" s="7" t="str">
        <f>VLOOKUP(A242,'Rozpočet 2021'!J:J,1,FALSE)</f>
        <v>2021_Hamerák-akce_Hamerák finance</v>
      </c>
      <c r="E242" s="7" t="s">
        <v>283</v>
      </c>
      <c r="F242" s="29">
        <v>44496.0</v>
      </c>
      <c r="H242" s="19" t="s">
        <v>156</v>
      </c>
      <c r="I242" s="46">
        <v>15445.0</v>
      </c>
      <c r="J242" s="12"/>
      <c r="K242" s="20">
        <f t="shared" si="10"/>
        <v>15445</v>
      </c>
      <c r="L242" s="13"/>
      <c r="M242" s="13"/>
      <c r="N242" s="14">
        <f t="shared" si="4"/>
        <v>181896.45</v>
      </c>
      <c r="O242" s="6" t="s">
        <v>265</v>
      </c>
      <c r="Q242" s="15"/>
      <c r="R242" s="15"/>
      <c r="S242" s="15"/>
      <c r="T242" s="15"/>
      <c r="U242" s="15"/>
    </row>
    <row r="243" hidden="1">
      <c r="A243" s="6" t="str">
        <f t="shared" si="1"/>
        <v>2021_Běžný provoz_Interní nájmy</v>
      </c>
      <c r="B243" s="17" t="s">
        <v>32</v>
      </c>
      <c r="C243" s="27" t="s">
        <v>49</v>
      </c>
      <c r="D243" s="7" t="str">
        <f>VLOOKUP(A243,'Rozpočet 2021'!J:J,1,FALSE)</f>
        <v>2021_Běžný provoz_Interní nájmy</v>
      </c>
      <c r="E243" s="7" t="s">
        <v>50</v>
      </c>
      <c r="F243" s="8">
        <v>44499.0</v>
      </c>
      <c r="H243" s="19" t="s">
        <v>125</v>
      </c>
      <c r="I243" s="12"/>
      <c r="J243" s="31">
        <v>6103.0</v>
      </c>
      <c r="K243" s="20">
        <f t="shared" si="10"/>
        <v>-6103</v>
      </c>
      <c r="L243" s="13"/>
      <c r="M243" s="13"/>
      <c r="N243" s="14">
        <f t="shared" si="4"/>
        <v>175793.45</v>
      </c>
      <c r="O243" s="6" t="s">
        <v>265</v>
      </c>
      <c r="Q243" s="44"/>
      <c r="R243" s="44"/>
      <c r="S243" s="44"/>
      <c r="T243" s="44"/>
      <c r="U243" s="44"/>
    </row>
    <row r="244" hidden="1">
      <c r="A244" s="6" t="str">
        <f t="shared" si="1"/>
        <v>2021_Běžný provoz_Interní nájmy</v>
      </c>
      <c r="B244" s="17" t="s">
        <v>32</v>
      </c>
      <c r="C244" s="27" t="s">
        <v>49</v>
      </c>
      <c r="D244" s="7" t="str">
        <f>VLOOKUP(A244,'Rozpočet 2021'!J:J,1,FALSE)</f>
        <v>2021_Běžný provoz_Interní nájmy</v>
      </c>
      <c r="E244" s="7" t="s">
        <v>51</v>
      </c>
      <c r="F244" s="8">
        <v>44499.0</v>
      </c>
      <c r="H244" s="19" t="s">
        <v>125</v>
      </c>
      <c r="I244" s="12"/>
      <c r="J244" s="31">
        <v>6912.0</v>
      </c>
      <c r="K244" s="20">
        <f t="shared" si="10"/>
        <v>-6912</v>
      </c>
      <c r="L244" s="13"/>
      <c r="M244" s="13"/>
      <c r="N244" s="14">
        <f t="shared" si="4"/>
        <v>168881.45</v>
      </c>
      <c r="O244" s="6" t="s">
        <v>265</v>
      </c>
      <c r="Q244" s="44"/>
      <c r="R244" s="44"/>
      <c r="S244" s="44"/>
      <c r="T244" s="44"/>
      <c r="U244" s="44"/>
    </row>
    <row r="245" hidden="1">
      <c r="A245" s="6" t="str">
        <f t="shared" si="1"/>
        <v>2021_Hamerák-akce_Hamerák finance</v>
      </c>
      <c r="B245" s="23" t="s">
        <v>37</v>
      </c>
      <c r="C245" s="24" t="s">
        <v>95</v>
      </c>
      <c r="D245" s="7" t="str">
        <f>VLOOKUP(A245,'Rozpočet 2021'!J:J,1,FALSE)</f>
        <v>2021_Hamerák-akce_Hamerák finance</v>
      </c>
      <c r="E245" s="7" t="s">
        <v>284</v>
      </c>
      <c r="F245" s="29">
        <v>44525.0</v>
      </c>
      <c r="H245" s="36" t="s">
        <v>119</v>
      </c>
      <c r="I245" s="12"/>
      <c r="J245" s="12">
        <v>5000.0</v>
      </c>
      <c r="K245" s="20">
        <f t="shared" si="10"/>
        <v>-5000</v>
      </c>
      <c r="L245" s="13"/>
      <c r="M245" s="13"/>
      <c r="N245" s="14">
        <f t="shared" si="4"/>
        <v>163881.45</v>
      </c>
      <c r="O245" s="6" t="s">
        <v>265</v>
      </c>
      <c r="Q245" s="44"/>
      <c r="R245" s="44"/>
      <c r="S245" s="44"/>
      <c r="T245" s="44"/>
      <c r="U245" s="44"/>
    </row>
    <row r="246" hidden="1">
      <c r="A246" s="6" t="str">
        <f t="shared" si="1"/>
        <v>2021_Hamerák-akce_Hamerák finance</v>
      </c>
      <c r="B246" s="23" t="s">
        <v>37</v>
      </c>
      <c r="C246" s="24" t="s">
        <v>95</v>
      </c>
      <c r="D246" s="7" t="str">
        <f>VLOOKUP(A246,'Rozpočet 2021'!J:J,1,FALSE)</f>
        <v>2021_Hamerák-akce_Hamerák finance</v>
      </c>
      <c r="E246" s="7" t="s">
        <v>99</v>
      </c>
      <c r="F246" s="8">
        <v>44525.0</v>
      </c>
      <c r="H246" s="36" t="s">
        <v>125</v>
      </c>
      <c r="I246" s="12">
        <v>90000.0</v>
      </c>
      <c r="J246" s="12"/>
      <c r="K246" s="20">
        <f t="shared" si="10"/>
        <v>90000</v>
      </c>
      <c r="L246" s="13"/>
      <c r="M246" s="13"/>
      <c r="N246" s="14">
        <f t="shared" si="4"/>
        <v>253881.45</v>
      </c>
      <c r="O246" s="6" t="s">
        <v>265</v>
      </c>
      <c r="Q246" s="15"/>
      <c r="R246" s="15"/>
      <c r="S246" s="15"/>
      <c r="T246" s="15"/>
      <c r="U246" s="15"/>
    </row>
    <row r="247" hidden="1">
      <c r="A247" s="6" t="str">
        <f t="shared" si="1"/>
        <v>2021_Podpora činnosti_Oddílové vánoce</v>
      </c>
      <c r="B247" s="48" t="s">
        <v>61</v>
      </c>
      <c r="C247" s="49" t="s">
        <v>103</v>
      </c>
      <c r="D247" s="7" t="str">
        <f>VLOOKUP(A247,'Rozpočet 2021'!J:J,1,FALSE)</f>
        <v>2021_Podpora činnosti_Oddílové vánoce</v>
      </c>
      <c r="E247" s="7" t="s">
        <v>285</v>
      </c>
      <c r="F247" s="29">
        <v>44544.0</v>
      </c>
      <c r="H247" s="36" t="s">
        <v>119</v>
      </c>
      <c r="I247" s="12"/>
      <c r="J247" s="12">
        <v>2685.0</v>
      </c>
      <c r="K247" s="20">
        <f t="shared" si="10"/>
        <v>-2685</v>
      </c>
      <c r="L247" s="13"/>
      <c r="M247" s="13"/>
      <c r="N247" s="14">
        <f t="shared" si="4"/>
        <v>251196.45</v>
      </c>
      <c r="O247" s="6" t="s">
        <v>265</v>
      </c>
      <c r="Q247" s="15"/>
      <c r="R247" s="15"/>
      <c r="S247" s="15"/>
      <c r="T247" s="15"/>
      <c r="U247" s="15"/>
    </row>
    <row r="248" hidden="1">
      <c r="A248" s="6" t="str">
        <f t="shared" si="1"/>
        <v>2021_Podpora činnosti_Oddílové vánoce</v>
      </c>
      <c r="B248" s="48" t="s">
        <v>61</v>
      </c>
      <c r="C248" s="49" t="s">
        <v>103</v>
      </c>
      <c r="D248" s="7" t="str">
        <f>VLOOKUP(A248,'Rozpočet 2021'!J:J,1,FALSE)</f>
        <v>2021_Podpora činnosti_Oddílové vánoce</v>
      </c>
      <c r="E248" s="7" t="s">
        <v>286</v>
      </c>
      <c r="F248" s="29">
        <v>44544.0</v>
      </c>
      <c r="H248" s="36" t="s">
        <v>119</v>
      </c>
      <c r="I248" s="12"/>
      <c r="J248" s="12">
        <v>1567.57</v>
      </c>
      <c r="K248" s="20">
        <f t="shared" si="10"/>
        <v>-1567.57</v>
      </c>
      <c r="L248" s="13"/>
      <c r="M248" s="13"/>
      <c r="N248" s="14">
        <f t="shared" si="4"/>
        <v>249628.88</v>
      </c>
      <c r="O248" s="6" t="s">
        <v>265</v>
      </c>
      <c r="Q248" s="15"/>
      <c r="R248" s="15"/>
      <c r="S248" s="15"/>
      <c r="T248" s="15"/>
      <c r="U248" s="15"/>
    </row>
    <row r="249" hidden="1">
      <c r="A249" s="6" t="str">
        <f t="shared" si="1"/>
        <v>2021_Hamerák-akce_Hamerák finance</v>
      </c>
      <c r="B249" s="23" t="s">
        <v>37</v>
      </c>
      <c r="C249" s="24" t="s">
        <v>95</v>
      </c>
      <c r="D249" s="7" t="str">
        <f>VLOOKUP(A249,'Rozpočet 2021'!J:J,1,FALSE)</f>
        <v>2021_Hamerák-akce_Hamerák finance</v>
      </c>
      <c r="E249" s="7" t="s">
        <v>287</v>
      </c>
      <c r="F249" s="29">
        <v>44552.0</v>
      </c>
      <c r="H249" s="36" t="s">
        <v>119</v>
      </c>
      <c r="I249" s="12"/>
      <c r="J249" s="12">
        <v>3000.0</v>
      </c>
      <c r="K249" s="20">
        <f t="shared" si="10"/>
        <v>-3000</v>
      </c>
      <c r="L249" s="13"/>
      <c r="M249" s="13"/>
      <c r="N249" s="14">
        <f t="shared" si="4"/>
        <v>246628.88</v>
      </c>
      <c r="O249" s="6" t="s">
        <v>265</v>
      </c>
      <c r="Q249" s="15"/>
      <c r="R249" s="15"/>
      <c r="S249" s="15"/>
      <c r="T249" s="15"/>
      <c r="U249" s="15"/>
    </row>
    <row r="250" hidden="1">
      <c r="A250" s="6" t="str">
        <f t="shared" si="1"/>
        <v>2021_Běžný provoz_Příspěvky</v>
      </c>
      <c r="B250" s="17" t="s">
        <v>32</v>
      </c>
      <c r="C250" s="21" t="s">
        <v>34</v>
      </c>
      <c r="D250" s="7" t="str">
        <f>VLOOKUP(A250,'Rozpočet 2021'!J:J,1,FALSE)</f>
        <v>2021_Běžný provoz_Příspěvky</v>
      </c>
      <c r="E250" s="7" t="s">
        <v>288</v>
      </c>
      <c r="F250" s="8">
        <v>44559.0</v>
      </c>
      <c r="H250" s="36" t="s">
        <v>252</v>
      </c>
      <c r="I250" s="12">
        <v>7200.0</v>
      </c>
      <c r="J250" s="12"/>
      <c r="K250" s="20">
        <f t="shared" si="10"/>
        <v>7200</v>
      </c>
      <c r="L250" s="13"/>
      <c r="M250" s="13"/>
      <c r="N250" s="14">
        <f t="shared" si="4"/>
        <v>253828.88</v>
      </c>
      <c r="O250" s="6" t="s">
        <v>265</v>
      </c>
      <c r="Q250" s="15"/>
      <c r="R250" s="15"/>
      <c r="S250" s="15"/>
      <c r="T250" s="15"/>
      <c r="U250" s="15"/>
    </row>
    <row r="251" hidden="1">
      <c r="A251" s="6" t="str">
        <f t="shared" si="1"/>
        <v>2021_Hamerák-akce_Výbor večeře</v>
      </c>
      <c r="B251" s="23" t="s">
        <v>37</v>
      </c>
      <c r="C251" s="50" t="s">
        <v>136</v>
      </c>
      <c r="D251" s="7" t="str">
        <f>VLOOKUP(A251,'Rozpočet 2021'!J:J,1,FALSE)</f>
        <v>2021_Hamerák-akce_Výbor večeře</v>
      </c>
      <c r="E251" s="7" t="s">
        <v>137</v>
      </c>
      <c r="F251" s="8">
        <v>44560.0</v>
      </c>
      <c r="G251" s="39">
        <v>44648.0</v>
      </c>
      <c r="H251" s="36" t="s">
        <v>119</v>
      </c>
      <c r="I251" s="12"/>
      <c r="J251" s="12">
        <v>5000.0</v>
      </c>
      <c r="K251" s="20">
        <f t="shared" si="10"/>
        <v>-5000</v>
      </c>
      <c r="L251" s="13"/>
      <c r="M251" s="13"/>
      <c r="N251" s="14">
        <f t="shared" si="4"/>
        <v>248828.88</v>
      </c>
      <c r="O251" s="6" t="s">
        <v>265</v>
      </c>
      <c r="Q251" s="15"/>
      <c r="R251" s="2" t="s">
        <v>17</v>
      </c>
      <c r="S251" s="2" t="s">
        <v>18</v>
      </c>
      <c r="T251" s="2" t="s">
        <v>19</v>
      </c>
      <c r="U251" s="2" t="s">
        <v>20</v>
      </c>
    </row>
    <row r="252" hidden="1">
      <c r="A252" s="6" t="str">
        <f t="shared" si="1"/>
        <v>2021_Hamerák-akce_Hamerák finance</v>
      </c>
      <c r="B252" s="23" t="s">
        <v>37</v>
      </c>
      <c r="C252" s="24" t="s">
        <v>95</v>
      </c>
      <c r="D252" s="7" t="str">
        <f>VLOOKUP(A252,'Rozpočet 2021'!J:J,1,FALSE)</f>
        <v>2021_Hamerák-akce_Hamerák finance</v>
      </c>
      <c r="E252" s="7" t="s">
        <v>289</v>
      </c>
      <c r="F252" s="8">
        <v>44560.0</v>
      </c>
      <c r="G252" s="39">
        <v>44626.0</v>
      </c>
      <c r="H252" s="36" t="s">
        <v>119</v>
      </c>
      <c r="I252" s="12"/>
      <c r="J252" s="12">
        <f>768+809</f>
        <v>1577</v>
      </c>
      <c r="K252" s="20">
        <f t="shared" si="10"/>
        <v>-1577</v>
      </c>
      <c r="L252" s="13"/>
      <c r="M252" s="13"/>
      <c r="N252" s="14">
        <f t="shared" si="4"/>
        <v>247251.88</v>
      </c>
      <c r="O252" s="6" t="s">
        <v>265</v>
      </c>
      <c r="Q252" s="15"/>
      <c r="R252" s="2" t="s">
        <v>290</v>
      </c>
      <c r="S252" s="2" t="s">
        <v>34</v>
      </c>
      <c r="T252" s="2" t="s">
        <v>126</v>
      </c>
      <c r="U252" s="2" t="s">
        <v>291</v>
      </c>
    </row>
    <row r="253" hidden="1">
      <c r="A253" s="6" t="str">
        <f t="shared" si="1"/>
        <v>2021_Hamerák-akce_Hamerák finance</v>
      </c>
      <c r="B253" s="23" t="s">
        <v>37</v>
      </c>
      <c r="C253" s="24" t="s">
        <v>95</v>
      </c>
      <c r="D253" s="7" t="str">
        <f>VLOOKUP(A253,'Rozpočet 2021'!J:J,1,FALSE)</f>
        <v>2021_Hamerák-akce_Hamerák finance</v>
      </c>
      <c r="E253" s="7" t="s">
        <v>292</v>
      </c>
      <c r="F253" s="8">
        <v>44561.0</v>
      </c>
      <c r="G253" s="39"/>
      <c r="H253" s="36" t="s">
        <v>125</v>
      </c>
      <c r="I253" s="12"/>
      <c r="J253" s="12">
        <v>1062.0</v>
      </c>
      <c r="K253" s="20">
        <f t="shared" si="10"/>
        <v>-1062</v>
      </c>
      <c r="L253" s="13"/>
      <c r="M253" s="13"/>
      <c r="N253" s="14">
        <f t="shared" si="4"/>
        <v>246189.88</v>
      </c>
      <c r="O253" s="6" t="s">
        <v>265</v>
      </c>
      <c r="Q253" s="15">
        <v>132804.0</v>
      </c>
      <c r="R253" s="15">
        <v>10380.41</v>
      </c>
      <c r="S253" s="15">
        <v>1150.01</v>
      </c>
      <c r="T253" s="15">
        <v>80000.0</v>
      </c>
      <c r="U253" s="15">
        <v>20000.0</v>
      </c>
      <c r="V253" s="14">
        <f>IF(ISBLANK(Q253),"",SUM(Q253:U253)-N253)</f>
        <v>-1855.46</v>
      </c>
    </row>
    <row r="254" hidden="1">
      <c r="A254" s="6" t="str">
        <f t="shared" si="1"/>
        <v>2022_Běžný provoz_Interní nájmy</v>
      </c>
      <c r="B254" s="17" t="s">
        <v>32</v>
      </c>
      <c r="C254" s="27" t="s">
        <v>49</v>
      </c>
      <c r="D254" s="7" t="str">
        <f>VLOOKUP(A254,'Rozpočet 2022'!J:J,1,FALSE)</f>
        <v>2022_Běžný provoz_Interní nájmy</v>
      </c>
      <c r="E254" s="7" t="s">
        <v>50</v>
      </c>
      <c r="F254" s="8">
        <v>44592.0</v>
      </c>
      <c r="H254" s="19" t="s">
        <v>125</v>
      </c>
      <c r="I254" s="12"/>
      <c r="J254" s="31">
        <v>6103.0</v>
      </c>
      <c r="K254" s="20">
        <f t="shared" si="10"/>
        <v>-6103</v>
      </c>
      <c r="L254" s="13"/>
      <c r="M254" s="13"/>
      <c r="N254" s="14">
        <f t="shared" si="4"/>
        <v>240086.88</v>
      </c>
      <c r="O254" s="6" t="s">
        <v>293</v>
      </c>
      <c r="Q254" s="15"/>
      <c r="R254" s="15"/>
      <c r="S254" s="15"/>
      <c r="T254" s="15"/>
      <c r="U254" s="15"/>
      <c r="V254" s="51">
        <f t="shared" ref="V254:V255" si="18">J254*1.3</f>
        <v>7933.9</v>
      </c>
    </row>
    <row r="255" hidden="1">
      <c r="A255" s="6" t="str">
        <f t="shared" si="1"/>
        <v>2022_Běžný provoz_Interní nájmy</v>
      </c>
      <c r="B255" s="17" t="s">
        <v>32</v>
      </c>
      <c r="C255" s="27" t="s">
        <v>49</v>
      </c>
      <c r="D255" s="7" t="str">
        <f>VLOOKUP(A255,'Rozpočet 2022'!J:J,1,FALSE)</f>
        <v>2022_Běžný provoz_Interní nájmy</v>
      </c>
      <c r="E255" s="7" t="s">
        <v>51</v>
      </c>
      <c r="F255" s="8">
        <v>44592.0</v>
      </c>
      <c r="H255" s="19" t="s">
        <v>125</v>
      </c>
      <c r="I255" s="12"/>
      <c r="J255" s="31">
        <v>7488.0</v>
      </c>
      <c r="K255" s="20">
        <f t="shared" si="10"/>
        <v>-7488</v>
      </c>
      <c r="L255" s="13"/>
      <c r="M255" s="13"/>
      <c r="N255" s="14">
        <f t="shared" si="4"/>
        <v>232598.88</v>
      </c>
      <c r="O255" s="6" t="s">
        <v>293</v>
      </c>
      <c r="Q255" s="15"/>
      <c r="R255" s="15"/>
      <c r="S255" s="15"/>
      <c r="T255" s="15"/>
      <c r="U255" s="15"/>
      <c r="V255" s="51">
        <f t="shared" si="18"/>
        <v>9734.4</v>
      </c>
    </row>
    <row r="256" hidden="1">
      <c r="A256" s="6" t="str">
        <f t="shared" si="1"/>
        <v>2022_Běžný provoz_Příspěvky ČSK</v>
      </c>
      <c r="B256" s="17" t="s">
        <v>32</v>
      </c>
      <c r="C256" s="21" t="s">
        <v>33</v>
      </c>
      <c r="D256" s="7" t="str">
        <f>VLOOKUP(A256,'Rozpočet 2022'!J:J,1,FALSE)</f>
        <v>2022_Běžný provoz_Příspěvky ČSK</v>
      </c>
      <c r="E256" s="7" t="s">
        <v>139</v>
      </c>
      <c r="F256" s="8">
        <v>44649.0</v>
      </c>
      <c r="H256" s="36" t="s">
        <v>119</v>
      </c>
      <c r="I256" s="12"/>
      <c r="J256" s="12">
        <v>1290.0</v>
      </c>
      <c r="K256" s="20">
        <f t="shared" si="10"/>
        <v>-1290</v>
      </c>
      <c r="L256" s="13"/>
      <c r="M256" s="13"/>
      <c r="N256" s="14">
        <f t="shared" si="4"/>
        <v>231308.88</v>
      </c>
      <c r="O256" s="6" t="s">
        <v>293</v>
      </c>
      <c r="Q256" s="15"/>
      <c r="R256" s="15"/>
      <c r="S256" s="15"/>
      <c r="T256" s="15"/>
      <c r="U256" s="15"/>
    </row>
    <row r="257" hidden="1">
      <c r="A257" s="6" t="str">
        <f t="shared" si="1"/>
        <v>2022_Běžný provoz_Příspěvky</v>
      </c>
      <c r="B257" s="17" t="s">
        <v>32</v>
      </c>
      <c r="C257" s="21" t="s">
        <v>34</v>
      </c>
      <c r="D257" s="7" t="str">
        <f>VLOOKUP(A257,'Rozpočet 2022'!J:J,1,FALSE)</f>
        <v>2022_Běžný provoz_Příspěvky</v>
      </c>
      <c r="E257" s="7" t="s">
        <v>270</v>
      </c>
      <c r="F257" s="33">
        <v>44663.0</v>
      </c>
      <c r="H257" s="19" t="s">
        <v>156</v>
      </c>
      <c r="I257" s="12">
        <v>1450.0</v>
      </c>
      <c r="J257" s="12"/>
      <c r="K257" s="20">
        <f t="shared" si="10"/>
        <v>1450</v>
      </c>
      <c r="L257" s="13"/>
      <c r="M257" s="13"/>
      <c r="N257" s="14">
        <f t="shared" si="4"/>
        <v>232758.88</v>
      </c>
      <c r="O257" s="6" t="s">
        <v>293</v>
      </c>
      <c r="Q257" s="15"/>
      <c r="R257" s="15"/>
      <c r="S257" s="15"/>
      <c r="T257" s="15"/>
      <c r="U257" s="15"/>
    </row>
    <row r="258" hidden="1">
      <c r="A258" s="6" t="str">
        <f t="shared" si="1"/>
        <v>2022_Podpora činnosti_Oddílová soutěž</v>
      </c>
      <c r="B258" s="28" t="s">
        <v>61</v>
      </c>
      <c r="C258" s="25" t="s">
        <v>42</v>
      </c>
      <c r="D258" s="7" t="str">
        <f>VLOOKUP(A258,'Rozpočet 2022'!J:J,1,FALSE)</f>
        <v>2022_Podpora činnosti_Oddílová soutěž</v>
      </c>
      <c r="E258" s="7" t="s">
        <v>294</v>
      </c>
      <c r="F258" s="29">
        <v>44675.0</v>
      </c>
      <c r="H258" s="36" t="s">
        <v>119</v>
      </c>
      <c r="I258" s="42"/>
      <c r="J258" s="12">
        <v>800.0</v>
      </c>
      <c r="K258" s="20">
        <f t="shared" si="10"/>
        <v>-800</v>
      </c>
      <c r="L258" s="13"/>
      <c r="M258" s="13"/>
      <c r="N258" s="14">
        <f t="shared" si="4"/>
        <v>231958.88</v>
      </c>
      <c r="O258" s="6" t="s">
        <v>293</v>
      </c>
      <c r="Q258" s="15"/>
      <c r="R258" s="15"/>
      <c r="S258" s="15"/>
      <c r="T258" s="15"/>
      <c r="U258" s="15"/>
    </row>
    <row r="259" hidden="1">
      <c r="A259" s="6" t="str">
        <f t="shared" si="1"/>
        <v>2022_Běžný provoz_Interní nájmy</v>
      </c>
      <c r="B259" s="17" t="s">
        <v>32</v>
      </c>
      <c r="C259" s="27" t="s">
        <v>49</v>
      </c>
      <c r="D259" s="7" t="str">
        <f>VLOOKUP(A259,'Rozpočet 2022'!J:J,1,FALSE)</f>
        <v>2022_Běžný provoz_Interní nájmy</v>
      </c>
      <c r="E259" s="7" t="s">
        <v>50</v>
      </c>
      <c r="F259" s="8">
        <v>44681.0</v>
      </c>
      <c r="H259" s="19" t="s">
        <v>125</v>
      </c>
      <c r="I259" s="12"/>
      <c r="J259" s="31">
        <v>6103.0</v>
      </c>
      <c r="K259" s="20">
        <f t="shared" si="10"/>
        <v>-6103</v>
      </c>
      <c r="L259" s="13"/>
      <c r="M259" s="13"/>
      <c r="N259" s="14">
        <f t="shared" si="4"/>
        <v>225855.88</v>
      </c>
      <c r="O259" s="6" t="s">
        <v>293</v>
      </c>
      <c r="Q259" s="15"/>
      <c r="R259" s="15"/>
      <c r="S259" s="15"/>
      <c r="T259" s="15"/>
      <c r="U259" s="15"/>
      <c r="V259" s="51">
        <f t="shared" ref="V259:V260" si="19">J259*1.3</f>
        <v>7933.9</v>
      </c>
    </row>
    <row r="260" hidden="1">
      <c r="A260" s="6" t="str">
        <f t="shared" si="1"/>
        <v>2022_Běžný provoz_Interní nájmy</v>
      </c>
      <c r="B260" s="17" t="s">
        <v>32</v>
      </c>
      <c r="C260" s="27" t="s">
        <v>49</v>
      </c>
      <c r="D260" s="7" t="str">
        <f>VLOOKUP(A260,'Rozpočet 2022'!J:J,1,FALSE)</f>
        <v>2022_Běžný provoz_Interní nájmy</v>
      </c>
      <c r="E260" s="7" t="s">
        <v>51</v>
      </c>
      <c r="F260" s="8">
        <v>44681.0</v>
      </c>
      <c r="H260" s="19" t="s">
        <v>125</v>
      </c>
      <c r="I260" s="12"/>
      <c r="J260" s="31">
        <v>7488.0</v>
      </c>
      <c r="K260" s="20">
        <f t="shared" si="10"/>
        <v>-7488</v>
      </c>
      <c r="L260" s="13"/>
      <c r="M260" s="13"/>
      <c r="N260" s="14">
        <f t="shared" si="4"/>
        <v>218367.88</v>
      </c>
      <c r="O260" s="6" t="s">
        <v>293</v>
      </c>
      <c r="Q260" s="15"/>
      <c r="R260" s="15"/>
      <c r="S260" s="15"/>
      <c r="T260" s="15"/>
      <c r="U260" s="15"/>
      <c r="V260" s="51">
        <f t="shared" si="19"/>
        <v>9734.4</v>
      </c>
    </row>
    <row r="261" hidden="1">
      <c r="A261" s="6" t="str">
        <f t="shared" si="1"/>
        <v>2022_Podpora činnosti_Oddílová soutěž</v>
      </c>
      <c r="B261" s="28" t="s">
        <v>61</v>
      </c>
      <c r="C261" s="25" t="s">
        <v>42</v>
      </c>
      <c r="D261" s="7" t="str">
        <f>VLOOKUP(A261,'Rozpočet 2022'!J:J,1,FALSE)</f>
        <v>2022_Podpora činnosti_Oddílová soutěž</v>
      </c>
      <c r="E261" s="7" t="s">
        <v>295</v>
      </c>
      <c r="F261" s="29">
        <v>44705.0</v>
      </c>
      <c r="H261" s="36" t="s">
        <v>119</v>
      </c>
      <c r="I261" s="42"/>
      <c r="J261" s="12">
        <v>600.0</v>
      </c>
      <c r="K261" s="20">
        <f t="shared" si="10"/>
        <v>-600</v>
      </c>
      <c r="L261" s="13"/>
      <c r="M261" s="13"/>
      <c r="N261" s="14">
        <f t="shared" si="4"/>
        <v>217767.88</v>
      </c>
      <c r="O261" s="6" t="s">
        <v>293</v>
      </c>
      <c r="Q261" s="15"/>
      <c r="R261" s="15"/>
      <c r="S261" s="15"/>
      <c r="T261" s="15"/>
      <c r="U261" s="15"/>
    </row>
    <row r="262" hidden="1">
      <c r="A262" s="6" t="str">
        <f t="shared" si="1"/>
        <v>2022_Podpora činnosti_Podpora akcí</v>
      </c>
      <c r="B262" s="28" t="s">
        <v>61</v>
      </c>
      <c r="C262" s="25" t="s">
        <v>296</v>
      </c>
      <c r="D262" s="7" t="str">
        <f>VLOOKUP(A262,'Rozpočet 2022'!J:J,1,FALSE)</f>
        <v>2022_Podpora činnosti_Podpora akcí</v>
      </c>
      <c r="E262" s="7" t="s">
        <v>297</v>
      </c>
      <c r="F262" s="29">
        <v>44705.0</v>
      </c>
      <c r="H262" s="36" t="s">
        <v>119</v>
      </c>
      <c r="I262" s="42"/>
      <c r="J262" s="12">
        <v>2000.0</v>
      </c>
      <c r="K262" s="20">
        <f t="shared" si="10"/>
        <v>-2000</v>
      </c>
      <c r="L262" s="13"/>
      <c r="M262" s="13"/>
      <c r="N262" s="14">
        <f t="shared" si="4"/>
        <v>215767.88</v>
      </c>
      <c r="O262" s="6" t="s">
        <v>293</v>
      </c>
      <c r="Q262" s="15"/>
      <c r="R262" s="15"/>
      <c r="S262" s="15"/>
      <c r="T262" s="15"/>
      <c r="U262" s="15"/>
    </row>
    <row r="263" hidden="1">
      <c r="A263" s="6" t="str">
        <f t="shared" si="1"/>
        <v>2022_Podpora činnosti_Podpora akcí</v>
      </c>
      <c r="B263" s="28" t="s">
        <v>61</v>
      </c>
      <c r="C263" s="25" t="s">
        <v>296</v>
      </c>
      <c r="D263" s="7" t="str">
        <f>VLOOKUP(A263,'Rozpočet 2022'!J:J,1,FALSE)</f>
        <v>2022_Podpora činnosti_Podpora akcí</v>
      </c>
      <c r="E263" s="7" t="s">
        <v>298</v>
      </c>
      <c r="F263" s="29">
        <v>44705.0</v>
      </c>
      <c r="H263" s="36" t="s">
        <v>119</v>
      </c>
      <c r="I263" s="42"/>
      <c r="J263" s="12">
        <v>2000.0</v>
      </c>
      <c r="K263" s="20">
        <f t="shared" si="10"/>
        <v>-2000</v>
      </c>
      <c r="L263" s="13"/>
      <c r="M263" s="13"/>
      <c r="N263" s="14">
        <f t="shared" si="4"/>
        <v>213767.88</v>
      </c>
      <c r="O263" s="6" t="s">
        <v>293</v>
      </c>
      <c r="Q263" s="15"/>
      <c r="R263" s="15"/>
      <c r="S263" s="15"/>
      <c r="T263" s="15"/>
      <c r="U263" s="15"/>
    </row>
    <row r="264" hidden="1">
      <c r="A264" s="6" t="str">
        <f t="shared" si="1"/>
        <v>2022_Podpora činnosti_Podpora akcí</v>
      </c>
      <c r="B264" s="28" t="s">
        <v>61</v>
      </c>
      <c r="C264" s="25" t="s">
        <v>296</v>
      </c>
      <c r="D264" s="7" t="str">
        <f>VLOOKUP(A264,'Rozpočet 2022'!J:J,1,FALSE)</f>
        <v>2022_Podpora činnosti_Podpora akcí</v>
      </c>
      <c r="E264" s="7" t="s">
        <v>299</v>
      </c>
      <c r="F264" s="29">
        <v>44705.0</v>
      </c>
      <c r="H264" s="36" t="s">
        <v>119</v>
      </c>
      <c r="I264" s="42"/>
      <c r="J264" s="12">
        <v>2000.0</v>
      </c>
      <c r="K264" s="20">
        <f t="shared" si="10"/>
        <v>-2000</v>
      </c>
      <c r="L264" s="13"/>
      <c r="M264" s="13"/>
      <c r="N264" s="14">
        <f t="shared" si="4"/>
        <v>211767.88</v>
      </c>
      <c r="O264" s="6" t="s">
        <v>293</v>
      </c>
      <c r="Q264" s="15"/>
      <c r="R264" s="15"/>
      <c r="S264" s="15"/>
      <c r="T264" s="15"/>
      <c r="U264" s="15"/>
    </row>
    <row r="265" hidden="1">
      <c r="A265" s="6" t="str">
        <f t="shared" si="1"/>
        <v>2022_Podpora činnosti_Podpora akcí</v>
      </c>
      <c r="B265" s="28" t="s">
        <v>61</v>
      </c>
      <c r="C265" s="25" t="s">
        <v>296</v>
      </c>
      <c r="D265" s="7" t="str">
        <f>VLOOKUP(A265,'Rozpočet 2022'!J:J,1,FALSE)</f>
        <v>2022_Podpora činnosti_Podpora akcí</v>
      </c>
      <c r="E265" s="7" t="s">
        <v>300</v>
      </c>
      <c r="F265" s="29">
        <v>44712.0</v>
      </c>
      <c r="H265" s="36" t="s">
        <v>119</v>
      </c>
      <c r="I265" s="42"/>
      <c r="J265" s="12">
        <v>5000.0</v>
      </c>
      <c r="K265" s="20">
        <f t="shared" si="10"/>
        <v>-5000</v>
      </c>
      <c r="L265" s="13"/>
      <c r="M265" s="13"/>
      <c r="N265" s="14">
        <f t="shared" si="4"/>
        <v>206767.88</v>
      </c>
      <c r="O265" s="6" t="s">
        <v>293</v>
      </c>
      <c r="Q265" s="15"/>
      <c r="R265" s="15"/>
      <c r="S265" s="15"/>
      <c r="T265" s="15"/>
      <c r="U265" s="15"/>
    </row>
    <row r="266" hidden="1">
      <c r="A266" s="6" t="str">
        <f t="shared" si="1"/>
        <v>2022_Běžný provoz_Údržba vleků</v>
      </c>
      <c r="B266" s="17" t="s">
        <v>32</v>
      </c>
      <c r="C266" s="7" t="s">
        <v>71</v>
      </c>
      <c r="D266" s="7" t="str">
        <f>VLOOKUP(A266,'Rozpočet 2022'!J:J,1,FALSE)</f>
        <v>2022_Běžný provoz_Údržba vleků</v>
      </c>
      <c r="E266" s="7" t="s">
        <v>301</v>
      </c>
      <c r="F266" s="29">
        <v>44720.0</v>
      </c>
      <c r="H266" s="36" t="s">
        <v>119</v>
      </c>
      <c r="I266" s="42"/>
      <c r="J266" s="12">
        <v>1106.0</v>
      </c>
      <c r="K266" s="20">
        <f t="shared" si="10"/>
        <v>-1106</v>
      </c>
      <c r="L266" s="13"/>
      <c r="M266" s="13"/>
      <c r="N266" s="14">
        <f t="shared" si="4"/>
        <v>205661.88</v>
      </c>
      <c r="O266" s="6" t="s">
        <v>293</v>
      </c>
      <c r="Q266" s="15"/>
      <c r="R266" s="15"/>
      <c r="S266" s="15"/>
      <c r="T266" s="15"/>
      <c r="U266" s="15"/>
    </row>
    <row r="267" hidden="1">
      <c r="A267" s="6" t="str">
        <f t="shared" si="1"/>
        <v>2022_Podpora činnosti_Podpora akcí</v>
      </c>
      <c r="B267" s="28" t="s">
        <v>61</v>
      </c>
      <c r="C267" s="25" t="s">
        <v>296</v>
      </c>
      <c r="D267" s="7" t="str">
        <f>VLOOKUP(A267,'Rozpočet 2022'!J:J,1,FALSE)</f>
        <v>2022_Podpora činnosti_Podpora akcí</v>
      </c>
      <c r="E267" s="7" t="s">
        <v>302</v>
      </c>
      <c r="F267" s="29">
        <v>44735.0</v>
      </c>
      <c r="H267" s="36" t="s">
        <v>119</v>
      </c>
      <c r="I267" s="42"/>
      <c r="J267" s="12">
        <v>1380.0</v>
      </c>
      <c r="K267" s="20">
        <f t="shared" si="10"/>
        <v>-1380</v>
      </c>
      <c r="L267" s="13"/>
      <c r="M267" s="13"/>
      <c r="N267" s="14">
        <f t="shared" si="4"/>
        <v>204281.88</v>
      </c>
      <c r="O267" s="6" t="s">
        <v>293</v>
      </c>
      <c r="Q267" s="15"/>
      <c r="R267" s="15"/>
      <c r="S267" s="15"/>
      <c r="T267" s="15"/>
      <c r="U267" s="15"/>
    </row>
    <row r="268" hidden="1">
      <c r="A268" s="6" t="str">
        <f t="shared" si="1"/>
        <v>2022_Běžný provoz_Přeúčtování TOM</v>
      </c>
      <c r="B268" s="17" t="s">
        <v>32</v>
      </c>
      <c r="C268" s="7" t="s">
        <v>186</v>
      </c>
      <c r="D268" s="7" t="str">
        <f>VLOOKUP(A268,'Rozpočet 2022'!J:J,1,FALSE)</f>
        <v>2022_Běžný provoz_Přeúčtování TOM</v>
      </c>
      <c r="E268" s="7" t="s">
        <v>303</v>
      </c>
      <c r="F268" s="8">
        <v>44742.0</v>
      </c>
      <c r="H268" s="36" t="s">
        <v>125</v>
      </c>
      <c r="I268" s="12">
        <v>2117.0</v>
      </c>
      <c r="J268" s="12"/>
      <c r="K268" s="20">
        <f t="shared" si="10"/>
        <v>2117</v>
      </c>
      <c r="L268" s="13"/>
      <c r="M268" s="13"/>
      <c r="N268" s="14">
        <f t="shared" si="4"/>
        <v>206398.88</v>
      </c>
      <c r="O268" s="6" t="s">
        <v>293</v>
      </c>
      <c r="Q268" s="15"/>
      <c r="R268" s="15"/>
      <c r="S268" s="15"/>
      <c r="T268" s="15"/>
      <c r="U268" s="15"/>
    </row>
    <row r="269" hidden="1">
      <c r="A269" s="6" t="str">
        <f t="shared" si="1"/>
        <v>2022_Běžný provoz_Interní nájmy</v>
      </c>
      <c r="B269" s="17" t="s">
        <v>32</v>
      </c>
      <c r="C269" s="27" t="s">
        <v>49</v>
      </c>
      <c r="D269" s="7" t="str">
        <f>VLOOKUP(A269,'Rozpočet 2022'!J:J,1,FALSE)</f>
        <v>2022_Běžný provoz_Interní nájmy</v>
      </c>
      <c r="E269" s="7" t="s">
        <v>50</v>
      </c>
      <c r="F269" s="8">
        <v>44772.0</v>
      </c>
      <c r="H269" s="19" t="s">
        <v>125</v>
      </c>
      <c r="I269" s="12"/>
      <c r="J269" s="31">
        <v>7619.0</v>
      </c>
      <c r="K269" s="20">
        <f t="shared" si="10"/>
        <v>-7619</v>
      </c>
      <c r="L269" s="13"/>
      <c r="M269" s="13"/>
      <c r="N269" s="14">
        <f t="shared" si="4"/>
        <v>198779.88</v>
      </c>
      <c r="O269" s="6" t="s">
        <v>293</v>
      </c>
      <c r="Q269" s="15"/>
      <c r="R269" s="15"/>
      <c r="S269" s="15"/>
      <c r="T269" s="15"/>
      <c r="U269" s="15"/>
      <c r="V269" s="51">
        <f t="shared" ref="V269:V270" si="20">J269*1.3</f>
        <v>9904.7</v>
      </c>
    </row>
    <row r="270" hidden="1">
      <c r="A270" s="6" t="str">
        <f t="shared" si="1"/>
        <v>2022_Běžný provoz_Interní nájmy</v>
      </c>
      <c r="B270" s="17" t="s">
        <v>32</v>
      </c>
      <c r="C270" s="27" t="s">
        <v>49</v>
      </c>
      <c r="D270" s="7" t="str">
        <f>VLOOKUP(A270,'Rozpočet 2022'!J:J,1,FALSE)</f>
        <v>2022_Běžný provoz_Interní nájmy</v>
      </c>
      <c r="E270" s="7" t="s">
        <v>51</v>
      </c>
      <c r="F270" s="8">
        <v>44772.0</v>
      </c>
      <c r="H270" s="19" t="s">
        <v>125</v>
      </c>
      <c r="I270" s="12"/>
      <c r="J270" s="31">
        <v>8320.0</v>
      </c>
      <c r="K270" s="20">
        <f t="shared" si="10"/>
        <v>-8320</v>
      </c>
      <c r="L270" s="13"/>
      <c r="M270" s="13"/>
      <c r="N270" s="14">
        <f t="shared" si="4"/>
        <v>190459.88</v>
      </c>
      <c r="O270" s="6" t="s">
        <v>293</v>
      </c>
      <c r="Q270" s="15"/>
      <c r="R270" s="15"/>
      <c r="S270" s="15"/>
      <c r="T270" s="15"/>
      <c r="U270" s="15"/>
      <c r="V270" s="51">
        <f t="shared" si="20"/>
        <v>10816</v>
      </c>
    </row>
    <row r="271" hidden="1">
      <c r="A271" s="6" t="str">
        <f t="shared" si="1"/>
        <v>2022_Běžný provoz_Příspěvky</v>
      </c>
      <c r="B271" s="17" t="s">
        <v>32</v>
      </c>
      <c r="C271" s="21" t="s">
        <v>34</v>
      </c>
      <c r="D271" s="7" t="str">
        <f>VLOOKUP(A271,'Rozpočet 2022'!J:J,1,FALSE)</f>
        <v>2022_Běžný provoz_Příspěvky</v>
      </c>
      <c r="E271" s="7" t="s">
        <v>304</v>
      </c>
      <c r="F271" s="29">
        <v>44784.0</v>
      </c>
      <c r="G271" s="32"/>
      <c r="H271" s="36" t="s">
        <v>252</v>
      </c>
      <c r="I271" s="12">
        <v>35600.0</v>
      </c>
      <c r="J271" s="42"/>
      <c r="K271" s="20">
        <f t="shared" si="10"/>
        <v>35600</v>
      </c>
      <c r="L271" s="13"/>
      <c r="M271" s="13"/>
      <c r="N271" s="14">
        <f t="shared" si="4"/>
        <v>226059.88</v>
      </c>
      <c r="O271" s="6" t="s">
        <v>293</v>
      </c>
      <c r="Q271" s="15"/>
      <c r="R271" s="15"/>
      <c r="S271" s="15"/>
      <c r="T271" s="15"/>
      <c r="U271" s="15"/>
    </row>
    <row r="272" hidden="1">
      <c r="A272" s="6" t="str">
        <f t="shared" si="1"/>
        <v>2022_Běžný provoz_Příjem půjčení vleků</v>
      </c>
      <c r="B272" s="17" t="s">
        <v>32</v>
      </c>
      <c r="C272" s="7" t="s">
        <v>255</v>
      </c>
      <c r="D272" s="7" t="str">
        <f>VLOOKUP(A272,'Rozpočet 2022'!J:J,1,FALSE)</f>
        <v>2022_Běžný provoz_Příjem půjčení vleků</v>
      </c>
      <c r="E272" s="7" t="s">
        <v>256</v>
      </c>
      <c r="F272" s="8">
        <v>44797.0</v>
      </c>
      <c r="H272" s="36" t="s">
        <v>119</v>
      </c>
      <c r="I272" s="12">
        <v>5000.0</v>
      </c>
      <c r="J272" s="12"/>
      <c r="K272" s="20">
        <f t="shared" si="10"/>
        <v>5000</v>
      </c>
      <c r="L272" s="13"/>
      <c r="M272" s="13"/>
      <c r="N272" s="14">
        <f t="shared" si="4"/>
        <v>231059.88</v>
      </c>
      <c r="O272" s="6" t="s">
        <v>293</v>
      </c>
      <c r="Q272" s="15"/>
      <c r="R272" s="15"/>
      <c r="S272" s="15"/>
      <c r="T272" s="15"/>
      <c r="U272" s="15"/>
    </row>
    <row r="273" hidden="1">
      <c r="A273" s="6" t="str">
        <f t="shared" si="1"/>
        <v>2022_Běžný provoz_Výdaje ostatní</v>
      </c>
      <c r="B273" s="17" t="s">
        <v>32</v>
      </c>
      <c r="C273" s="7" t="s">
        <v>165</v>
      </c>
      <c r="D273" s="7" t="str">
        <f>VLOOKUP(A273,'Rozpočet 2022'!J:J,1,FALSE)</f>
        <v>2022_Běžný provoz_Výdaje ostatní</v>
      </c>
      <c r="E273" s="45" t="s">
        <v>305</v>
      </c>
      <c r="F273" s="8">
        <v>44797.0</v>
      </c>
      <c r="H273" s="36" t="s">
        <v>119</v>
      </c>
      <c r="I273" s="12"/>
      <c r="J273" s="12">
        <v>497.31</v>
      </c>
      <c r="K273" s="20">
        <f t="shared" si="10"/>
        <v>-497.31</v>
      </c>
      <c r="L273" s="13"/>
      <c r="M273" s="13"/>
      <c r="N273" s="14">
        <f t="shared" si="4"/>
        <v>230562.57</v>
      </c>
      <c r="O273" s="6" t="s">
        <v>293</v>
      </c>
      <c r="Q273" s="15"/>
      <c r="R273" s="15"/>
      <c r="S273" s="15"/>
      <c r="T273" s="15"/>
      <c r="U273" s="15"/>
    </row>
    <row r="274" hidden="1">
      <c r="A274" s="6" t="str">
        <f t="shared" si="1"/>
        <v>2022_Podpora činnosti_Podpora akcí</v>
      </c>
      <c r="B274" s="28" t="s">
        <v>61</v>
      </c>
      <c r="C274" s="25" t="s">
        <v>296</v>
      </c>
      <c r="D274" s="7" t="str">
        <f>VLOOKUP(A274,'Rozpočet 2022'!J:J,1,FALSE)</f>
        <v>2022_Podpora činnosti_Podpora akcí</v>
      </c>
      <c r="E274" s="7" t="s">
        <v>306</v>
      </c>
      <c r="F274" s="29">
        <v>44819.0</v>
      </c>
      <c r="H274" s="36" t="s">
        <v>119</v>
      </c>
      <c r="I274" s="42"/>
      <c r="J274" s="12">
        <v>1107.0</v>
      </c>
      <c r="K274" s="20">
        <f t="shared" si="10"/>
        <v>-1107</v>
      </c>
      <c r="L274" s="13"/>
      <c r="M274" s="13"/>
      <c r="N274" s="14">
        <f t="shared" si="4"/>
        <v>229455.57</v>
      </c>
      <c r="O274" s="6" t="s">
        <v>293</v>
      </c>
      <c r="Q274" s="15"/>
      <c r="R274" s="15"/>
      <c r="S274" s="15"/>
      <c r="T274" s="15"/>
      <c r="U274" s="15"/>
    </row>
    <row r="275" hidden="1">
      <c r="A275" s="6" t="str">
        <f t="shared" si="1"/>
        <v>2022_Hamerák-akce_Hamerák finance</v>
      </c>
      <c r="B275" s="23" t="s">
        <v>37</v>
      </c>
      <c r="C275" s="24" t="s">
        <v>95</v>
      </c>
      <c r="D275" s="7" t="str">
        <f>VLOOKUP(A275,'Rozpočet 2022'!J:J,1,FALSE)</f>
        <v>2022_Hamerák-akce_Hamerák finance</v>
      </c>
      <c r="E275" s="7" t="s">
        <v>307</v>
      </c>
      <c r="F275" s="8">
        <v>44835.0</v>
      </c>
      <c r="G275" s="39"/>
      <c r="H275" s="36" t="s">
        <v>119</v>
      </c>
      <c r="I275" s="12"/>
      <c r="J275" s="12">
        <v>299.4</v>
      </c>
      <c r="K275" s="20">
        <f t="shared" si="10"/>
        <v>-299.4</v>
      </c>
      <c r="L275" s="13"/>
      <c r="M275" s="13"/>
      <c r="N275" s="14">
        <f t="shared" si="4"/>
        <v>229156.17</v>
      </c>
      <c r="O275" s="6" t="s">
        <v>293</v>
      </c>
      <c r="Q275" s="15"/>
      <c r="R275" s="15"/>
      <c r="S275" s="15"/>
      <c r="T275" s="15"/>
      <c r="U275" s="15"/>
    </row>
    <row r="276" hidden="1">
      <c r="A276" s="6" t="str">
        <f t="shared" si="1"/>
        <v>2022_Hamerák-akce_Hamerák finance</v>
      </c>
      <c r="B276" s="23" t="s">
        <v>37</v>
      </c>
      <c r="C276" s="24" t="s">
        <v>95</v>
      </c>
      <c r="D276" s="7" t="str">
        <f>VLOOKUP(A276,'Rozpočet 2022'!J:J,1,FALSE)</f>
        <v>2022_Hamerák-akce_Hamerák finance</v>
      </c>
      <c r="E276" s="7" t="s">
        <v>308</v>
      </c>
      <c r="F276" s="8">
        <v>44835.0</v>
      </c>
      <c r="G276" s="39"/>
      <c r="H276" s="36" t="s">
        <v>119</v>
      </c>
      <c r="I276" s="12"/>
      <c r="J276" s="12">
        <v>2365.1</v>
      </c>
      <c r="K276" s="20">
        <f t="shared" si="10"/>
        <v>-2365.1</v>
      </c>
      <c r="L276" s="13"/>
      <c r="M276" s="13"/>
      <c r="N276" s="14">
        <f t="shared" si="4"/>
        <v>226791.07</v>
      </c>
      <c r="O276" s="6" t="s">
        <v>293</v>
      </c>
      <c r="Q276" s="15"/>
      <c r="R276" s="15"/>
      <c r="S276" s="15"/>
      <c r="T276" s="15"/>
      <c r="U276" s="15"/>
    </row>
    <row r="277" hidden="1">
      <c r="A277" s="6" t="str">
        <f t="shared" si="1"/>
        <v>2022_Hamerák-akce_Hamerák finance</v>
      </c>
      <c r="B277" s="23" t="s">
        <v>37</v>
      </c>
      <c r="C277" s="24" t="s">
        <v>95</v>
      </c>
      <c r="D277" s="7" t="str">
        <f>VLOOKUP(A277,'Rozpočet 2022'!J:J,1,FALSE)</f>
        <v>2022_Hamerák-akce_Hamerák finance</v>
      </c>
      <c r="E277" s="7" t="s">
        <v>309</v>
      </c>
      <c r="F277" s="29">
        <v>44836.0</v>
      </c>
      <c r="H277" s="36" t="s">
        <v>119</v>
      </c>
      <c r="I277" s="12"/>
      <c r="J277" s="46">
        <v>15000.0</v>
      </c>
      <c r="K277" s="20">
        <f t="shared" si="10"/>
        <v>-15000</v>
      </c>
      <c r="L277" s="13"/>
      <c r="M277" s="13"/>
      <c r="N277" s="14">
        <f t="shared" si="4"/>
        <v>211791.07</v>
      </c>
      <c r="O277" s="6" t="s">
        <v>293</v>
      </c>
      <c r="Q277" s="15"/>
      <c r="R277" s="15"/>
      <c r="S277" s="15"/>
      <c r="T277" s="15"/>
      <c r="U277" s="15"/>
    </row>
    <row r="278" hidden="1">
      <c r="A278" s="6" t="str">
        <f t="shared" si="1"/>
        <v>2022_Hamerák-akce_Hamerák finance</v>
      </c>
      <c r="B278" s="23" t="s">
        <v>37</v>
      </c>
      <c r="C278" s="24" t="s">
        <v>95</v>
      </c>
      <c r="D278" s="7" t="str">
        <f>VLOOKUP(A278,'Rozpočet 2022'!J:J,1,FALSE)</f>
        <v>2022_Hamerák-akce_Hamerák finance</v>
      </c>
      <c r="E278" s="7" t="s">
        <v>310</v>
      </c>
      <c r="F278" s="29">
        <v>44837.0</v>
      </c>
      <c r="H278" s="19" t="s">
        <v>156</v>
      </c>
      <c r="I278" s="46">
        <v>-4990.0</v>
      </c>
      <c r="J278" s="12"/>
      <c r="K278" s="20">
        <f t="shared" si="10"/>
        <v>-4990</v>
      </c>
      <c r="L278" s="13"/>
      <c r="M278" s="13"/>
      <c r="N278" s="14">
        <f t="shared" si="4"/>
        <v>206801.07</v>
      </c>
      <c r="O278" s="6" t="s">
        <v>293</v>
      </c>
      <c r="Q278" s="15"/>
      <c r="R278" s="15"/>
      <c r="S278" s="15"/>
      <c r="T278" s="15"/>
      <c r="U278" s="15"/>
    </row>
    <row r="279" hidden="1">
      <c r="A279" s="6" t="str">
        <f t="shared" si="1"/>
        <v>2022_Hamerák-akce_Hamerák finance</v>
      </c>
      <c r="B279" s="23" t="s">
        <v>37</v>
      </c>
      <c r="C279" s="24" t="s">
        <v>95</v>
      </c>
      <c r="D279" s="7" t="str">
        <f>VLOOKUP(A279,'Rozpočet 2022'!J:J,1,FALSE)</f>
        <v>2022_Hamerák-akce_Hamerák finance</v>
      </c>
      <c r="E279" s="7" t="s">
        <v>311</v>
      </c>
      <c r="F279" s="8">
        <v>44846.0</v>
      </c>
      <c r="G279" s="39"/>
      <c r="H279" s="36" t="s">
        <v>119</v>
      </c>
      <c r="I279" s="12"/>
      <c r="J279" s="12">
        <v>570.0</v>
      </c>
      <c r="K279" s="20">
        <f t="shared" si="10"/>
        <v>-570</v>
      </c>
      <c r="L279" s="13"/>
      <c r="M279" s="13"/>
      <c r="N279" s="14">
        <f t="shared" si="4"/>
        <v>206231.07</v>
      </c>
      <c r="O279" s="6" t="s">
        <v>293</v>
      </c>
      <c r="Q279" s="15"/>
      <c r="R279" s="15"/>
      <c r="S279" s="15"/>
      <c r="T279" s="15"/>
      <c r="U279" s="15"/>
    </row>
    <row r="280" hidden="1">
      <c r="A280" s="6" t="str">
        <f t="shared" si="1"/>
        <v>2022_Hamerák-akce_Hamerák finance</v>
      </c>
      <c r="B280" s="23" t="s">
        <v>37</v>
      </c>
      <c r="C280" s="24" t="s">
        <v>95</v>
      </c>
      <c r="D280" s="7" t="str">
        <f>VLOOKUP(A280,'Rozpočet 2022'!J:J,1,FALSE)</f>
        <v>2022_Hamerák-akce_Hamerák finance</v>
      </c>
      <c r="E280" s="7" t="s">
        <v>312</v>
      </c>
      <c r="F280" s="29">
        <v>44853.0</v>
      </c>
      <c r="H280" s="36" t="s">
        <v>125</v>
      </c>
      <c r="I280" s="12"/>
      <c r="J280" s="12">
        <v>17726.0</v>
      </c>
      <c r="K280" s="20">
        <f t="shared" si="10"/>
        <v>-17726</v>
      </c>
      <c r="L280" s="13"/>
      <c r="M280" s="13"/>
      <c r="N280" s="14">
        <f t="shared" si="4"/>
        <v>188505.07</v>
      </c>
      <c r="O280" s="6" t="s">
        <v>293</v>
      </c>
      <c r="Q280" s="15"/>
      <c r="R280" s="15"/>
      <c r="S280" s="15"/>
      <c r="T280" s="15"/>
      <c r="U280" s="15"/>
    </row>
    <row r="281" hidden="1">
      <c r="A281" s="6" t="str">
        <f t="shared" si="1"/>
        <v>2022_Hamerák-akce_Hamerák finance</v>
      </c>
      <c r="B281" s="23" t="s">
        <v>37</v>
      </c>
      <c r="C281" s="24" t="s">
        <v>95</v>
      </c>
      <c r="D281" s="7" t="str">
        <f>VLOOKUP(A281,'Rozpočet 2022'!J:J,1,FALSE)</f>
        <v>2022_Hamerák-akce_Hamerák finance</v>
      </c>
      <c r="E281" s="7" t="s">
        <v>313</v>
      </c>
      <c r="F281" s="29">
        <v>44854.0</v>
      </c>
      <c r="H281" s="36" t="s">
        <v>125</v>
      </c>
      <c r="I281" s="12"/>
      <c r="J281" s="12">
        <v>14520.0</v>
      </c>
      <c r="K281" s="20">
        <f t="shared" si="10"/>
        <v>-14520</v>
      </c>
      <c r="L281" s="13"/>
      <c r="M281" s="13"/>
      <c r="N281" s="14">
        <f t="shared" si="4"/>
        <v>173985.07</v>
      </c>
      <c r="O281" s="6" t="s">
        <v>293</v>
      </c>
      <c r="Q281" s="15"/>
      <c r="R281" s="15"/>
      <c r="S281" s="15"/>
      <c r="T281" s="15"/>
      <c r="U281" s="15"/>
    </row>
    <row r="282" hidden="1">
      <c r="A282" s="6" t="str">
        <f t="shared" si="1"/>
        <v>2022_Hamerák-akce_Hamerák finance</v>
      </c>
      <c r="B282" s="23" t="s">
        <v>37</v>
      </c>
      <c r="C282" s="24" t="s">
        <v>95</v>
      </c>
      <c r="D282" s="7" t="str">
        <f>VLOOKUP(A282,'Rozpočet 2022'!J:J,1,FALSE)</f>
        <v>2022_Hamerák-akce_Hamerák finance</v>
      </c>
      <c r="E282" s="7" t="s">
        <v>314</v>
      </c>
      <c r="F282" s="8">
        <v>44858.0</v>
      </c>
      <c r="G282" s="39"/>
      <c r="H282" s="36" t="s">
        <v>119</v>
      </c>
      <c r="I282" s="12"/>
      <c r="J282" s="12">
        <v>2389.0</v>
      </c>
      <c r="K282" s="20">
        <f t="shared" si="10"/>
        <v>-2389</v>
      </c>
      <c r="L282" s="13"/>
      <c r="M282" s="13"/>
      <c r="N282" s="14">
        <f t="shared" si="4"/>
        <v>171596.07</v>
      </c>
      <c r="O282" s="6" t="s">
        <v>293</v>
      </c>
      <c r="Q282" s="15"/>
      <c r="R282" s="15"/>
      <c r="S282" s="15"/>
      <c r="T282" s="15"/>
      <c r="U282" s="15"/>
    </row>
    <row r="283" hidden="1">
      <c r="A283" s="6" t="str">
        <f t="shared" si="1"/>
        <v>2022_Hamerák-akce_Hamerák finance</v>
      </c>
      <c r="B283" s="23" t="s">
        <v>37</v>
      </c>
      <c r="C283" s="24" t="s">
        <v>95</v>
      </c>
      <c r="D283" s="7" t="str">
        <f>VLOOKUP(A283,'Rozpočet 2022'!J:J,1,FALSE)</f>
        <v>2022_Hamerák-akce_Hamerák finance</v>
      </c>
      <c r="E283" s="7" t="s">
        <v>99</v>
      </c>
      <c r="F283" s="8">
        <v>44859.0</v>
      </c>
      <c r="H283" s="36" t="s">
        <v>125</v>
      </c>
      <c r="I283" s="12">
        <v>65000.0</v>
      </c>
      <c r="J283" s="12"/>
      <c r="K283" s="20">
        <f t="shared" si="10"/>
        <v>65000</v>
      </c>
      <c r="L283" s="13"/>
      <c r="M283" s="13"/>
      <c r="N283" s="14">
        <f t="shared" si="4"/>
        <v>236596.07</v>
      </c>
      <c r="O283" s="6" t="s">
        <v>293</v>
      </c>
      <c r="Q283" s="15"/>
      <c r="R283" s="15"/>
      <c r="S283" s="15"/>
      <c r="T283" s="15"/>
      <c r="U283" s="15"/>
    </row>
    <row r="284" hidden="1">
      <c r="A284" s="6" t="str">
        <f t="shared" si="1"/>
        <v>2022_Běžný provoz_Interní nájmy</v>
      </c>
      <c r="B284" s="17" t="s">
        <v>32</v>
      </c>
      <c r="C284" s="27" t="s">
        <v>49</v>
      </c>
      <c r="D284" s="7" t="str">
        <f>VLOOKUP(A284,'Rozpočet 2022'!J:J,1,FALSE)</f>
        <v>2022_Běžný provoz_Interní nájmy</v>
      </c>
      <c r="E284" s="7" t="s">
        <v>50</v>
      </c>
      <c r="F284" s="8">
        <v>44864.0</v>
      </c>
      <c r="H284" s="19" t="s">
        <v>125</v>
      </c>
      <c r="I284" s="12"/>
      <c r="J284" s="31">
        <v>7619.0</v>
      </c>
      <c r="K284" s="20">
        <f t="shared" si="10"/>
        <v>-7619</v>
      </c>
      <c r="L284" s="13"/>
      <c r="M284" s="13"/>
      <c r="N284" s="14">
        <f t="shared" si="4"/>
        <v>228977.07</v>
      </c>
      <c r="O284" s="6" t="s">
        <v>293</v>
      </c>
      <c r="Q284" s="15"/>
      <c r="R284" s="15"/>
      <c r="S284" s="15"/>
      <c r="T284" s="15"/>
      <c r="U284" s="15"/>
      <c r="V284" s="51">
        <f t="shared" ref="V284:V285" si="21">J284*1.3</f>
        <v>9904.7</v>
      </c>
    </row>
    <row r="285" hidden="1">
      <c r="A285" s="6" t="str">
        <f t="shared" si="1"/>
        <v>2022_Běžný provoz_Interní nájmy</v>
      </c>
      <c r="B285" s="17" t="s">
        <v>32</v>
      </c>
      <c r="C285" s="27" t="s">
        <v>49</v>
      </c>
      <c r="D285" s="7" t="str">
        <f>VLOOKUP(A285,'Rozpočet 2022'!J:J,1,FALSE)</f>
        <v>2022_Běžný provoz_Interní nájmy</v>
      </c>
      <c r="E285" s="7" t="s">
        <v>51</v>
      </c>
      <c r="F285" s="8">
        <v>44864.0</v>
      </c>
      <c r="H285" s="19" t="s">
        <v>125</v>
      </c>
      <c r="I285" s="12"/>
      <c r="J285" s="31">
        <v>7680.0</v>
      </c>
      <c r="K285" s="20">
        <f t="shared" si="10"/>
        <v>-7680</v>
      </c>
      <c r="L285" s="13"/>
      <c r="M285" s="13"/>
      <c r="N285" s="14">
        <f t="shared" si="4"/>
        <v>221297.07</v>
      </c>
      <c r="O285" s="6" t="s">
        <v>293</v>
      </c>
      <c r="Q285" s="15"/>
      <c r="R285" s="15"/>
      <c r="S285" s="15"/>
      <c r="T285" s="15"/>
      <c r="U285" s="15"/>
      <c r="V285" s="51">
        <f t="shared" si="21"/>
        <v>9984</v>
      </c>
    </row>
    <row r="286" hidden="1">
      <c r="A286" s="6" t="str">
        <f t="shared" si="1"/>
        <v>2022_Podpora činnosti_Podpora akcí</v>
      </c>
      <c r="B286" s="28" t="s">
        <v>61</v>
      </c>
      <c r="C286" s="25" t="s">
        <v>296</v>
      </c>
      <c r="D286" s="7" t="str">
        <f>VLOOKUP(A286,'Rozpočet 2022'!J:J,1,FALSE)</f>
        <v>2022_Podpora činnosti_Podpora akcí</v>
      </c>
      <c r="E286" s="7" t="s">
        <v>315</v>
      </c>
      <c r="F286" s="29">
        <v>44879.0</v>
      </c>
      <c r="H286" s="36" t="s">
        <v>119</v>
      </c>
      <c r="I286" s="12"/>
      <c r="J286" s="12">
        <v>200.0</v>
      </c>
      <c r="K286" s="20">
        <f t="shared" si="10"/>
        <v>-200</v>
      </c>
      <c r="L286" s="13"/>
      <c r="M286" s="13"/>
      <c r="N286" s="14">
        <f t="shared" si="4"/>
        <v>221097.07</v>
      </c>
      <c r="O286" s="6" t="s">
        <v>293</v>
      </c>
      <c r="Q286" s="15"/>
      <c r="R286" s="15"/>
      <c r="S286" s="15"/>
      <c r="T286" s="15"/>
      <c r="U286" s="15"/>
    </row>
    <row r="287" hidden="1">
      <c r="A287" s="6" t="str">
        <f t="shared" si="1"/>
        <v>2022_Hamerák-akce_Hamerák finance</v>
      </c>
      <c r="B287" s="23" t="s">
        <v>37</v>
      </c>
      <c r="C287" s="24" t="s">
        <v>95</v>
      </c>
      <c r="D287" s="7" t="str">
        <f>VLOOKUP(A287,'Rozpočet 2022'!J:J,1,FALSE)</f>
        <v>2022_Hamerák-akce_Hamerák finance</v>
      </c>
      <c r="E287" s="7" t="s">
        <v>289</v>
      </c>
      <c r="F287" s="8">
        <v>44892.0</v>
      </c>
      <c r="G287" s="39"/>
      <c r="H287" s="36" t="s">
        <v>119</v>
      </c>
      <c r="I287" s="12"/>
      <c r="J287" s="12">
        <v>1955.0</v>
      </c>
      <c r="K287" s="20">
        <f t="shared" si="10"/>
        <v>-1955</v>
      </c>
      <c r="L287" s="13"/>
      <c r="M287" s="13"/>
      <c r="N287" s="14">
        <f t="shared" si="4"/>
        <v>219142.07</v>
      </c>
      <c r="O287" s="6" t="s">
        <v>293</v>
      </c>
      <c r="Q287" s="15"/>
      <c r="R287" s="15"/>
      <c r="S287" s="15"/>
      <c r="T287" s="15"/>
      <c r="U287" s="15"/>
    </row>
    <row r="288" hidden="1">
      <c r="A288" s="6" t="str">
        <f t="shared" si="1"/>
        <v>2022_Podpora činnosti_Příjmy dotace a dary</v>
      </c>
      <c r="B288" s="28" t="s">
        <v>61</v>
      </c>
      <c r="C288" s="7" t="s">
        <v>316</v>
      </c>
      <c r="D288" s="7" t="str">
        <f>VLOOKUP(A288,'Rozpočet 2022'!J:J,1,FALSE)</f>
        <v>2022_Podpora činnosti_Příjmy dotace a dary</v>
      </c>
      <c r="E288" s="7" t="s">
        <v>317</v>
      </c>
      <c r="F288" s="8">
        <v>44893.0</v>
      </c>
      <c r="H288" s="36" t="s">
        <v>119</v>
      </c>
      <c r="I288" s="12">
        <v>3577.0</v>
      </c>
      <c r="J288" s="12"/>
      <c r="K288" s="20">
        <f t="shared" si="10"/>
        <v>3577</v>
      </c>
      <c r="L288" s="13"/>
      <c r="M288" s="13"/>
      <c r="N288" s="14">
        <f t="shared" si="4"/>
        <v>222719.07</v>
      </c>
      <c r="O288" s="6" t="s">
        <v>293</v>
      </c>
      <c r="Q288" s="15"/>
      <c r="R288" s="15"/>
      <c r="S288" s="15"/>
      <c r="T288" s="15"/>
      <c r="U288" s="15"/>
    </row>
    <row r="289" hidden="1">
      <c r="A289" s="6" t="str">
        <f t="shared" si="1"/>
        <v>2022_Hamerák-akce_Hamerák finance</v>
      </c>
      <c r="B289" s="23" t="s">
        <v>37</v>
      </c>
      <c r="C289" s="24" t="s">
        <v>95</v>
      </c>
      <c r="D289" s="7" t="str">
        <f>VLOOKUP(A289,'Rozpočet 2022'!J:J,1,FALSE)</f>
        <v>2022_Hamerák-akce_Hamerák finance</v>
      </c>
      <c r="E289" s="7" t="s">
        <v>318</v>
      </c>
      <c r="F289" s="8">
        <v>44893.0</v>
      </c>
      <c r="G289" s="39"/>
      <c r="H289" s="36" t="s">
        <v>119</v>
      </c>
      <c r="I289" s="12"/>
      <c r="J289" s="12">
        <v>3577.0</v>
      </c>
      <c r="K289" s="20">
        <f t="shared" si="10"/>
        <v>-3577</v>
      </c>
      <c r="L289" s="13"/>
      <c r="M289" s="13"/>
      <c r="N289" s="14">
        <f t="shared" si="4"/>
        <v>219142.07</v>
      </c>
      <c r="O289" s="6" t="s">
        <v>293</v>
      </c>
      <c r="Q289" s="15"/>
      <c r="R289" s="15"/>
      <c r="S289" s="15"/>
      <c r="T289" s="15"/>
      <c r="U289" s="15"/>
    </row>
    <row r="290" hidden="1">
      <c r="A290" s="6" t="str">
        <f t="shared" si="1"/>
        <v>2022_Hamerák-akce_Hamerák finance</v>
      </c>
      <c r="B290" s="23" t="s">
        <v>37</v>
      </c>
      <c r="C290" s="24" t="s">
        <v>95</v>
      </c>
      <c r="D290" s="7" t="str">
        <f>VLOOKUP(A290,'Rozpočet 2022'!J:J,1,FALSE)</f>
        <v>2022_Hamerák-akce_Hamerák finance</v>
      </c>
      <c r="E290" s="7" t="s">
        <v>319</v>
      </c>
      <c r="F290" s="8">
        <v>44893.0</v>
      </c>
      <c r="G290" s="39"/>
      <c r="H290" s="36" t="s">
        <v>119</v>
      </c>
      <c r="I290" s="12"/>
      <c r="J290" s="12">
        <v>1445.5</v>
      </c>
      <c r="K290" s="20">
        <f t="shared" si="10"/>
        <v>-1445.5</v>
      </c>
      <c r="L290" s="13"/>
      <c r="M290" s="13"/>
      <c r="N290" s="14">
        <f t="shared" si="4"/>
        <v>217696.57</v>
      </c>
      <c r="O290" s="6" t="s">
        <v>293</v>
      </c>
      <c r="Q290" s="15"/>
      <c r="R290" s="15"/>
      <c r="S290" s="15"/>
      <c r="T290" s="15"/>
      <c r="U290" s="15"/>
    </row>
    <row r="291" hidden="1">
      <c r="A291" s="6" t="str">
        <f t="shared" si="1"/>
        <v>2022_Hamerák-akce_Hamerák finance</v>
      </c>
      <c r="B291" s="23" t="s">
        <v>37</v>
      </c>
      <c r="C291" s="24" t="s">
        <v>95</v>
      </c>
      <c r="D291" s="7" t="str">
        <f>VLOOKUP(A291,'Rozpočet 2022'!J:J,1,FALSE)</f>
        <v>2022_Hamerák-akce_Hamerák finance</v>
      </c>
      <c r="E291" s="7" t="s">
        <v>320</v>
      </c>
      <c r="F291" s="8">
        <v>44893.0</v>
      </c>
      <c r="G291" s="39"/>
      <c r="H291" s="36" t="s">
        <v>119</v>
      </c>
      <c r="I291" s="12"/>
      <c r="J291" s="12">
        <v>1134.0</v>
      </c>
      <c r="K291" s="20">
        <f t="shared" si="10"/>
        <v>-1134</v>
      </c>
      <c r="L291" s="13"/>
      <c r="M291" s="13"/>
      <c r="N291" s="14">
        <f t="shared" si="4"/>
        <v>216562.57</v>
      </c>
      <c r="O291" s="6" t="s">
        <v>293</v>
      </c>
      <c r="Q291" s="15"/>
      <c r="R291" s="15"/>
      <c r="S291" s="15"/>
      <c r="T291" s="15"/>
      <c r="U291" s="15"/>
    </row>
    <row r="292" hidden="1">
      <c r="A292" s="6" t="str">
        <f t="shared" si="1"/>
        <v>2022_Podpora činnosti_Podpora akcí</v>
      </c>
      <c r="B292" s="28" t="s">
        <v>61</v>
      </c>
      <c r="C292" s="25" t="s">
        <v>296</v>
      </c>
      <c r="D292" s="7" t="str">
        <f>VLOOKUP(A292,'Rozpočet 2022'!J:J,1,FALSE)</f>
        <v>2022_Podpora činnosti_Podpora akcí</v>
      </c>
      <c r="E292" s="7" t="s">
        <v>321</v>
      </c>
      <c r="F292" s="29">
        <v>44909.0</v>
      </c>
      <c r="H292" s="36" t="s">
        <v>119</v>
      </c>
      <c r="I292" s="12"/>
      <c r="J292" s="12">
        <v>1152.0</v>
      </c>
      <c r="K292" s="20">
        <f t="shared" si="10"/>
        <v>-1152</v>
      </c>
      <c r="L292" s="13"/>
      <c r="M292" s="13"/>
      <c r="N292" s="14">
        <f t="shared" si="4"/>
        <v>215410.57</v>
      </c>
      <c r="O292" s="6" t="s">
        <v>293</v>
      </c>
      <c r="Q292" s="15"/>
      <c r="R292" s="15"/>
      <c r="S292" s="15"/>
      <c r="T292" s="15"/>
      <c r="U292" s="15"/>
    </row>
    <row r="293" hidden="1">
      <c r="A293" s="6" t="str">
        <f t="shared" si="1"/>
        <v>2022_Běžný provoz_Příspěvky</v>
      </c>
      <c r="B293" s="17" t="s">
        <v>32</v>
      </c>
      <c r="C293" s="21" t="s">
        <v>34</v>
      </c>
      <c r="D293" s="7" t="str">
        <f>VLOOKUP(A293,'Rozpočet 2022'!J:J,1,FALSE)</f>
        <v>2022_Běžný provoz_Příspěvky</v>
      </c>
      <c r="E293" s="7" t="s">
        <v>322</v>
      </c>
      <c r="F293" s="29">
        <v>44925.0</v>
      </c>
      <c r="H293" s="36" t="s">
        <v>119</v>
      </c>
      <c r="I293" s="12">
        <v>1250.0</v>
      </c>
      <c r="J293" s="12"/>
      <c r="K293" s="20">
        <f t="shared" si="10"/>
        <v>1250</v>
      </c>
      <c r="L293" s="13"/>
      <c r="M293" s="13"/>
      <c r="N293" s="14">
        <f t="shared" si="4"/>
        <v>216660.57</v>
      </c>
      <c r="O293" s="6" t="s">
        <v>293</v>
      </c>
      <c r="Q293" s="15"/>
      <c r="R293" s="15"/>
      <c r="S293" s="15"/>
      <c r="T293" s="15"/>
      <c r="U293" s="15"/>
    </row>
    <row r="294" hidden="1">
      <c r="A294" s="6" t="str">
        <f t="shared" si="1"/>
        <v>2022_Hamerák-akce_Hamerák finance</v>
      </c>
      <c r="B294" s="23" t="s">
        <v>37</v>
      </c>
      <c r="C294" s="24" t="s">
        <v>95</v>
      </c>
      <c r="D294" s="7" t="str">
        <f>VLOOKUP(A294,'Rozpočet 2022'!J:J,1,FALSE)</f>
        <v>2022_Hamerák-akce_Hamerák finance</v>
      </c>
      <c r="E294" s="7" t="s">
        <v>292</v>
      </c>
      <c r="F294" s="29">
        <v>44926.0</v>
      </c>
      <c r="G294" s="39"/>
      <c r="H294" s="36" t="s">
        <v>125</v>
      </c>
      <c r="I294" s="12"/>
      <c r="J294" s="12">
        <v>1554.0</v>
      </c>
      <c r="K294" s="20">
        <f t="shared" si="10"/>
        <v>-1554</v>
      </c>
      <c r="L294" s="13"/>
      <c r="M294" s="13"/>
      <c r="N294" s="14">
        <f t="shared" si="4"/>
        <v>215106.57</v>
      </c>
      <c r="O294" s="6" t="s">
        <v>293</v>
      </c>
      <c r="Q294" s="15"/>
      <c r="R294" s="15"/>
      <c r="S294" s="15"/>
      <c r="T294" s="15"/>
      <c r="U294" s="15"/>
    </row>
    <row r="295">
      <c r="A295" s="6" t="str">
        <f t="shared" si="1"/>
        <v>2023__</v>
      </c>
      <c r="D295" s="7" t="str">
        <f>VLOOKUP(A295,'Rozpočet 2022'!J:J,1,FALSE)</f>
        <v>#N/A</v>
      </c>
      <c r="E295" s="7" t="s">
        <v>323</v>
      </c>
      <c r="F295" s="33">
        <v>44926.0</v>
      </c>
      <c r="H295" s="40"/>
      <c r="I295" s="12"/>
      <c r="J295" s="12"/>
      <c r="K295" s="20">
        <f t="shared" si="10"/>
        <v>0</v>
      </c>
      <c r="L295" s="13"/>
      <c r="M295" s="13"/>
      <c r="N295" s="14">
        <f t="shared" si="4"/>
        <v>215106.57</v>
      </c>
      <c r="O295" s="52" t="s">
        <v>324</v>
      </c>
      <c r="Q295" s="15"/>
      <c r="R295" s="15"/>
      <c r="S295" s="15"/>
      <c r="T295" s="15"/>
      <c r="U295" s="15"/>
    </row>
    <row r="296" hidden="1">
      <c r="A296" s="6" t="str">
        <f t="shared" si="1"/>
        <v>2022_Běžný provoz_Příspěvky</v>
      </c>
      <c r="B296" s="17" t="s">
        <v>32</v>
      </c>
      <c r="C296" s="21" t="s">
        <v>34</v>
      </c>
      <c r="D296" s="7" t="str">
        <f>VLOOKUP(A296,'Rozpočet 2022'!J:J,1,FALSE)</f>
        <v>2022_Běžný provoz_Příspěvky</v>
      </c>
      <c r="E296" s="7" t="s">
        <v>325</v>
      </c>
      <c r="F296" s="29">
        <v>44928.0</v>
      </c>
      <c r="G296" s="32">
        <v>44926.0</v>
      </c>
      <c r="H296" s="36" t="s">
        <v>252</v>
      </c>
      <c r="I296" s="12">
        <v>1450.0</v>
      </c>
      <c r="J296" s="12"/>
      <c r="K296" s="20">
        <f t="shared" si="10"/>
        <v>1450</v>
      </c>
      <c r="L296" s="13"/>
      <c r="M296" s="13"/>
      <c r="N296" s="14">
        <f t="shared" si="4"/>
        <v>216556.57</v>
      </c>
      <c r="O296" s="6" t="s">
        <v>293</v>
      </c>
      <c r="Q296" s="15"/>
      <c r="R296" s="15"/>
      <c r="S296" s="15"/>
      <c r="T296" s="15"/>
      <c r="U296" s="15"/>
    </row>
    <row r="297" hidden="1">
      <c r="A297" s="6" t="str">
        <f t="shared" si="1"/>
        <v>2022_Běžný provoz_Příspěvky</v>
      </c>
      <c r="B297" s="17" t="s">
        <v>32</v>
      </c>
      <c r="C297" s="21" t="s">
        <v>34</v>
      </c>
      <c r="D297" s="7" t="str">
        <f>VLOOKUP(A297,'Rozpočet 2022'!J:J,1,FALSE)</f>
        <v>2022_Běžný provoz_Příspěvky</v>
      </c>
      <c r="E297" s="7" t="s">
        <v>326</v>
      </c>
      <c r="F297" s="29">
        <v>44938.0</v>
      </c>
      <c r="G297" s="32">
        <v>44926.0</v>
      </c>
      <c r="H297" s="36" t="s">
        <v>119</v>
      </c>
      <c r="I297" s="12">
        <v>1700.0</v>
      </c>
      <c r="J297" s="12"/>
      <c r="K297" s="20">
        <f t="shared" si="10"/>
        <v>1700</v>
      </c>
      <c r="L297" s="13"/>
      <c r="M297" s="13"/>
      <c r="N297" s="14">
        <f t="shared" si="4"/>
        <v>218256.57</v>
      </c>
      <c r="O297" s="6" t="s">
        <v>293</v>
      </c>
      <c r="Q297" s="15"/>
      <c r="R297" s="15"/>
      <c r="S297" s="15"/>
      <c r="T297" s="15"/>
      <c r="U297" s="15"/>
    </row>
    <row r="298">
      <c r="A298" s="6" t="str">
        <f t="shared" si="1"/>
        <v>2023_Podpora činnosti_Příjmy dotace a dary</v>
      </c>
      <c r="B298" s="28" t="s">
        <v>61</v>
      </c>
      <c r="C298" s="7" t="s">
        <v>316</v>
      </c>
      <c r="D298" s="7" t="str">
        <f>VLOOKUP(A298,'Rozpočet 2023'!I:I,1,FALSE)</f>
        <v>2023_Podpora činnosti_Příjmy dotace a dary</v>
      </c>
      <c r="E298" s="7" t="s">
        <v>317</v>
      </c>
      <c r="F298" s="8">
        <v>44939.0</v>
      </c>
      <c r="H298" s="36" t="s">
        <v>119</v>
      </c>
      <c r="I298" s="12">
        <v>3400.0</v>
      </c>
      <c r="J298" s="12"/>
      <c r="K298" s="20">
        <f t="shared" si="10"/>
        <v>3400</v>
      </c>
      <c r="L298" s="13"/>
      <c r="M298" s="13"/>
      <c r="N298" s="14">
        <f t="shared" si="4"/>
        <v>221656.57</v>
      </c>
      <c r="O298" s="52" t="s">
        <v>324</v>
      </c>
      <c r="Q298" s="15"/>
      <c r="R298" s="15"/>
      <c r="S298" s="15"/>
      <c r="T298" s="15"/>
      <c r="U298" s="15"/>
    </row>
    <row r="299">
      <c r="A299" s="6" t="str">
        <f t="shared" si="1"/>
        <v>2023_Běžný provoz_Interní nájmy</v>
      </c>
      <c r="B299" s="17" t="s">
        <v>32</v>
      </c>
      <c r="C299" s="27" t="s">
        <v>49</v>
      </c>
      <c r="D299" s="7" t="str">
        <f>VLOOKUP(A299,'Rozpočet 2023'!I:I,1,FALSE)</f>
        <v>2023_Běžný provoz_Interní nájmy</v>
      </c>
      <c r="E299" s="7" t="s">
        <v>130</v>
      </c>
      <c r="F299" s="29">
        <v>44957.0</v>
      </c>
      <c r="H299" s="19" t="s">
        <v>125</v>
      </c>
      <c r="I299" s="12"/>
      <c r="J299" s="12">
        <v>3600.0</v>
      </c>
      <c r="K299" s="20">
        <f t="shared" si="10"/>
        <v>-3600</v>
      </c>
      <c r="L299" s="13"/>
      <c r="M299" s="13"/>
      <c r="N299" s="14">
        <f t="shared" si="4"/>
        <v>218056.57</v>
      </c>
      <c r="O299" s="52" t="s">
        <v>324</v>
      </c>
      <c r="Q299" s="15"/>
      <c r="R299" s="15"/>
      <c r="S299" s="15"/>
      <c r="T299" s="15"/>
      <c r="U299" s="15"/>
      <c r="V299" s="14" t="str">
        <f>IF(ISBLANK(Q299),"",SUM(Q299:U299)-N299)</f>
        <v/>
      </c>
      <c r="X299" s="38">
        <v>45657.0</v>
      </c>
    </row>
    <row r="300" hidden="1">
      <c r="A300" s="6" t="str">
        <f t="shared" si="1"/>
        <v>2022_Běžný provoz_Příspěvky</v>
      </c>
      <c r="B300" s="17" t="s">
        <v>32</v>
      </c>
      <c r="C300" s="21" t="s">
        <v>34</v>
      </c>
      <c r="D300" s="7" t="str">
        <f>VLOOKUP(A300,'Rozpočet 2022'!J:J,1,FALSE)</f>
        <v>2022_Běžný provoz_Příspěvky</v>
      </c>
      <c r="E300" s="7" t="s">
        <v>327</v>
      </c>
      <c r="F300" s="29">
        <v>44963.0</v>
      </c>
      <c r="G300" s="32">
        <v>44926.0</v>
      </c>
      <c r="H300" s="36" t="s">
        <v>252</v>
      </c>
      <c r="I300" s="12">
        <v>1700.0</v>
      </c>
      <c r="J300" s="12"/>
      <c r="K300" s="20">
        <f t="shared" si="10"/>
        <v>1700</v>
      </c>
      <c r="L300" s="13"/>
      <c r="M300" s="13"/>
      <c r="N300" s="14">
        <f t="shared" si="4"/>
        <v>219756.57</v>
      </c>
      <c r="O300" s="6" t="s">
        <v>293</v>
      </c>
      <c r="Q300" s="15"/>
      <c r="R300" s="15"/>
      <c r="S300" s="15"/>
      <c r="T300" s="15"/>
      <c r="U300" s="15"/>
      <c r="V300" s="51"/>
    </row>
    <row r="301">
      <c r="A301" s="6" t="str">
        <f t="shared" si="1"/>
        <v>2023_Běžný provoz_Interní nájmy</v>
      </c>
      <c r="B301" s="17" t="s">
        <v>32</v>
      </c>
      <c r="C301" s="27" t="s">
        <v>49</v>
      </c>
      <c r="D301" s="7" t="str">
        <f>VLOOKUP(A301,'Rozpočet 2023'!I:I,1,FALSE)</f>
        <v>2023_Běžný provoz_Interní nájmy</v>
      </c>
      <c r="E301" s="7" t="s">
        <v>50</v>
      </c>
      <c r="F301" s="8">
        <v>44985.0</v>
      </c>
      <c r="H301" s="19" t="s">
        <v>125</v>
      </c>
      <c r="I301" s="12"/>
      <c r="J301" s="12">
        <v>11756.0</v>
      </c>
      <c r="K301" s="20">
        <f t="shared" si="10"/>
        <v>-11756</v>
      </c>
      <c r="L301" s="13"/>
      <c r="M301" s="13"/>
      <c r="N301" s="14">
        <f t="shared" si="4"/>
        <v>208000.57</v>
      </c>
      <c r="O301" s="52" t="s">
        <v>324</v>
      </c>
      <c r="Q301" s="15"/>
      <c r="R301" s="15"/>
      <c r="S301" s="15"/>
      <c r="T301" s="15"/>
      <c r="U301" s="15"/>
      <c r="V301" s="51">
        <f t="shared" ref="V301:V302" si="22">J301*1.3</f>
        <v>15282.8</v>
      </c>
    </row>
    <row r="302">
      <c r="A302" s="6" t="str">
        <f t="shared" si="1"/>
        <v>2023_Běžný provoz_Interní nájmy</v>
      </c>
      <c r="B302" s="17" t="s">
        <v>32</v>
      </c>
      <c r="C302" s="27" t="s">
        <v>49</v>
      </c>
      <c r="D302" s="7" t="str">
        <f>VLOOKUP(A302,'Rozpočet 2023'!I:I,1,FALSE)</f>
        <v>2023_Běžný provoz_Interní nájmy</v>
      </c>
      <c r="E302" s="53" t="s">
        <v>51</v>
      </c>
      <c r="F302" s="8">
        <v>44985.0</v>
      </c>
      <c r="H302" s="19" t="s">
        <v>125</v>
      </c>
      <c r="I302" s="12"/>
      <c r="J302" s="12">
        <v>10790.0</v>
      </c>
      <c r="K302" s="20">
        <f t="shared" si="10"/>
        <v>-10790</v>
      </c>
      <c r="L302" s="13"/>
      <c r="M302" s="13"/>
      <c r="N302" s="14">
        <f t="shared" si="4"/>
        <v>197210.57</v>
      </c>
      <c r="O302" s="52" t="s">
        <v>324</v>
      </c>
      <c r="Q302" s="15"/>
      <c r="R302" s="15"/>
      <c r="S302" s="15"/>
      <c r="T302" s="15"/>
      <c r="U302" s="15"/>
      <c r="V302" s="51">
        <f t="shared" si="22"/>
        <v>14027</v>
      </c>
    </row>
    <row r="303">
      <c r="A303" s="6" t="str">
        <f t="shared" si="1"/>
        <v>2023_Běžný provoz_Příspěvky ČSK</v>
      </c>
      <c r="B303" s="17" t="s">
        <v>32</v>
      </c>
      <c r="C303" s="21" t="s">
        <v>33</v>
      </c>
      <c r="D303" s="7" t="str">
        <f>VLOOKUP(A303,'Rozpočet 2023'!I:I,1,FALSE)</f>
        <v>2023_Běžný provoz_Příspěvky ČSK</v>
      </c>
      <c r="E303" s="7" t="s">
        <v>139</v>
      </c>
      <c r="F303" s="8">
        <v>45016.0</v>
      </c>
      <c r="H303" s="36" t="s">
        <v>119</v>
      </c>
      <c r="I303" s="12"/>
      <c r="J303" s="12">
        <v>1370.0</v>
      </c>
      <c r="K303" s="20">
        <f t="shared" si="10"/>
        <v>-1370</v>
      </c>
      <c r="L303" s="13"/>
      <c r="M303" s="13"/>
      <c r="N303" s="14">
        <f t="shared" si="4"/>
        <v>195840.57</v>
      </c>
      <c r="O303" s="52" t="s">
        <v>324</v>
      </c>
      <c r="Q303" s="15"/>
      <c r="R303" s="15"/>
      <c r="S303" s="15"/>
      <c r="T303" s="15"/>
      <c r="U303" s="15"/>
      <c r="V303" s="51"/>
    </row>
    <row r="304">
      <c r="A304" s="6" t="str">
        <f t="shared" si="1"/>
        <v>2023_Podpora činnosti_Podpora akcí</v>
      </c>
      <c r="B304" s="28" t="s">
        <v>61</v>
      </c>
      <c r="C304" s="25" t="s">
        <v>296</v>
      </c>
      <c r="D304" s="7" t="str">
        <f>VLOOKUP(A304,'Rozpočet 2023'!I:I,1,FALSE)</f>
        <v>2023_Podpora činnosti_Podpora akcí</v>
      </c>
      <c r="E304" s="7" t="s">
        <v>328</v>
      </c>
      <c r="F304" s="29">
        <v>45018.0</v>
      </c>
      <c r="H304" s="36" t="s">
        <v>119</v>
      </c>
      <c r="I304" s="42"/>
      <c r="J304" s="12">
        <v>600.0</v>
      </c>
      <c r="K304" s="20">
        <f t="shared" si="10"/>
        <v>-600</v>
      </c>
      <c r="L304" s="13"/>
      <c r="M304" s="13"/>
      <c r="N304" s="14">
        <f t="shared" si="4"/>
        <v>195240.57</v>
      </c>
      <c r="O304" s="52" t="s">
        <v>324</v>
      </c>
      <c r="Q304" s="15"/>
      <c r="R304" s="15"/>
      <c r="S304" s="15"/>
      <c r="T304" s="15"/>
      <c r="U304" s="15"/>
      <c r="V304" s="51"/>
    </row>
    <row r="305">
      <c r="A305" s="6" t="str">
        <f t="shared" si="1"/>
        <v>2023_Podpora činnosti_Podpora akcí</v>
      </c>
      <c r="B305" s="28" t="s">
        <v>61</v>
      </c>
      <c r="C305" s="25" t="s">
        <v>296</v>
      </c>
      <c r="D305" s="7" t="str">
        <f>VLOOKUP(A305,'Rozpočet 2023'!I:I,1,FALSE)</f>
        <v>2023_Podpora činnosti_Podpora akcí</v>
      </c>
      <c r="E305" s="7" t="s">
        <v>329</v>
      </c>
      <c r="F305" s="29">
        <v>45034.0</v>
      </c>
      <c r="H305" s="36" t="s">
        <v>119</v>
      </c>
      <c r="I305" s="12">
        <v>1700.0</v>
      </c>
      <c r="J305" s="12">
        <v>3500.0</v>
      </c>
      <c r="K305" s="20">
        <f t="shared" si="10"/>
        <v>-1800</v>
      </c>
      <c r="L305" s="13"/>
      <c r="M305" s="13"/>
      <c r="N305" s="14">
        <f t="shared" si="4"/>
        <v>193440.57</v>
      </c>
      <c r="O305" s="52" t="s">
        <v>324</v>
      </c>
      <c r="Q305" s="15"/>
      <c r="R305" s="15"/>
      <c r="S305" s="15"/>
      <c r="T305" s="15"/>
      <c r="U305" s="15"/>
      <c r="V305" s="51"/>
    </row>
    <row r="306">
      <c r="A306" s="6" t="str">
        <f t="shared" si="1"/>
        <v>2023_Podpora činnosti_Podpora akcí</v>
      </c>
      <c r="B306" s="28" t="s">
        <v>61</v>
      </c>
      <c r="C306" s="25" t="s">
        <v>296</v>
      </c>
      <c r="D306" s="7" t="str">
        <f>VLOOKUP(A306,'Rozpočet 2023'!I:I,1,FALSE)</f>
        <v>2023_Podpora činnosti_Podpora akcí</v>
      </c>
      <c r="E306" s="7" t="s">
        <v>330</v>
      </c>
      <c r="F306" s="29">
        <v>45042.0</v>
      </c>
      <c r="H306" s="36" t="s">
        <v>119</v>
      </c>
      <c r="I306" s="12"/>
      <c r="J306" s="12">
        <v>2000.0</v>
      </c>
      <c r="K306" s="20">
        <f t="shared" si="10"/>
        <v>-2000</v>
      </c>
      <c r="L306" s="13"/>
      <c r="M306" s="13"/>
      <c r="N306" s="14">
        <f t="shared" si="4"/>
        <v>191440.57</v>
      </c>
      <c r="O306" s="52" t="s">
        <v>324</v>
      </c>
      <c r="Q306" s="15"/>
      <c r="R306" s="15"/>
      <c r="S306" s="15"/>
      <c r="T306" s="15"/>
      <c r="U306" s="15"/>
      <c r="V306" s="51"/>
    </row>
    <row r="307">
      <c r="A307" s="6" t="str">
        <f t="shared" si="1"/>
        <v>2023_Běžný provoz_Interní nájmy</v>
      </c>
      <c r="B307" s="17" t="s">
        <v>32</v>
      </c>
      <c r="C307" s="27" t="s">
        <v>49</v>
      </c>
      <c r="D307" s="7" t="str">
        <f>VLOOKUP(A307,'Rozpočet 2023'!I:I,1,FALSE)</f>
        <v>2023_Běžný provoz_Interní nájmy</v>
      </c>
      <c r="E307" s="7" t="s">
        <v>50</v>
      </c>
      <c r="F307" s="8">
        <v>45046.0</v>
      </c>
      <c r="H307" s="19" t="s">
        <v>125</v>
      </c>
      <c r="I307" s="12"/>
      <c r="J307" s="12">
        <v>11756.0</v>
      </c>
      <c r="K307" s="20">
        <f t="shared" si="10"/>
        <v>-11756</v>
      </c>
      <c r="L307" s="13"/>
      <c r="M307" s="13"/>
      <c r="N307" s="14">
        <f t="shared" si="4"/>
        <v>179684.57</v>
      </c>
      <c r="O307" s="52" t="s">
        <v>324</v>
      </c>
      <c r="Q307" s="15"/>
      <c r="R307" s="15"/>
      <c r="S307" s="15"/>
      <c r="T307" s="15"/>
      <c r="U307" s="15"/>
      <c r="V307" s="51">
        <f t="shared" ref="V307:V308" si="23">J307*1.3</f>
        <v>15282.8</v>
      </c>
    </row>
    <row r="308">
      <c r="A308" s="6" t="str">
        <f t="shared" si="1"/>
        <v>2023_Běžný provoz_Interní nájmy</v>
      </c>
      <c r="B308" s="17" t="s">
        <v>32</v>
      </c>
      <c r="C308" s="27" t="s">
        <v>49</v>
      </c>
      <c r="D308" s="7" t="str">
        <f>VLOOKUP(A308,'Rozpočet 2023'!I:I,1,FALSE)</f>
        <v>2023_Běžný provoz_Interní nájmy</v>
      </c>
      <c r="E308" s="53" t="s">
        <v>51</v>
      </c>
      <c r="F308" s="8">
        <v>45046.0</v>
      </c>
      <c r="H308" s="19" t="s">
        <v>125</v>
      </c>
      <c r="I308" s="12"/>
      <c r="J308" s="12">
        <v>10790.0</v>
      </c>
      <c r="K308" s="20">
        <f t="shared" si="10"/>
        <v>-10790</v>
      </c>
      <c r="L308" s="13"/>
      <c r="M308" s="13"/>
      <c r="N308" s="14">
        <f t="shared" si="4"/>
        <v>168894.57</v>
      </c>
      <c r="O308" s="52" t="s">
        <v>324</v>
      </c>
      <c r="Q308" s="15"/>
      <c r="R308" s="15"/>
      <c r="S308" s="15"/>
      <c r="T308" s="15"/>
      <c r="U308" s="15"/>
      <c r="V308" s="51">
        <f t="shared" si="23"/>
        <v>14027</v>
      </c>
    </row>
    <row r="309">
      <c r="A309" s="6" t="str">
        <f t="shared" si="1"/>
        <v>2023_Podpora činnosti_Podpora akcí</v>
      </c>
      <c r="B309" s="28" t="s">
        <v>61</v>
      </c>
      <c r="C309" s="25" t="s">
        <v>296</v>
      </c>
      <c r="D309" s="7" t="str">
        <f>VLOOKUP(A309,'Rozpočet 2023'!I:I,1,FALSE)</f>
        <v>2023_Podpora činnosti_Podpora akcí</v>
      </c>
      <c r="E309" s="7" t="s">
        <v>331</v>
      </c>
      <c r="F309" s="29">
        <v>45060.0</v>
      </c>
      <c r="H309" s="36" t="s">
        <v>119</v>
      </c>
      <c r="I309" s="12"/>
      <c r="J309" s="12">
        <v>2000.0</v>
      </c>
      <c r="K309" s="20">
        <f t="shared" si="10"/>
        <v>-2000</v>
      </c>
      <c r="L309" s="13"/>
      <c r="M309" s="13"/>
      <c r="N309" s="14">
        <f t="shared" si="4"/>
        <v>166894.57</v>
      </c>
      <c r="O309" s="52" t="s">
        <v>324</v>
      </c>
      <c r="Q309" s="15"/>
      <c r="R309" s="15"/>
      <c r="S309" s="15"/>
      <c r="T309" s="15"/>
      <c r="U309" s="15"/>
      <c r="V309" s="51"/>
    </row>
    <row r="310">
      <c r="A310" s="6" t="str">
        <f t="shared" si="1"/>
        <v>2023_Podpora činnosti_Podpora akcí</v>
      </c>
      <c r="B310" s="28" t="s">
        <v>61</v>
      </c>
      <c r="C310" s="25" t="s">
        <v>296</v>
      </c>
      <c r="D310" s="7" t="str">
        <f>VLOOKUP(A310,'Rozpočet 2023'!I:I,1,FALSE)</f>
        <v>2023_Podpora činnosti_Podpora akcí</v>
      </c>
      <c r="E310" s="7" t="s">
        <v>332</v>
      </c>
      <c r="F310" s="29">
        <v>45060.0</v>
      </c>
      <c r="H310" s="36" t="s">
        <v>119</v>
      </c>
      <c r="I310" s="12"/>
      <c r="J310" s="12">
        <v>2000.0</v>
      </c>
      <c r="K310" s="20">
        <f t="shared" si="10"/>
        <v>-2000</v>
      </c>
      <c r="L310" s="13"/>
      <c r="M310" s="13"/>
      <c r="N310" s="14">
        <f t="shared" si="4"/>
        <v>164894.57</v>
      </c>
      <c r="O310" s="52" t="s">
        <v>324</v>
      </c>
      <c r="Q310" s="15"/>
      <c r="R310" s="15"/>
      <c r="S310" s="15"/>
      <c r="T310" s="15"/>
      <c r="U310" s="15"/>
      <c r="V310" s="51"/>
    </row>
    <row r="311">
      <c r="A311" s="6" t="str">
        <f t="shared" si="1"/>
        <v>2023_Běžný provoz_Příspěvky</v>
      </c>
      <c r="B311" s="17" t="s">
        <v>32</v>
      </c>
      <c r="C311" s="21" t="s">
        <v>34</v>
      </c>
      <c r="D311" s="7" t="str">
        <f>VLOOKUP(A311,'Rozpočet 2023'!I:I,1,FALSE)</f>
        <v>2023_Běžný provoz_Příspěvky</v>
      </c>
      <c r="E311" s="7" t="s">
        <v>333</v>
      </c>
      <c r="F311" s="29">
        <v>45075.0</v>
      </c>
      <c r="G311" s="32"/>
      <c r="H311" s="36" t="s">
        <v>119</v>
      </c>
      <c r="I311" s="12">
        <v>3800.0</v>
      </c>
      <c r="J311" s="12"/>
      <c r="K311" s="20">
        <f t="shared" si="10"/>
        <v>3800</v>
      </c>
      <c r="L311" s="13"/>
      <c r="M311" s="13"/>
      <c r="N311" s="14">
        <f t="shared" si="4"/>
        <v>168694.57</v>
      </c>
      <c r="O311" s="52" t="s">
        <v>324</v>
      </c>
      <c r="Q311" s="15"/>
      <c r="R311" s="15"/>
      <c r="S311" s="15"/>
      <c r="T311" s="15"/>
      <c r="U311" s="15"/>
      <c r="V311" s="51"/>
    </row>
    <row r="312">
      <c r="A312" s="6" t="str">
        <f t="shared" si="1"/>
        <v>2023_Podpora činnosti_Podpora akcí</v>
      </c>
      <c r="B312" s="28" t="s">
        <v>61</v>
      </c>
      <c r="C312" s="25" t="s">
        <v>296</v>
      </c>
      <c r="D312" s="7" t="str">
        <f>VLOOKUP(A312,'Rozpočet 2023'!I:I,1,FALSE)</f>
        <v>2023_Podpora činnosti_Podpora akcí</v>
      </c>
      <c r="E312" s="7" t="s">
        <v>334</v>
      </c>
      <c r="F312" s="29">
        <v>45081.0</v>
      </c>
      <c r="H312" s="36" t="s">
        <v>119</v>
      </c>
      <c r="I312" s="12"/>
      <c r="J312" s="12">
        <v>5000.0</v>
      </c>
      <c r="K312" s="20">
        <f t="shared" si="10"/>
        <v>-5000</v>
      </c>
      <c r="L312" s="13"/>
      <c r="M312" s="13"/>
      <c r="N312" s="14">
        <f t="shared" si="4"/>
        <v>163694.57</v>
      </c>
      <c r="O312" s="52" t="s">
        <v>324</v>
      </c>
      <c r="Q312" s="15"/>
      <c r="R312" s="15"/>
      <c r="S312" s="15"/>
      <c r="T312" s="15"/>
      <c r="U312" s="15"/>
      <c r="V312" s="51"/>
    </row>
    <row r="313">
      <c r="A313" s="6" t="str">
        <f t="shared" si="1"/>
        <v>2023_Běžný provoz_Příspěvky</v>
      </c>
      <c r="B313" s="17" t="s">
        <v>32</v>
      </c>
      <c r="C313" s="21" t="s">
        <v>34</v>
      </c>
      <c r="D313" s="7" t="str">
        <f>VLOOKUP(A313,'Rozpočet 2023'!I:I,1,FALSE)</f>
        <v>2023_Běžný provoz_Příspěvky</v>
      </c>
      <c r="E313" s="7" t="s">
        <v>335</v>
      </c>
      <c r="F313" s="29">
        <v>45082.0</v>
      </c>
      <c r="G313" s="32"/>
      <c r="H313" s="36" t="s">
        <v>119</v>
      </c>
      <c r="I313" s="12">
        <v>1000.0</v>
      </c>
      <c r="J313" s="12"/>
      <c r="K313" s="20">
        <f t="shared" si="10"/>
        <v>1000</v>
      </c>
      <c r="L313" s="13"/>
      <c r="M313" s="13"/>
      <c r="N313" s="14">
        <f t="shared" si="4"/>
        <v>164694.57</v>
      </c>
      <c r="O313" s="52" t="s">
        <v>324</v>
      </c>
      <c r="Q313" s="15"/>
      <c r="R313" s="15"/>
      <c r="S313" s="15"/>
      <c r="T313" s="15"/>
      <c r="U313" s="15"/>
    </row>
    <row r="314">
      <c r="A314" s="6" t="str">
        <f t="shared" si="1"/>
        <v>2023_Podpora činnosti_Podpora akcí</v>
      </c>
      <c r="B314" s="28" t="s">
        <v>61</v>
      </c>
      <c r="C314" s="25" t="s">
        <v>296</v>
      </c>
      <c r="D314" s="7" t="str">
        <f>VLOOKUP(A314,'Rozpočet 2023'!I:I,1,FALSE)</f>
        <v>2023_Podpora činnosti_Podpora akcí</v>
      </c>
      <c r="E314" s="7" t="s">
        <v>336</v>
      </c>
      <c r="F314" s="29">
        <v>45091.0</v>
      </c>
      <c r="H314" s="36" t="s">
        <v>119</v>
      </c>
      <c r="I314" s="12"/>
      <c r="J314" s="12">
        <v>3000.0</v>
      </c>
      <c r="K314" s="20">
        <f t="shared" si="10"/>
        <v>-3000</v>
      </c>
      <c r="L314" s="13"/>
      <c r="M314" s="13"/>
      <c r="N314" s="14">
        <f t="shared" si="4"/>
        <v>161694.57</v>
      </c>
      <c r="O314" s="52" t="s">
        <v>324</v>
      </c>
      <c r="Q314" s="15"/>
      <c r="R314" s="15"/>
      <c r="S314" s="15"/>
      <c r="T314" s="15"/>
      <c r="U314" s="15"/>
      <c r="V314" s="51"/>
    </row>
    <row r="315">
      <c r="A315" s="6" t="str">
        <f t="shared" si="1"/>
        <v>2023_Běžný provoz_Interní nájmy</v>
      </c>
      <c r="B315" s="17" t="s">
        <v>32</v>
      </c>
      <c r="C315" s="27" t="s">
        <v>49</v>
      </c>
      <c r="D315" s="7" t="str">
        <f>VLOOKUP(A315,'Rozpočet 2023'!I:I,1,FALSE)</f>
        <v>2023_Běžný provoz_Interní nájmy</v>
      </c>
      <c r="E315" s="7" t="s">
        <v>50</v>
      </c>
      <c r="F315" s="8">
        <v>45138.0</v>
      </c>
      <c r="H315" s="19" t="s">
        <v>125</v>
      </c>
      <c r="I315" s="12"/>
      <c r="J315" s="12">
        <v>11756.0</v>
      </c>
      <c r="K315" s="20">
        <f t="shared" si="10"/>
        <v>-11756</v>
      </c>
      <c r="L315" s="13"/>
      <c r="M315" s="13"/>
      <c r="N315" s="14">
        <f t="shared" si="4"/>
        <v>149938.57</v>
      </c>
      <c r="O315" s="52" t="s">
        <v>324</v>
      </c>
      <c r="Q315" s="15"/>
      <c r="R315" s="15"/>
      <c r="S315" s="15"/>
      <c r="T315" s="15"/>
      <c r="U315" s="15"/>
      <c r="V315" s="51">
        <f>J315*1.3</f>
        <v>15282.8</v>
      </c>
    </row>
    <row r="316">
      <c r="A316" s="6" t="str">
        <f t="shared" si="1"/>
        <v>2023_Běžný provoz_Výdaje ostatní</v>
      </c>
      <c r="B316" s="17" t="s">
        <v>32</v>
      </c>
      <c r="C316" s="7" t="s">
        <v>165</v>
      </c>
      <c r="D316" s="7" t="str">
        <f>VLOOKUP(A316,'Rozpočet 2023'!I:I,1,FALSE)</f>
        <v>2023_Běžný provoz_Výdaje ostatní</v>
      </c>
      <c r="E316" s="45" t="s">
        <v>337</v>
      </c>
      <c r="F316" s="8">
        <v>45160.0</v>
      </c>
      <c r="H316" s="36" t="s">
        <v>119</v>
      </c>
      <c r="I316" s="12"/>
      <c r="J316" s="12">
        <v>589.27</v>
      </c>
      <c r="K316" s="20">
        <f t="shared" si="10"/>
        <v>-589.27</v>
      </c>
      <c r="L316" s="13"/>
      <c r="M316" s="13"/>
      <c r="N316" s="14">
        <f t="shared" si="4"/>
        <v>149349.3</v>
      </c>
      <c r="O316" s="52" t="s">
        <v>324</v>
      </c>
      <c r="Q316" s="15"/>
      <c r="R316" s="15"/>
      <c r="S316" s="15"/>
      <c r="T316" s="15"/>
      <c r="U316" s="15"/>
    </row>
    <row r="317">
      <c r="A317" s="6" t="str">
        <f t="shared" si="1"/>
        <v>2023_Běžný provoz_Příjem půjčení vleků</v>
      </c>
      <c r="B317" s="17" t="s">
        <v>32</v>
      </c>
      <c r="C317" s="7" t="s">
        <v>255</v>
      </c>
      <c r="D317" s="7" t="str">
        <f>VLOOKUP(A317,'Rozpočet 2023'!I:I,1,FALSE)</f>
        <v>2023_Běžný provoz_Příjem půjčení vleků</v>
      </c>
      <c r="E317" s="7" t="s">
        <v>338</v>
      </c>
      <c r="F317" s="8">
        <v>45162.0</v>
      </c>
      <c r="H317" s="36" t="s">
        <v>119</v>
      </c>
      <c r="I317" s="12">
        <v>0.0</v>
      </c>
      <c r="J317" s="12"/>
      <c r="K317" s="20">
        <f t="shared" si="10"/>
        <v>0</v>
      </c>
      <c r="L317" s="13"/>
      <c r="M317" s="13"/>
      <c r="N317" s="14">
        <f t="shared" si="4"/>
        <v>149349.3</v>
      </c>
      <c r="O317" s="52" t="s">
        <v>324</v>
      </c>
      <c r="Q317" s="15"/>
      <c r="R317" s="15"/>
      <c r="S317" s="15"/>
      <c r="T317" s="15"/>
      <c r="U317" s="15"/>
    </row>
    <row r="318">
      <c r="A318" s="6" t="str">
        <f t="shared" si="1"/>
        <v>2023_Běžný provoz_Příspěvky</v>
      </c>
      <c r="B318" s="17" t="s">
        <v>32</v>
      </c>
      <c r="C318" s="21" t="s">
        <v>34</v>
      </c>
      <c r="D318" s="7" t="str">
        <f>VLOOKUP(A318,'Rozpočet 2023'!I:I,1,FALSE)</f>
        <v>2023_Běžný provoz_Příspěvky</v>
      </c>
      <c r="E318" s="7" t="s">
        <v>339</v>
      </c>
      <c r="F318" s="29">
        <v>45175.0</v>
      </c>
      <c r="G318" s="32"/>
      <c r="H318" s="36" t="s">
        <v>252</v>
      </c>
      <c r="I318" s="12">
        <v>57250.0</v>
      </c>
      <c r="J318" s="12"/>
      <c r="K318" s="20">
        <f t="shared" si="10"/>
        <v>57250</v>
      </c>
      <c r="L318" s="13"/>
      <c r="M318" s="13"/>
      <c r="N318" s="14">
        <f t="shared" si="4"/>
        <v>206599.3</v>
      </c>
      <c r="O318" s="52" t="s">
        <v>324</v>
      </c>
      <c r="Q318" s="15"/>
      <c r="R318" s="15"/>
      <c r="S318" s="15"/>
      <c r="T318" s="15"/>
      <c r="U318" s="15"/>
      <c r="V318" s="14" t="str">
        <f>IF(ISBLANK(Q318),"",SUM(Q318:U318)-N318)</f>
        <v/>
      </c>
    </row>
    <row r="319">
      <c r="A319" s="6" t="str">
        <f t="shared" si="1"/>
        <v>2023_Běžný provoz_Příspěvky</v>
      </c>
      <c r="B319" s="17" t="s">
        <v>32</v>
      </c>
      <c r="C319" s="21" t="s">
        <v>34</v>
      </c>
      <c r="D319" s="7" t="str">
        <f>VLOOKUP(A319,'Rozpočet 2023'!I:I,1,FALSE)</f>
        <v>2023_Běžný provoz_Příspěvky</v>
      </c>
      <c r="E319" s="7" t="s">
        <v>340</v>
      </c>
      <c r="F319" s="29">
        <v>45177.0</v>
      </c>
      <c r="G319" s="32"/>
      <c r="H319" s="36" t="s">
        <v>119</v>
      </c>
      <c r="I319" s="12">
        <v>1800.0</v>
      </c>
      <c r="J319" s="12"/>
      <c r="K319" s="20">
        <f t="shared" si="10"/>
        <v>1800</v>
      </c>
      <c r="L319" s="13"/>
      <c r="M319" s="13"/>
      <c r="N319" s="14">
        <f t="shared" si="4"/>
        <v>208399.3</v>
      </c>
      <c r="O319" s="52" t="s">
        <v>324</v>
      </c>
      <c r="Q319" s="15"/>
      <c r="R319" s="15"/>
      <c r="S319" s="15"/>
      <c r="T319" s="15"/>
      <c r="U319" s="15"/>
    </row>
    <row r="320">
      <c r="A320" s="6" t="str">
        <f t="shared" si="1"/>
        <v>2023_Podpora činnosti_Podpora akcí</v>
      </c>
      <c r="B320" s="28" t="s">
        <v>61</v>
      </c>
      <c r="C320" s="25" t="s">
        <v>296</v>
      </c>
      <c r="D320" s="7" t="str">
        <f>VLOOKUP(A320,'Rozpočet 2023'!I:I,1,FALSE)</f>
        <v>2023_Podpora činnosti_Podpora akcí</v>
      </c>
      <c r="E320" s="7" t="s">
        <v>341</v>
      </c>
      <c r="F320" s="29">
        <v>45178.0</v>
      </c>
      <c r="H320" s="36" t="s">
        <v>119</v>
      </c>
      <c r="I320" s="12"/>
      <c r="J320" s="12">
        <v>1800.0</v>
      </c>
      <c r="K320" s="20">
        <f t="shared" si="10"/>
        <v>-1800</v>
      </c>
      <c r="L320" s="13"/>
      <c r="M320" s="13"/>
      <c r="N320" s="14">
        <f t="shared" si="4"/>
        <v>206599.3</v>
      </c>
      <c r="O320" s="52" t="s">
        <v>324</v>
      </c>
      <c r="Q320" s="15">
        <f>$Q$315-$J$316-$J$317</f>
        <v>-589.27</v>
      </c>
      <c r="R320" s="15">
        <v>16980.84</v>
      </c>
      <c r="S320" s="15">
        <v>59050.0</v>
      </c>
      <c r="T320" s="15">
        <v>50000.0</v>
      </c>
      <c r="U320" s="15">
        <v>43071.0</v>
      </c>
      <c r="V320" s="14">
        <f>IF(ISBLANK(Q320),"",SUM(Q320:U320)-N320)</f>
        <v>-38086.73</v>
      </c>
    </row>
    <row r="321">
      <c r="A321" s="6" t="str">
        <f t="shared" si="1"/>
        <v>2023_Podpora činnosti_Podpora akcí</v>
      </c>
      <c r="B321" s="28" t="s">
        <v>61</v>
      </c>
      <c r="C321" s="25" t="s">
        <v>296</v>
      </c>
      <c r="D321" s="7" t="str">
        <f>VLOOKUP(A321,'Rozpočet 2023'!I:I,1,FALSE)</f>
        <v>2023_Podpora činnosti_Podpora akcí</v>
      </c>
      <c r="E321" s="7" t="s">
        <v>342</v>
      </c>
      <c r="F321" s="29">
        <v>45193.0</v>
      </c>
      <c r="H321" s="36" t="s">
        <v>119</v>
      </c>
      <c r="I321" s="42"/>
      <c r="J321" s="12">
        <v>500.0</v>
      </c>
      <c r="K321" s="20">
        <f t="shared" si="10"/>
        <v>-500</v>
      </c>
      <c r="L321" s="13"/>
      <c r="M321" s="13"/>
      <c r="N321" s="14">
        <f t="shared" si="4"/>
        <v>206099.3</v>
      </c>
      <c r="O321" s="52" t="s">
        <v>324</v>
      </c>
      <c r="Q321" s="15"/>
      <c r="R321" s="15"/>
      <c r="S321" s="15"/>
      <c r="T321" s="15"/>
      <c r="U321" s="15"/>
    </row>
    <row r="322">
      <c r="A322" s="6" t="str">
        <f t="shared" si="1"/>
        <v>2023_Běžný provoz_Údržba vleků</v>
      </c>
      <c r="B322" s="17" t="s">
        <v>32</v>
      </c>
      <c r="C322" s="7" t="s">
        <v>71</v>
      </c>
      <c r="D322" s="7" t="str">
        <f>VLOOKUP(A322,'Rozpočet 2023'!I:I,1,FALSE)</f>
        <v>2023_Běžný provoz_Údržba vleků</v>
      </c>
      <c r="E322" s="7" t="s">
        <v>343</v>
      </c>
      <c r="F322" s="29">
        <v>45193.0</v>
      </c>
      <c r="H322" s="36" t="s">
        <v>119</v>
      </c>
      <c r="I322" s="42"/>
      <c r="J322" s="12">
        <v>4439.0</v>
      </c>
      <c r="K322" s="20">
        <f t="shared" si="10"/>
        <v>-4439</v>
      </c>
      <c r="L322" s="13"/>
      <c r="M322" s="13"/>
      <c r="N322" s="14">
        <f t="shared" si="4"/>
        <v>201660.3</v>
      </c>
      <c r="O322" s="52" t="s">
        <v>324</v>
      </c>
      <c r="Q322" s="15"/>
      <c r="R322" s="15"/>
      <c r="S322" s="15"/>
      <c r="T322" s="15"/>
      <c r="U322" s="15"/>
    </row>
    <row r="323">
      <c r="A323" s="6" t="str">
        <f t="shared" si="1"/>
        <v>2023_Běžný provoz_Příspěvky</v>
      </c>
      <c r="B323" s="17" t="s">
        <v>32</v>
      </c>
      <c r="C323" s="21" t="s">
        <v>34</v>
      </c>
      <c r="D323" s="7" t="str">
        <f>VLOOKUP(A323,'Rozpočet 2023'!I:I,1,FALSE)</f>
        <v>2023_Běžný provoz_Příspěvky</v>
      </c>
      <c r="E323" s="7" t="s">
        <v>270</v>
      </c>
      <c r="F323" s="29">
        <v>45209.0</v>
      </c>
      <c r="G323" s="32"/>
      <c r="H323" s="36" t="s">
        <v>344</v>
      </c>
      <c r="I323" s="12">
        <v>2300.0</v>
      </c>
      <c r="J323" s="42"/>
      <c r="K323" s="20">
        <f t="shared" si="10"/>
        <v>2300</v>
      </c>
      <c r="L323" s="13"/>
      <c r="M323" s="13"/>
      <c r="N323" s="14">
        <f t="shared" si="4"/>
        <v>203960.3</v>
      </c>
      <c r="O323" s="52" t="s">
        <v>324</v>
      </c>
      <c r="Q323" s="15"/>
      <c r="R323" s="15"/>
      <c r="S323" s="15"/>
      <c r="T323" s="15"/>
      <c r="U323" s="15"/>
      <c r="V323" s="14"/>
    </row>
    <row r="324">
      <c r="A324" s="6" t="str">
        <f t="shared" si="1"/>
        <v>2023_Běžný provoz_Údržba vleků</v>
      </c>
      <c r="B324" s="17" t="s">
        <v>32</v>
      </c>
      <c r="C324" s="7" t="s">
        <v>71</v>
      </c>
      <c r="D324" s="7" t="str">
        <f>VLOOKUP(A324,'Rozpočet 2023'!I:I,1,FALSE)</f>
        <v>2023_Běžný provoz_Údržba vleků</v>
      </c>
      <c r="E324" s="7" t="s">
        <v>345</v>
      </c>
      <c r="F324" s="29">
        <v>45215.0</v>
      </c>
      <c r="H324" s="36" t="s">
        <v>119</v>
      </c>
      <c r="I324" s="42"/>
      <c r="J324" s="12">
        <v>8579.0</v>
      </c>
      <c r="K324" s="20">
        <f t="shared" si="10"/>
        <v>-8579</v>
      </c>
      <c r="L324" s="13"/>
      <c r="M324" s="13"/>
      <c r="N324" s="14">
        <f t="shared" si="4"/>
        <v>195381.3</v>
      </c>
      <c r="O324" s="52" t="s">
        <v>324</v>
      </c>
      <c r="Q324" s="15"/>
      <c r="R324" s="15"/>
      <c r="S324" s="15"/>
      <c r="T324" s="15"/>
      <c r="U324" s="15"/>
    </row>
    <row r="325">
      <c r="A325" s="6" t="str">
        <f t="shared" si="1"/>
        <v>2023_Běžný provoz_Údržba vleků</v>
      </c>
      <c r="B325" s="17" t="s">
        <v>32</v>
      </c>
      <c r="C325" s="7" t="s">
        <v>71</v>
      </c>
      <c r="D325" s="7" t="str">
        <f>VLOOKUP(A325,'Rozpočet 2023'!I:I,1,FALSE)</f>
        <v>2023_Běžný provoz_Údržba vleků</v>
      </c>
      <c r="E325" s="7" t="s">
        <v>346</v>
      </c>
      <c r="F325" s="29">
        <v>45215.0</v>
      </c>
      <c r="H325" s="36" t="s">
        <v>119</v>
      </c>
      <c r="I325" s="42"/>
      <c r="J325" s="12">
        <v>3645.0</v>
      </c>
      <c r="K325" s="20">
        <f t="shared" si="10"/>
        <v>-3645</v>
      </c>
      <c r="L325" s="13"/>
      <c r="M325" s="13"/>
      <c r="N325" s="14">
        <f t="shared" si="4"/>
        <v>191736.3</v>
      </c>
      <c r="O325" s="52" t="s">
        <v>324</v>
      </c>
      <c r="Q325" s="15"/>
      <c r="R325" s="15"/>
      <c r="S325" s="15"/>
      <c r="T325" s="15"/>
      <c r="U325" s="15"/>
    </row>
    <row r="326">
      <c r="A326" s="6" t="str">
        <f t="shared" si="1"/>
        <v>2023_Běžný provoz_Interní nájmy</v>
      </c>
      <c r="B326" s="17" t="s">
        <v>32</v>
      </c>
      <c r="C326" s="27" t="s">
        <v>49</v>
      </c>
      <c r="D326" s="7" t="str">
        <f>VLOOKUP(A326,'Rozpočet 2023'!I:I,1,FALSE)</f>
        <v>2023_Běžný provoz_Interní nájmy</v>
      </c>
      <c r="E326" s="7" t="s">
        <v>50</v>
      </c>
      <c r="F326" s="8">
        <v>45229.0</v>
      </c>
      <c r="H326" s="19" t="s">
        <v>125</v>
      </c>
      <c r="I326" s="12"/>
      <c r="J326" s="12">
        <v>11756.0</v>
      </c>
      <c r="K326" s="20">
        <f t="shared" si="10"/>
        <v>-11756</v>
      </c>
      <c r="L326" s="13"/>
      <c r="M326" s="13"/>
      <c r="N326" s="14">
        <f t="shared" si="4"/>
        <v>179980.3</v>
      </c>
      <c r="O326" s="52" t="s">
        <v>324</v>
      </c>
      <c r="Q326" s="15"/>
      <c r="R326" s="15"/>
      <c r="S326" s="15"/>
      <c r="T326" s="15"/>
      <c r="U326" s="15"/>
      <c r="V326" s="51">
        <f t="shared" ref="V326:V327" si="24">J326*1.3</f>
        <v>15282.8</v>
      </c>
    </row>
    <row r="327">
      <c r="A327" s="6" t="str">
        <f t="shared" si="1"/>
        <v>2023_Běžný provoz_Interní nájmy</v>
      </c>
      <c r="B327" s="17" t="s">
        <v>32</v>
      </c>
      <c r="C327" s="27" t="s">
        <v>49</v>
      </c>
      <c r="D327" s="7" t="str">
        <f>VLOOKUP(A327,'Rozpočet 2023'!I:I,1,FALSE)</f>
        <v>2023_Běžný provoz_Interní nájmy</v>
      </c>
      <c r="E327" s="53" t="s">
        <v>51</v>
      </c>
      <c r="F327" s="8">
        <v>45229.0</v>
      </c>
      <c r="H327" s="19" t="s">
        <v>125</v>
      </c>
      <c r="I327" s="12"/>
      <c r="J327" s="12">
        <v>13280.0</v>
      </c>
      <c r="K327" s="20">
        <f t="shared" si="10"/>
        <v>-13280</v>
      </c>
      <c r="L327" s="13"/>
      <c r="M327" s="13"/>
      <c r="N327" s="14">
        <f t="shared" si="4"/>
        <v>166700.3</v>
      </c>
      <c r="O327" s="52" t="s">
        <v>324</v>
      </c>
      <c r="Q327" s="15"/>
      <c r="R327" s="15"/>
      <c r="S327" s="15"/>
      <c r="T327" s="15"/>
      <c r="U327" s="15"/>
      <c r="V327" s="51">
        <f t="shared" si="24"/>
        <v>17264</v>
      </c>
    </row>
    <row r="328">
      <c r="A328" s="6" t="str">
        <f t="shared" si="1"/>
        <v>2023_Hamerák-akce_Hamerák finance</v>
      </c>
      <c r="B328" s="23" t="s">
        <v>37</v>
      </c>
      <c r="C328" s="24" t="s">
        <v>95</v>
      </c>
      <c r="D328" s="7" t="str">
        <f>VLOOKUP(A328,'Rozpočet 2023'!I:I,1,FALSE)</f>
        <v>2023_Hamerák-akce_Hamerák finance</v>
      </c>
      <c r="E328" s="7" t="s">
        <v>313</v>
      </c>
      <c r="F328" s="29">
        <v>45251.0</v>
      </c>
      <c r="H328" s="36" t="s">
        <v>125</v>
      </c>
      <c r="I328" s="12"/>
      <c r="J328" s="12"/>
      <c r="K328" s="20">
        <f t="shared" si="10"/>
        <v>0</v>
      </c>
      <c r="L328" s="13"/>
      <c r="M328" s="12">
        <v>-6050.0</v>
      </c>
      <c r="N328" s="14">
        <f t="shared" si="4"/>
        <v>166700.3</v>
      </c>
      <c r="O328" s="52" t="s">
        <v>324</v>
      </c>
      <c r="P328" s="7" t="s">
        <v>347</v>
      </c>
      <c r="Q328" s="15"/>
      <c r="R328" s="15"/>
      <c r="S328" s="15"/>
      <c r="T328" s="15"/>
      <c r="U328" s="15"/>
    </row>
    <row r="329">
      <c r="A329" s="6" t="str">
        <f t="shared" si="1"/>
        <v>2023_Hamerák-akce_Hamerák finance</v>
      </c>
      <c r="B329" s="23" t="s">
        <v>37</v>
      </c>
      <c r="C329" s="24" t="s">
        <v>95</v>
      </c>
      <c r="D329" s="7" t="str">
        <f>VLOOKUP(A329,'Rozpočet 2023'!I:I,1,FALSE)</f>
        <v>2023_Hamerák-akce_Hamerák finance</v>
      </c>
      <c r="E329" s="7" t="s">
        <v>99</v>
      </c>
      <c r="F329" s="29">
        <v>45266.0</v>
      </c>
      <c r="H329" s="36" t="s">
        <v>125</v>
      </c>
      <c r="I329" s="12"/>
      <c r="J329" s="12"/>
      <c r="K329" s="20">
        <f t="shared" si="10"/>
        <v>0</v>
      </c>
      <c r="L329" s="13"/>
      <c r="M329" s="12">
        <v>33000.0</v>
      </c>
      <c r="N329" s="14">
        <f t="shared" si="4"/>
        <v>166700.3</v>
      </c>
      <c r="O329" s="52" t="s">
        <v>324</v>
      </c>
      <c r="P329" s="7" t="s">
        <v>347</v>
      </c>
      <c r="Q329" s="15"/>
      <c r="R329" s="15"/>
      <c r="S329" s="15"/>
      <c r="T329" s="15"/>
      <c r="U329" s="15"/>
    </row>
    <row r="330">
      <c r="A330" s="6" t="str">
        <f t="shared" si="1"/>
        <v>2023_Hamerák-akce_Hamerák finance</v>
      </c>
      <c r="B330" s="23" t="s">
        <v>37</v>
      </c>
      <c r="C330" s="24" t="s">
        <v>95</v>
      </c>
      <c r="D330" s="7" t="str">
        <f>VLOOKUP(A330,'Rozpočet 2023'!I:I,1,FALSE)</f>
        <v>2023_Hamerák-akce_Hamerák finance</v>
      </c>
      <c r="E330" s="7" t="s">
        <v>348</v>
      </c>
      <c r="F330" s="29">
        <v>45267.0</v>
      </c>
      <c r="H330" s="36" t="s">
        <v>125</v>
      </c>
      <c r="I330" s="12"/>
      <c r="J330" s="12"/>
      <c r="K330" s="20">
        <f t="shared" si="10"/>
        <v>0</v>
      </c>
      <c r="L330" s="13"/>
      <c r="M330" s="12">
        <v>-21200.0</v>
      </c>
      <c r="N330" s="14">
        <f t="shared" si="4"/>
        <v>166700.3</v>
      </c>
      <c r="O330" s="52" t="s">
        <v>324</v>
      </c>
      <c r="P330" s="7" t="s">
        <v>347</v>
      </c>
      <c r="Q330" s="15"/>
      <c r="R330" s="15"/>
      <c r="S330" s="15"/>
      <c r="T330" s="15"/>
      <c r="U330" s="15"/>
    </row>
    <row r="331">
      <c r="A331" s="6" t="str">
        <f t="shared" si="1"/>
        <v>2023_Hamerák-akce_Hamerák finance</v>
      </c>
      <c r="B331" s="23" t="s">
        <v>37</v>
      </c>
      <c r="C331" s="24" t="s">
        <v>95</v>
      </c>
      <c r="D331" s="7" t="str">
        <f>VLOOKUP(A331,'Rozpočet 2023'!I:I,1,FALSE)</f>
        <v>2023_Hamerák-akce_Hamerák finance</v>
      </c>
      <c r="E331" s="7" t="s">
        <v>349</v>
      </c>
      <c r="F331" s="29">
        <v>45270.0</v>
      </c>
      <c r="H331" s="36" t="s">
        <v>344</v>
      </c>
      <c r="I331" s="12">
        <v>18631.0</v>
      </c>
      <c r="J331" s="12"/>
      <c r="K331" s="20">
        <f t="shared" si="10"/>
        <v>18631</v>
      </c>
      <c r="L331" s="13"/>
      <c r="M331" s="13"/>
      <c r="N331" s="14">
        <f t="shared" si="4"/>
        <v>185331.3</v>
      </c>
      <c r="O331" s="52" t="s">
        <v>324</v>
      </c>
      <c r="Q331" s="15"/>
      <c r="R331" s="15"/>
      <c r="S331" s="15"/>
      <c r="T331" s="15"/>
      <c r="U331" s="15"/>
    </row>
    <row r="332">
      <c r="A332" s="6" t="str">
        <f t="shared" si="1"/>
        <v>2023_Podpora činnosti_Podpora akcí</v>
      </c>
      <c r="B332" s="28" t="s">
        <v>61</v>
      </c>
      <c r="C332" s="25" t="s">
        <v>296</v>
      </c>
      <c r="D332" s="7" t="str">
        <f>VLOOKUP(A332,'Rozpočet 2023'!I:I,1,FALSE)</f>
        <v>2023_Podpora činnosti_Podpora akcí</v>
      </c>
      <c r="E332" s="7" t="s">
        <v>350</v>
      </c>
      <c r="F332" s="29">
        <v>45290.0</v>
      </c>
      <c r="G332" s="29">
        <v>45299.0</v>
      </c>
      <c r="H332" s="36" t="s">
        <v>119</v>
      </c>
      <c r="I332" s="42"/>
      <c r="J332" s="12">
        <v>1550.0</v>
      </c>
      <c r="K332" s="20">
        <f t="shared" si="10"/>
        <v>-1550</v>
      </c>
      <c r="L332" s="13"/>
      <c r="M332" s="13"/>
      <c r="N332" s="14">
        <f t="shared" si="4"/>
        <v>183781.3</v>
      </c>
      <c r="O332" s="52" t="s">
        <v>324</v>
      </c>
      <c r="Q332" s="15"/>
      <c r="R332" s="15"/>
      <c r="S332" s="15"/>
      <c r="T332" s="15"/>
      <c r="U332" s="15"/>
    </row>
    <row r="333">
      <c r="A333" s="6" t="str">
        <f t="shared" si="1"/>
        <v>2023_Podpora činnosti_Podpora akcí</v>
      </c>
      <c r="B333" s="28" t="s">
        <v>61</v>
      </c>
      <c r="C333" s="25" t="s">
        <v>296</v>
      </c>
      <c r="D333" s="7" t="str">
        <f>VLOOKUP(A333,'Rozpočet 2023'!I:I,1,FALSE)</f>
        <v>2023_Podpora činnosti_Podpora akcí</v>
      </c>
      <c r="E333" s="7" t="s">
        <v>351</v>
      </c>
      <c r="F333" s="29">
        <v>45290.0</v>
      </c>
      <c r="G333" s="29">
        <v>45299.0</v>
      </c>
      <c r="H333" s="36" t="s">
        <v>119</v>
      </c>
      <c r="I333" s="42"/>
      <c r="J333" s="12">
        <v>1860.0</v>
      </c>
      <c r="K333" s="20">
        <f t="shared" si="10"/>
        <v>-1860</v>
      </c>
      <c r="L333" s="13"/>
      <c r="M333" s="13"/>
      <c r="N333" s="14">
        <f t="shared" si="4"/>
        <v>181921.3</v>
      </c>
      <c r="O333" s="52" t="s">
        <v>324</v>
      </c>
      <c r="Q333" s="15"/>
      <c r="R333" s="15"/>
      <c r="S333" s="15"/>
      <c r="T333" s="15"/>
      <c r="U333" s="15"/>
    </row>
    <row r="334">
      <c r="A334" s="6" t="str">
        <f t="shared" si="1"/>
        <v>2023__</v>
      </c>
      <c r="D334" s="7" t="str">
        <f>VLOOKUP(A334,'Rozpočet 2022'!J:J,1,FALSE)</f>
        <v>#N/A</v>
      </c>
      <c r="E334" s="7" t="s">
        <v>352</v>
      </c>
      <c r="F334" s="33">
        <v>45291.0</v>
      </c>
      <c r="H334" s="40"/>
      <c r="I334" s="12"/>
      <c r="J334" s="12"/>
      <c r="K334" s="20">
        <f t="shared" si="10"/>
        <v>0</v>
      </c>
      <c r="L334" s="13"/>
      <c r="M334" s="13"/>
      <c r="N334" s="14">
        <f t="shared" si="4"/>
        <v>181921.3</v>
      </c>
      <c r="O334" s="52" t="s">
        <v>324</v>
      </c>
      <c r="Q334" s="15">
        <v>28967.0</v>
      </c>
      <c r="R334" s="15">
        <f>6407.84+1550+1860</f>
        <v>9817.84</v>
      </c>
      <c r="S334" s="15">
        <v>49050.0</v>
      </c>
      <c r="T334" s="15">
        <f>22900+20000+25596+30000</f>
        <v>98496</v>
      </c>
      <c r="U334" s="15"/>
      <c r="V334" s="14">
        <f>IF(ISBLANK(Q334),"",SUM(Q334:U334)-N334)</f>
        <v>4409.54</v>
      </c>
    </row>
    <row r="335">
      <c r="A335" s="6" t="str">
        <f t="shared" si="1"/>
        <v>2024_Hamerák-akce_Hamerák finance</v>
      </c>
      <c r="B335" s="23" t="s">
        <v>37</v>
      </c>
      <c r="C335" s="24" t="s">
        <v>95</v>
      </c>
      <c r="D335" s="7" t="str">
        <f>VLOOKUP(A335,'Rozpočet 2023'!I:I,1,FALSE)</f>
        <v>#N/A</v>
      </c>
      <c r="E335" s="7" t="s">
        <v>348</v>
      </c>
      <c r="F335" s="29">
        <v>45310.0</v>
      </c>
      <c r="H335" s="36" t="s">
        <v>119</v>
      </c>
      <c r="I335" s="12"/>
      <c r="J335" s="12"/>
      <c r="K335" s="20">
        <f t="shared" si="10"/>
        <v>0</v>
      </c>
      <c r="L335" s="13"/>
      <c r="M335" s="12">
        <v>-35074.0</v>
      </c>
      <c r="N335" s="14">
        <f t="shared" si="4"/>
        <v>181921.3</v>
      </c>
      <c r="O335" s="54" t="s">
        <v>353</v>
      </c>
      <c r="Q335" s="15"/>
      <c r="R335" s="15"/>
      <c r="S335" s="15"/>
      <c r="T335" s="15"/>
      <c r="U335" s="15"/>
    </row>
    <row r="336">
      <c r="A336" s="6" t="str">
        <f t="shared" si="1"/>
        <v>2024_Běžný provoz_Interní nájmy</v>
      </c>
      <c r="B336" s="17" t="s">
        <v>32</v>
      </c>
      <c r="C336" s="27" t="s">
        <v>49</v>
      </c>
      <c r="D336" s="7" t="str">
        <f>VLOOKUP(A336,'Rozpočet 2023'!I:I,1,FALSE)</f>
        <v>#N/A</v>
      </c>
      <c r="E336" s="7" t="s">
        <v>51</v>
      </c>
      <c r="F336" s="39">
        <v>45322.0</v>
      </c>
      <c r="H336" s="19" t="s">
        <v>125</v>
      </c>
      <c r="I336" s="12"/>
      <c r="J336" s="31">
        <v>92704.0</v>
      </c>
      <c r="K336" s="20">
        <f t="shared" si="10"/>
        <v>-92704</v>
      </c>
      <c r="L336" s="13"/>
      <c r="M336" s="13"/>
      <c r="N336" s="14">
        <f t="shared" si="4"/>
        <v>89217.3</v>
      </c>
      <c r="O336" s="54" t="s">
        <v>353</v>
      </c>
      <c r="Q336" s="15"/>
      <c r="R336" s="15"/>
      <c r="S336" s="15"/>
      <c r="T336" s="15"/>
      <c r="U336" s="15"/>
      <c r="V336" s="51">
        <f>J336*1.3</f>
        <v>120515.2</v>
      </c>
    </row>
    <row r="337">
      <c r="A337" s="6" t="str">
        <f t="shared" si="1"/>
        <v>2024_Běžný provoz_Příspěvky</v>
      </c>
      <c r="B337" s="17" t="s">
        <v>32</v>
      </c>
      <c r="C337" s="21" t="s">
        <v>34</v>
      </c>
      <c r="D337" s="7" t="str">
        <f>VLOOKUP(A337,'Rozpočet 2024'!I:I,1,FALSE)</f>
        <v>2024_Běžný provoz_Příspěvky</v>
      </c>
      <c r="E337" s="55" t="s">
        <v>354</v>
      </c>
      <c r="F337" s="29">
        <v>45332.0</v>
      </c>
      <c r="G337" s="29">
        <v>45266.0</v>
      </c>
      <c r="H337" s="36" t="s">
        <v>125</v>
      </c>
      <c r="I337" s="31">
        <v>1000.0</v>
      </c>
      <c r="J337" s="42"/>
      <c r="K337" s="20">
        <f t="shared" si="10"/>
        <v>1000</v>
      </c>
      <c r="L337" s="13"/>
      <c r="M337" s="13"/>
      <c r="N337" s="14">
        <f t="shared" si="4"/>
        <v>90217.3</v>
      </c>
      <c r="O337" s="54" t="s">
        <v>353</v>
      </c>
      <c r="Q337" s="15"/>
      <c r="R337" s="15"/>
      <c r="S337" s="15"/>
      <c r="T337" s="15"/>
      <c r="U337" s="15"/>
    </row>
    <row r="338">
      <c r="A338" s="6" t="str">
        <f t="shared" si="1"/>
        <v>2024_Běžný provoz_Výdaje ostatní</v>
      </c>
      <c r="B338" s="17" t="s">
        <v>32</v>
      </c>
      <c r="C338" s="7" t="s">
        <v>165</v>
      </c>
      <c r="D338" s="7" t="str">
        <f>VLOOKUP(A338,'Rozpočet 2024'!I:I,1,FALSE)</f>
        <v>2024_Běžný provoz_Výdaje ostatní</v>
      </c>
      <c r="E338" s="7" t="s">
        <v>355</v>
      </c>
      <c r="F338" s="29">
        <v>45350.0</v>
      </c>
      <c r="H338" s="36" t="s">
        <v>119</v>
      </c>
      <c r="I338" s="42"/>
      <c r="J338" s="12">
        <v>3000.0</v>
      </c>
      <c r="K338" s="20">
        <f t="shared" si="10"/>
        <v>-3000</v>
      </c>
      <c r="L338" s="13"/>
      <c r="M338" s="13"/>
      <c r="N338" s="14">
        <f t="shared" si="4"/>
        <v>87217.3</v>
      </c>
      <c r="O338" s="54" t="s">
        <v>353</v>
      </c>
      <c r="Q338" s="15"/>
      <c r="R338" s="15"/>
      <c r="S338" s="15"/>
      <c r="T338" s="15"/>
      <c r="U338" s="15"/>
    </row>
    <row r="339">
      <c r="A339" s="6" t="str">
        <f t="shared" si="1"/>
        <v>2024_Podpora činnosti_Podpora akcí</v>
      </c>
      <c r="B339" s="28" t="s">
        <v>61</v>
      </c>
      <c r="C339" s="25" t="s">
        <v>296</v>
      </c>
      <c r="D339" s="7" t="str">
        <f>VLOOKUP(A339,'Rozpočet 2024'!I:I,1,FALSE)</f>
        <v>2024_Podpora činnosti_Podpora akcí</v>
      </c>
      <c r="E339" s="7" t="s">
        <v>356</v>
      </c>
      <c r="F339" s="29">
        <v>45350.0</v>
      </c>
      <c r="H339" s="36" t="s">
        <v>119</v>
      </c>
      <c r="I339" s="42"/>
      <c r="J339" s="12">
        <v>1119.22</v>
      </c>
      <c r="K339" s="20">
        <f t="shared" si="10"/>
        <v>-1119.22</v>
      </c>
      <c r="L339" s="13"/>
      <c r="M339" s="13"/>
      <c r="N339" s="14">
        <f t="shared" si="4"/>
        <v>86098.08</v>
      </c>
      <c r="O339" s="54" t="s">
        <v>353</v>
      </c>
      <c r="Q339" s="15"/>
      <c r="R339" s="15"/>
      <c r="S339" s="15"/>
      <c r="T339" s="15"/>
      <c r="U339" s="15"/>
    </row>
    <row r="340">
      <c r="A340" s="6" t="str">
        <f t="shared" si="1"/>
        <v>2024_Hamerák-akce_Náklady příprava</v>
      </c>
      <c r="B340" s="23" t="s">
        <v>37</v>
      </c>
      <c r="C340" s="50" t="s">
        <v>158</v>
      </c>
      <c r="D340" s="7" t="str">
        <f>VLOOKUP(A340,'Rozpočet 2024'!I:I,1,FALSE)</f>
        <v>2024_Hamerák-akce_Náklady příprava</v>
      </c>
      <c r="E340" s="7" t="s">
        <v>357</v>
      </c>
      <c r="F340" s="33">
        <v>45366.0</v>
      </c>
      <c r="H340" s="36" t="s">
        <v>119</v>
      </c>
      <c r="I340" s="42"/>
      <c r="J340" s="12">
        <v>1400.0</v>
      </c>
      <c r="K340" s="20">
        <f t="shared" si="10"/>
        <v>-1400</v>
      </c>
      <c r="L340" s="13"/>
      <c r="M340" s="13"/>
      <c r="N340" s="14">
        <f t="shared" si="4"/>
        <v>84698.08</v>
      </c>
      <c r="O340" s="54" t="s">
        <v>353</v>
      </c>
      <c r="Q340" s="15"/>
      <c r="R340" s="15"/>
      <c r="S340" s="15"/>
      <c r="T340" s="15"/>
      <c r="U340" s="15"/>
    </row>
    <row r="341">
      <c r="A341" s="6" t="str">
        <f t="shared" si="1"/>
        <v>2024_Běžný provoz_Příspěvky ČSK</v>
      </c>
      <c r="B341" s="17" t="s">
        <v>32</v>
      </c>
      <c r="C341" s="21" t="s">
        <v>33</v>
      </c>
      <c r="D341" s="7" t="str">
        <f>VLOOKUP(A341,'Rozpočet 2024'!I:I,1,FALSE)</f>
        <v>2024_Běžný provoz_Příspěvky ČSK</v>
      </c>
      <c r="E341" s="7" t="s">
        <v>139</v>
      </c>
      <c r="F341" s="8">
        <v>45378.0</v>
      </c>
      <c r="H341" s="36" t="s">
        <v>119</v>
      </c>
      <c r="I341" s="12"/>
      <c r="J341" s="12">
        <v>1270.0</v>
      </c>
      <c r="K341" s="20">
        <f t="shared" si="10"/>
        <v>-1270</v>
      </c>
      <c r="L341" s="13"/>
      <c r="M341" s="13"/>
      <c r="N341" s="14">
        <f t="shared" si="4"/>
        <v>83428.08</v>
      </c>
      <c r="O341" s="54" t="s">
        <v>353</v>
      </c>
      <c r="Q341" s="15"/>
      <c r="R341" s="15"/>
      <c r="S341" s="15"/>
      <c r="T341" s="15"/>
      <c r="U341" s="15"/>
    </row>
    <row r="342">
      <c r="A342" s="6" t="str">
        <f t="shared" si="1"/>
        <v>2024_Podpora činnosti_Podpora akcí</v>
      </c>
      <c r="B342" s="28" t="s">
        <v>61</v>
      </c>
      <c r="C342" s="25" t="s">
        <v>296</v>
      </c>
      <c r="D342" s="7" t="str">
        <f>VLOOKUP(A342,'Rozpočet 2024'!I:I,1,FALSE)</f>
        <v>2024_Podpora činnosti_Podpora akcí</v>
      </c>
      <c r="E342" s="7" t="s">
        <v>358</v>
      </c>
      <c r="F342" s="33">
        <v>45388.0</v>
      </c>
      <c r="H342" s="36" t="s">
        <v>344</v>
      </c>
      <c r="I342" s="42"/>
      <c r="J342" s="12">
        <v>1800.0</v>
      </c>
      <c r="K342" s="20">
        <f t="shared" si="10"/>
        <v>-1800</v>
      </c>
      <c r="L342" s="13"/>
      <c r="M342" s="13"/>
      <c r="N342" s="14">
        <f t="shared" si="4"/>
        <v>81628.08</v>
      </c>
      <c r="O342" s="54" t="s">
        <v>353</v>
      </c>
      <c r="Q342" s="15"/>
      <c r="R342" s="15"/>
      <c r="S342" s="15"/>
      <c r="T342" s="15"/>
      <c r="U342" s="15"/>
    </row>
    <row r="343">
      <c r="A343" s="6" t="str">
        <f t="shared" si="1"/>
        <v>2024_Běžný provoz_Údržba vleků</v>
      </c>
      <c r="B343" s="17" t="s">
        <v>32</v>
      </c>
      <c r="C343" s="7" t="s">
        <v>71</v>
      </c>
      <c r="D343" s="7" t="str">
        <f>VLOOKUP(A343,'Rozpočet 2024'!I:I,1,FALSE)</f>
        <v>2024_Běžný provoz_Údržba vleků</v>
      </c>
      <c r="E343" s="7" t="s">
        <v>359</v>
      </c>
      <c r="F343" s="33">
        <v>45400.0</v>
      </c>
      <c r="H343" s="36" t="s">
        <v>119</v>
      </c>
      <c r="I343" s="42"/>
      <c r="J343" s="12">
        <v>6341.0</v>
      </c>
      <c r="K343" s="20">
        <f t="shared" si="10"/>
        <v>-6341</v>
      </c>
      <c r="L343" s="13"/>
      <c r="M343" s="13"/>
      <c r="N343" s="14">
        <f t="shared" si="4"/>
        <v>75287.08</v>
      </c>
      <c r="O343" s="54" t="s">
        <v>353</v>
      </c>
      <c r="Q343" s="15"/>
      <c r="R343" s="15"/>
      <c r="S343" s="15"/>
      <c r="T343" s="15"/>
      <c r="U343" s="15"/>
    </row>
    <row r="344">
      <c r="A344" s="6" t="str">
        <f t="shared" si="1"/>
        <v>2024_Podpora činnosti_Podpora akcí</v>
      </c>
      <c r="B344" s="28" t="s">
        <v>61</v>
      </c>
      <c r="C344" s="25" t="s">
        <v>296</v>
      </c>
      <c r="D344" s="7" t="str">
        <f>VLOOKUP(A344,'Rozpočet 2024'!I:I,1,FALSE)</f>
        <v>2024_Podpora činnosti_Podpora akcí</v>
      </c>
      <c r="E344" s="7" t="s">
        <v>360</v>
      </c>
      <c r="F344" s="33">
        <v>45438.0</v>
      </c>
      <c r="H344" s="36" t="s">
        <v>119</v>
      </c>
      <c r="I344" s="42"/>
      <c r="J344" s="12">
        <v>5000.0</v>
      </c>
      <c r="K344" s="20">
        <f t="shared" si="10"/>
        <v>-5000</v>
      </c>
      <c r="L344" s="13"/>
      <c r="M344" s="13"/>
      <c r="N344" s="14">
        <f t="shared" si="4"/>
        <v>70287.08</v>
      </c>
      <c r="O344" s="54" t="s">
        <v>353</v>
      </c>
      <c r="Q344" s="15"/>
      <c r="R344" s="15"/>
      <c r="S344" s="15"/>
      <c r="T344" s="15"/>
      <c r="U344" s="15"/>
    </row>
    <row r="345">
      <c r="A345" s="6" t="str">
        <f t="shared" si="1"/>
        <v>2024_Podpora činnosti_Podpora akcí</v>
      </c>
      <c r="B345" s="28" t="s">
        <v>61</v>
      </c>
      <c r="C345" s="25" t="s">
        <v>296</v>
      </c>
      <c r="D345" s="7" t="str">
        <f>VLOOKUP(A345,'Rozpočet 2024'!I:I,1,FALSE)</f>
        <v>2024_Podpora činnosti_Podpora akcí</v>
      </c>
      <c r="E345" s="7" t="s">
        <v>361</v>
      </c>
      <c r="F345" s="33">
        <v>45438.0</v>
      </c>
      <c r="H345" s="36" t="s">
        <v>119</v>
      </c>
      <c r="I345" s="42"/>
      <c r="J345" s="12">
        <v>1000.0</v>
      </c>
      <c r="K345" s="20">
        <f t="shared" si="10"/>
        <v>-1000</v>
      </c>
      <c r="L345" s="13"/>
      <c r="M345" s="13"/>
      <c r="N345" s="14">
        <f t="shared" si="4"/>
        <v>69287.08</v>
      </c>
      <c r="O345" s="54" t="s">
        <v>353</v>
      </c>
      <c r="Q345" s="15"/>
      <c r="R345" s="15"/>
      <c r="S345" s="15"/>
      <c r="T345" s="15"/>
      <c r="U345" s="15"/>
    </row>
    <row r="346">
      <c r="A346" s="6" t="str">
        <f t="shared" si="1"/>
        <v>2024_Podpora činnosti_Podpora akcí</v>
      </c>
      <c r="B346" s="28" t="s">
        <v>61</v>
      </c>
      <c r="C346" s="25" t="s">
        <v>296</v>
      </c>
      <c r="D346" s="7" t="str">
        <f>VLOOKUP(A346,'Rozpočet 2024'!I:I,1,FALSE)</f>
        <v>2024_Podpora činnosti_Podpora akcí</v>
      </c>
      <c r="E346" s="7" t="s">
        <v>362</v>
      </c>
      <c r="F346" s="33">
        <v>45438.0</v>
      </c>
      <c r="H346" s="36" t="s">
        <v>119</v>
      </c>
      <c r="I346" s="42"/>
      <c r="J346" s="12">
        <v>800.0</v>
      </c>
      <c r="K346" s="20">
        <f t="shared" si="10"/>
        <v>-800</v>
      </c>
      <c r="L346" s="13"/>
      <c r="M346" s="13"/>
      <c r="N346" s="14">
        <f t="shared" si="4"/>
        <v>68487.08</v>
      </c>
      <c r="O346" s="54" t="s">
        <v>353</v>
      </c>
      <c r="Q346" s="15"/>
      <c r="R346" s="15"/>
      <c r="S346" s="15"/>
      <c r="T346" s="15"/>
      <c r="U346" s="15"/>
    </row>
    <row r="347">
      <c r="A347" s="6" t="str">
        <f t="shared" si="1"/>
        <v>2024_Podpora činnosti_Podpora akcí</v>
      </c>
      <c r="B347" s="28" t="s">
        <v>61</v>
      </c>
      <c r="C347" s="25" t="s">
        <v>296</v>
      </c>
      <c r="D347" s="7" t="str">
        <f>VLOOKUP(A347,'Rozpočet 2024'!I:I,1,FALSE)</f>
        <v>2024_Podpora činnosti_Podpora akcí</v>
      </c>
      <c r="E347" s="7" t="s">
        <v>363</v>
      </c>
      <c r="F347" s="33">
        <v>45439.0</v>
      </c>
      <c r="H347" s="36" t="s">
        <v>119</v>
      </c>
      <c r="I347" s="42"/>
      <c r="J347" s="12">
        <v>1400.0</v>
      </c>
      <c r="K347" s="20">
        <f t="shared" si="10"/>
        <v>-1400</v>
      </c>
      <c r="L347" s="13"/>
      <c r="M347" s="13"/>
      <c r="N347" s="14">
        <f t="shared" si="4"/>
        <v>67087.08</v>
      </c>
      <c r="O347" s="54" t="s">
        <v>353</v>
      </c>
      <c r="Q347" s="15"/>
      <c r="R347" s="15"/>
      <c r="S347" s="15"/>
      <c r="T347" s="15"/>
      <c r="U347" s="15"/>
    </row>
    <row r="348">
      <c r="A348" s="6" t="str">
        <f t="shared" si="1"/>
        <v>2024_Podpora činnosti_Podpora akcí</v>
      </c>
      <c r="B348" s="28" t="s">
        <v>61</v>
      </c>
      <c r="C348" s="25" t="s">
        <v>296</v>
      </c>
      <c r="D348" s="7" t="str">
        <f>VLOOKUP(A348,'Rozpočet 2024'!I:I,1,FALSE)</f>
        <v>2024_Podpora činnosti_Podpora akcí</v>
      </c>
      <c r="E348" s="7" t="s">
        <v>364</v>
      </c>
      <c r="F348" s="33">
        <v>45444.0</v>
      </c>
      <c r="H348" s="36" t="s">
        <v>119</v>
      </c>
      <c r="I348" s="42"/>
      <c r="J348" s="12">
        <v>2000.0</v>
      </c>
      <c r="K348" s="20">
        <f t="shared" si="10"/>
        <v>-2000</v>
      </c>
      <c r="L348" s="13"/>
      <c r="M348" s="13"/>
      <c r="N348" s="14">
        <f t="shared" si="4"/>
        <v>65087.08</v>
      </c>
      <c r="O348" s="54" t="s">
        <v>353</v>
      </c>
      <c r="Q348" s="15"/>
      <c r="R348" s="15"/>
      <c r="S348" s="15"/>
      <c r="T348" s="15"/>
      <c r="U348" s="15"/>
    </row>
    <row r="349">
      <c r="A349" s="6" t="str">
        <f t="shared" si="1"/>
        <v>2024_Podpora činnosti_Podpora akcí</v>
      </c>
      <c r="B349" s="28" t="s">
        <v>61</v>
      </c>
      <c r="C349" s="25" t="s">
        <v>296</v>
      </c>
      <c r="D349" s="7" t="str">
        <f>VLOOKUP(A349,'Rozpočet 2024'!I:I,1,FALSE)</f>
        <v>2024_Podpora činnosti_Podpora akcí</v>
      </c>
      <c r="E349" s="7" t="s">
        <v>365</v>
      </c>
      <c r="F349" s="33">
        <v>45472.0</v>
      </c>
      <c r="H349" s="36" t="s">
        <v>119</v>
      </c>
      <c r="I349" s="42"/>
      <c r="J349" s="12">
        <v>2000.0</v>
      </c>
      <c r="K349" s="20">
        <f t="shared" si="10"/>
        <v>-2000</v>
      </c>
      <c r="L349" s="13"/>
      <c r="M349" s="13"/>
      <c r="N349" s="14">
        <f t="shared" si="4"/>
        <v>63087.08</v>
      </c>
      <c r="O349" s="54" t="s">
        <v>353</v>
      </c>
      <c r="Q349" s="15"/>
      <c r="R349" s="15"/>
      <c r="S349" s="15"/>
      <c r="T349" s="15"/>
      <c r="U349" s="15"/>
    </row>
    <row r="350">
      <c r="A350" s="6" t="str">
        <f t="shared" si="1"/>
        <v>2024_Běžný provoz_Příspěvky</v>
      </c>
      <c r="B350" s="17" t="s">
        <v>32</v>
      </c>
      <c r="C350" s="21" t="s">
        <v>34</v>
      </c>
      <c r="D350" s="7" t="str">
        <f>VLOOKUP(A350,'Rozpočet 2024'!I:I,1,FALSE)</f>
        <v>2024_Běžný provoz_Příspěvky</v>
      </c>
      <c r="E350" s="7" t="s">
        <v>366</v>
      </c>
      <c r="F350" s="29">
        <v>45490.0</v>
      </c>
      <c r="G350" s="32"/>
      <c r="H350" s="36" t="s">
        <v>252</v>
      </c>
      <c r="I350" s="12">
        <v>62800.0</v>
      </c>
      <c r="J350" s="42"/>
      <c r="K350" s="20">
        <f t="shared" si="10"/>
        <v>62800</v>
      </c>
      <c r="L350" s="13"/>
      <c r="M350" s="13"/>
      <c r="N350" s="14">
        <f t="shared" si="4"/>
        <v>125887.08</v>
      </c>
      <c r="O350" s="54" t="s">
        <v>353</v>
      </c>
      <c r="Q350" s="2" t="s">
        <v>16</v>
      </c>
      <c r="R350" s="2" t="s">
        <v>17</v>
      </c>
      <c r="S350" s="2" t="s">
        <v>18</v>
      </c>
      <c r="T350" s="2" t="s">
        <v>19</v>
      </c>
      <c r="U350" s="2" t="s">
        <v>367</v>
      </c>
    </row>
    <row r="351">
      <c r="A351" s="6" t="str">
        <f t="shared" si="1"/>
        <v>2024_Běžný provoz_Příspěvky</v>
      </c>
      <c r="B351" s="17" t="s">
        <v>32</v>
      </c>
      <c r="C351" s="21" t="s">
        <v>34</v>
      </c>
      <c r="D351" s="7" t="str">
        <f>VLOOKUP(A351,'Rozpočet 2024'!I:I,1,FALSE)</f>
        <v>2024_Běžný provoz_Příspěvky</v>
      </c>
      <c r="E351" s="7" t="s">
        <v>368</v>
      </c>
      <c r="F351" s="29">
        <v>45517.0</v>
      </c>
      <c r="G351" s="32"/>
      <c r="H351" s="36" t="s">
        <v>119</v>
      </c>
      <c r="I351" s="12">
        <v>2300.0</v>
      </c>
      <c r="J351" s="42"/>
      <c r="K351" s="20">
        <f t="shared" si="10"/>
        <v>2300</v>
      </c>
      <c r="L351" s="13"/>
      <c r="M351" s="13"/>
      <c r="N351" s="14">
        <f t="shared" si="4"/>
        <v>128187.08</v>
      </c>
      <c r="O351" s="54" t="s">
        <v>353</v>
      </c>
      <c r="Q351" s="15"/>
      <c r="R351" s="15"/>
      <c r="S351" s="15"/>
      <c r="T351" s="15"/>
      <c r="U351" s="15"/>
    </row>
    <row r="352">
      <c r="A352" s="6" t="str">
        <f t="shared" si="1"/>
        <v>2024_Běžný provoz_Výdaje ostatní</v>
      </c>
      <c r="B352" s="17" t="s">
        <v>32</v>
      </c>
      <c r="C352" s="7" t="s">
        <v>165</v>
      </c>
      <c r="D352" s="7" t="str">
        <f>VLOOKUP(A352,'Rozpočet 2024'!I:I,1,FALSE)</f>
        <v>2024_Běžný provoz_Výdaje ostatní</v>
      </c>
      <c r="E352" s="7" t="s">
        <v>369</v>
      </c>
      <c r="F352" s="33">
        <v>45523.0</v>
      </c>
      <c r="H352" s="36" t="s">
        <v>119</v>
      </c>
      <c r="I352" s="42"/>
      <c r="J352" s="12">
        <v>555.0</v>
      </c>
      <c r="K352" s="20">
        <f t="shared" si="10"/>
        <v>-555</v>
      </c>
      <c r="L352" s="13"/>
      <c r="M352" s="13"/>
      <c r="N352" s="14">
        <f t="shared" si="4"/>
        <v>127632.08</v>
      </c>
      <c r="O352" s="54" t="s">
        <v>353</v>
      </c>
      <c r="Q352" s="15"/>
      <c r="R352" s="15"/>
      <c r="S352" s="15"/>
      <c r="T352" s="15"/>
      <c r="U352" s="15"/>
    </row>
    <row r="353">
      <c r="A353" s="6" t="str">
        <f t="shared" si="1"/>
        <v>2024_Běžný provoz_Údržba vleků</v>
      </c>
      <c r="B353" s="17" t="s">
        <v>32</v>
      </c>
      <c r="C353" s="7" t="s">
        <v>71</v>
      </c>
      <c r="D353" s="7" t="str">
        <f>VLOOKUP(A353,'Rozpočet 2024'!I:I,1,FALSE)</f>
        <v>2024_Běžný provoz_Údržba vleků</v>
      </c>
      <c r="E353" s="7" t="s">
        <v>370</v>
      </c>
      <c r="F353" s="33">
        <v>45542.0</v>
      </c>
      <c r="H353" s="36" t="s">
        <v>119</v>
      </c>
      <c r="I353" s="42"/>
      <c r="J353" s="12">
        <v>2140.0</v>
      </c>
      <c r="K353" s="20">
        <f t="shared" si="10"/>
        <v>-2140</v>
      </c>
      <c r="L353" s="13"/>
      <c r="M353" s="13"/>
      <c r="N353" s="14">
        <f t="shared" si="4"/>
        <v>125492.08</v>
      </c>
      <c r="O353" s="54" t="s">
        <v>353</v>
      </c>
      <c r="Q353" s="15"/>
      <c r="R353" s="15"/>
      <c r="S353" s="15"/>
      <c r="T353" s="15"/>
      <c r="U353" s="15"/>
    </row>
    <row r="354">
      <c r="A354" s="6" t="str">
        <f t="shared" si="1"/>
        <v>2024_Hamerák-akce_Náklady příprava</v>
      </c>
      <c r="B354" s="23" t="s">
        <v>37</v>
      </c>
      <c r="C354" s="50" t="s">
        <v>158</v>
      </c>
      <c r="D354" s="7" t="str">
        <f>VLOOKUP(A354,'Rozpočet 2024'!I:I,1,FALSE)</f>
        <v>2024_Hamerák-akce_Náklady příprava</v>
      </c>
      <c r="E354" s="7" t="s">
        <v>371</v>
      </c>
      <c r="F354" s="33">
        <v>45586.0</v>
      </c>
      <c r="H354" s="36" t="s">
        <v>119</v>
      </c>
      <c r="I354" s="42"/>
      <c r="J354" s="12"/>
      <c r="K354" s="20">
        <f t="shared" si="10"/>
        <v>0</v>
      </c>
      <c r="L354" s="13"/>
      <c r="M354" s="12">
        <v>198.0</v>
      </c>
      <c r="N354" s="14">
        <f t="shared" si="4"/>
        <v>125492.08</v>
      </c>
      <c r="O354" s="54" t="s">
        <v>353</v>
      </c>
      <c r="P354" s="7" t="s">
        <v>347</v>
      </c>
      <c r="Q354" s="15"/>
      <c r="R354" s="15"/>
      <c r="S354" s="15"/>
      <c r="T354" s="15"/>
      <c r="U354" s="15"/>
    </row>
    <row r="355">
      <c r="A355" s="6" t="str">
        <f t="shared" si="1"/>
        <v>2024_Hamerák-akce_Náklady příprava</v>
      </c>
      <c r="B355" s="23" t="s">
        <v>37</v>
      </c>
      <c r="C355" s="50" t="s">
        <v>158</v>
      </c>
      <c r="D355" s="7" t="str">
        <f>VLOOKUP(A355,'Rozpočet 2024'!I:I,1,FALSE)</f>
        <v>2024_Hamerák-akce_Náklady příprava</v>
      </c>
      <c r="E355" s="7" t="s">
        <v>372</v>
      </c>
      <c r="F355" s="33">
        <v>45586.0</v>
      </c>
      <c r="H355" s="36" t="s">
        <v>119</v>
      </c>
      <c r="I355" s="42"/>
      <c r="J355" s="12"/>
      <c r="K355" s="20">
        <f t="shared" si="10"/>
        <v>0</v>
      </c>
      <c r="L355" s="13"/>
      <c r="M355" s="12">
        <v>444.0</v>
      </c>
      <c r="N355" s="14">
        <f t="shared" si="4"/>
        <v>125492.08</v>
      </c>
      <c r="O355" s="54" t="s">
        <v>353</v>
      </c>
      <c r="P355" s="7" t="s">
        <v>347</v>
      </c>
      <c r="Q355" s="15"/>
      <c r="R355" s="15"/>
      <c r="S355" s="15"/>
      <c r="T355" s="15"/>
      <c r="U355" s="15"/>
    </row>
    <row r="356">
      <c r="A356" s="6" t="str">
        <f t="shared" si="1"/>
        <v>2024_Hamerák-akce_Náklady příprava</v>
      </c>
      <c r="B356" s="23" t="s">
        <v>37</v>
      </c>
      <c r="C356" s="50" t="s">
        <v>158</v>
      </c>
      <c r="D356" s="7" t="str">
        <f>VLOOKUP(A356,'Rozpočet 2024'!I:I,1,FALSE)</f>
        <v>2024_Hamerák-akce_Náklady příprava</v>
      </c>
      <c r="E356" s="7" t="s">
        <v>373</v>
      </c>
      <c r="F356" s="33">
        <v>45590.0</v>
      </c>
      <c r="H356" s="36" t="s">
        <v>119</v>
      </c>
      <c r="I356" s="42"/>
      <c r="J356" s="12"/>
      <c r="K356" s="20">
        <f t="shared" si="10"/>
        <v>0</v>
      </c>
      <c r="L356" s="13"/>
      <c r="M356" s="12">
        <v>396.0</v>
      </c>
      <c r="N356" s="14">
        <f t="shared" si="4"/>
        <v>125492.08</v>
      </c>
      <c r="O356" s="54" t="s">
        <v>353</v>
      </c>
      <c r="P356" s="7" t="s">
        <v>347</v>
      </c>
      <c r="Q356" s="15"/>
      <c r="R356" s="15"/>
      <c r="S356" s="15"/>
      <c r="T356" s="15"/>
      <c r="U356" s="15"/>
    </row>
    <row r="357">
      <c r="A357" s="6" t="str">
        <f t="shared" si="1"/>
        <v>2024_Hamerák-akce_Náklady příprava</v>
      </c>
      <c r="B357" s="23" t="s">
        <v>37</v>
      </c>
      <c r="C357" s="50" t="s">
        <v>158</v>
      </c>
      <c r="D357" s="7" t="str">
        <f>VLOOKUP(A357,'Rozpočet 2024'!I:I,1,FALSE)</f>
        <v>2024_Hamerák-akce_Náklady příprava</v>
      </c>
      <c r="E357" s="7" t="s">
        <v>374</v>
      </c>
      <c r="F357" s="33">
        <v>45593.0</v>
      </c>
      <c r="H357" s="36" t="s">
        <v>119</v>
      </c>
      <c r="I357" s="42"/>
      <c r="J357" s="12"/>
      <c r="K357" s="20">
        <f t="shared" si="10"/>
        <v>0</v>
      </c>
      <c r="L357" s="13"/>
      <c r="M357" s="12">
        <v>4347.0</v>
      </c>
      <c r="N357" s="14">
        <f t="shared" si="4"/>
        <v>125492.08</v>
      </c>
      <c r="O357" s="54" t="s">
        <v>353</v>
      </c>
      <c r="P357" s="7" t="s">
        <v>347</v>
      </c>
      <c r="Q357" s="15"/>
      <c r="R357" s="15"/>
      <c r="S357" s="15"/>
      <c r="T357" s="15"/>
      <c r="U357" s="15"/>
    </row>
    <row r="358">
      <c r="A358" s="6" t="str">
        <f t="shared" si="1"/>
        <v>2024_Hamerák-akce_Náklady příprava</v>
      </c>
      <c r="B358" s="23" t="s">
        <v>37</v>
      </c>
      <c r="C358" s="50" t="s">
        <v>158</v>
      </c>
      <c r="D358" s="7" t="str">
        <f>VLOOKUP(A358,'Rozpočet 2024'!I:I,1,FALSE)</f>
        <v>2024_Hamerák-akce_Náklady příprava</v>
      </c>
      <c r="E358" s="7" t="s">
        <v>375</v>
      </c>
      <c r="F358" s="33">
        <v>45600.0</v>
      </c>
      <c r="H358" s="36" t="s">
        <v>119</v>
      </c>
      <c r="I358" s="42"/>
      <c r="J358" s="12"/>
      <c r="K358" s="20">
        <f t="shared" si="10"/>
        <v>0</v>
      </c>
      <c r="L358" s="13"/>
      <c r="M358" s="12">
        <v>1245.0</v>
      </c>
      <c r="N358" s="14">
        <f t="shared" si="4"/>
        <v>125492.08</v>
      </c>
      <c r="O358" s="54" t="s">
        <v>353</v>
      </c>
      <c r="P358" s="7" t="s">
        <v>347</v>
      </c>
      <c r="Q358" s="15"/>
      <c r="R358" s="15"/>
      <c r="S358" s="15"/>
      <c r="T358" s="15"/>
      <c r="U358" s="15"/>
    </row>
    <row r="359">
      <c r="A359" s="6" t="str">
        <f t="shared" si="1"/>
        <v>2024_Hamerák-akce_Náklady příprava</v>
      </c>
      <c r="B359" s="23" t="s">
        <v>37</v>
      </c>
      <c r="C359" s="50" t="s">
        <v>158</v>
      </c>
      <c r="D359" s="7" t="str">
        <f>VLOOKUP(A359,'Rozpočet 2024'!I:I,1,FALSE)</f>
        <v>2024_Hamerák-akce_Náklady příprava</v>
      </c>
      <c r="E359" s="7" t="s">
        <v>376</v>
      </c>
      <c r="F359" s="33">
        <v>45600.0</v>
      </c>
      <c r="H359" s="36" t="s">
        <v>119</v>
      </c>
      <c r="I359" s="42"/>
      <c r="J359" s="12"/>
      <c r="K359" s="20">
        <f t="shared" si="10"/>
        <v>0</v>
      </c>
      <c r="L359" s="13"/>
      <c r="M359" s="12">
        <v>1000.0</v>
      </c>
      <c r="N359" s="14">
        <f t="shared" si="4"/>
        <v>125492.08</v>
      </c>
      <c r="O359" s="54" t="s">
        <v>353</v>
      </c>
      <c r="P359" s="7" t="s">
        <v>347</v>
      </c>
      <c r="Q359" s="15"/>
      <c r="R359" s="15"/>
      <c r="S359" s="15"/>
      <c r="T359" s="15"/>
      <c r="U359" s="15"/>
    </row>
    <row r="360">
      <c r="A360" s="6" t="str">
        <f t="shared" si="1"/>
        <v>2024_Hamerák-akce_Hamerák finance</v>
      </c>
      <c r="B360" s="23" t="s">
        <v>37</v>
      </c>
      <c r="C360" s="24" t="s">
        <v>95</v>
      </c>
      <c r="D360" s="7" t="str">
        <f>VLOOKUP(A360,'Rozpočet 2024'!I:I,1,FALSE)</f>
        <v>2024_Hamerák-akce_Hamerák finance</v>
      </c>
      <c r="E360" s="7" t="s">
        <v>99</v>
      </c>
      <c r="F360" s="56">
        <v>45616.0</v>
      </c>
      <c r="H360" s="36" t="s">
        <v>125</v>
      </c>
      <c r="I360" s="12"/>
      <c r="J360" s="12"/>
      <c r="K360" s="20">
        <f t="shared" si="10"/>
        <v>0</v>
      </c>
      <c r="L360" s="13"/>
      <c r="M360" s="12">
        <v>85000.0</v>
      </c>
      <c r="N360" s="14">
        <f t="shared" si="4"/>
        <v>125492.08</v>
      </c>
      <c r="O360" s="54" t="s">
        <v>353</v>
      </c>
      <c r="P360" s="7" t="s">
        <v>347</v>
      </c>
      <c r="Q360" s="15"/>
      <c r="R360" s="15"/>
      <c r="S360" s="15"/>
      <c r="T360" s="15"/>
      <c r="U360" s="15"/>
    </row>
    <row r="361">
      <c r="A361" s="6" t="str">
        <f t="shared" si="1"/>
        <v>2024_Běžný provoz_Příspěvky</v>
      </c>
      <c r="B361" s="17" t="s">
        <v>32</v>
      </c>
      <c r="C361" s="21" t="s">
        <v>34</v>
      </c>
      <c r="D361" s="7" t="str">
        <f>VLOOKUP(A361,'Rozpočet 2024'!I:I,1,FALSE)</f>
        <v>2024_Běžný provoz_Příspěvky</v>
      </c>
      <c r="E361" s="7" t="s">
        <v>270</v>
      </c>
      <c r="F361" s="29">
        <v>45626.0</v>
      </c>
      <c r="G361" s="32"/>
      <c r="H361" s="36" t="s">
        <v>344</v>
      </c>
      <c r="I361" s="12">
        <v>2300.0</v>
      </c>
      <c r="J361" s="42"/>
      <c r="K361" s="20">
        <f t="shared" si="10"/>
        <v>2300</v>
      </c>
      <c r="L361" s="13"/>
      <c r="M361" s="42"/>
      <c r="N361" s="14">
        <f t="shared" si="4"/>
        <v>127792.08</v>
      </c>
      <c r="O361" s="54" t="s">
        <v>353</v>
      </c>
      <c r="Q361" s="15"/>
      <c r="R361" s="15"/>
      <c r="S361" s="15"/>
      <c r="T361" s="15"/>
      <c r="U361" s="15"/>
    </row>
    <row r="362">
      <c r="A362" s="6" t="str">
        <f t="shared" si="1"/>
        <v>2024_Běžný provoz_Ostatní</v>
      </c>
      <c r="B362" s="17" t="s">
        <v>32</v>
      </c>
      <c r="C362" s="7" t="s">
        <v>377</v>
      </c>
      <c r="D362" s="7" t="str">
        <f>VLOOKUP(A362,'Rozpočet 2024'!I:I,1,FALSE)</f>
        <v>2024_Běžný provoz_Ostatní</v>
      </c>
      <c r="E362" s="7" t="s">
        <v>378</v>
      </c>
      <c r="F362" s="33">
        <v>45628.0</v>
      </c>
      <c r="H362" s="36" t="s">
        <v>119</v>
      </c>
      <c r="I362" s="12">
        <v>2954.46</v>
      </c>
      <c r="J362" s="42"/>
      <c r="K362" s="20">
        <f t="shared" si="10"/>
        <v>2954.46</v>
      </c>
      <c r="L362" s="13"/>
      <c r="M362" s="42"/>
      <c r="N362" s="14">
        <f t="shared" si="4"/>
        <v>130746.54</v>
      </c>
      <c r="O362" s="54" t="s">
        <v>353</v>
      </c>
      <c r="Q362" s="15"/>
      <c r="R362" s="15"/>
      <c r="S362" s="15"/>
      <c r="T362" s="15"/>
      <c r="U362" s="15"/>
    </row>
    <row r="363">
      <c r="A363" s="6" t="str">
        <f t="shared" si="1"/>
        <v>2024_Hamerák-akce_Náklady příprava</v>
      </c>
      <c r="B363" s="23" t="s">
        <v>37</v>
      </c>
      <c r="C363" s="50" t="s">
        <v>158</v>
      </c>
      <c r="D363" s="7" t="str">
        <f>VLOOKUP(A363,'Rozpočet 2024'!I:I,1,FALSE)</f>
        <v>2024_Hamerák-akce_Náklady příprava</v>
      </c>
      <c r="E363" s="7" t="s">
        <v>379</v>
      </c>
      <c r="F363" s="33">
        <v>45646.0</v>
      </c>
      <c r="H363" s="36" t="s">
        <v>119</v>
      </c>
      <c r="I363" s="42"/>
      <c r="J363" s="12"/>
      <c r="K363" s="20">
        <f t="shared" si="10"/>
        <v>0</v>
      </c>
      <c r="L363" s="13"/>
      <c r="M363" s="12">
        <v>2265.0</v>
      </c>
      <c r="N363" s="14">
        <f t="shared" si="4"/>
        <v>130746.54</v>
      </c>
      <c r="O363" s="54" t="s">
        <v>353</v>
      </c>
      <c r="P363" s="7" t="s">
        <v>347</v>
      </c>
      <c r="Q363" s="15"/>
      <c r="R363" s="15"/>
      <c r="S363" s="15"/>
      <c r="T363" s="15"/>
      <c r="U363" s="15"/>
    </row>
    <row r="364">
      <c r="A364" s="6" t="str">
        <f t="shared" si="1"/>
        <v>2024_Hamerák-akce_Hamerák finance</v>
      </c>
      <c r="B364" s="23" t="s">
        <v>37</v>
      </c>
      <c r="C364" s="24" t="s">
        <v>95</v>
      </c>
      <c r="D364" s="7" t="str">
        <f>VLOOKUP(A364,'Rozpočet 2024'!I:I,1,FALSE)</f>
        <v>2024_Hamerák-akce_Hamerák finance</v>
      </c>
      <c r="E364" s="7" t="s">
        <v>380</v>
      </c>
      <c r="F364" s="33">
        <v>45646.0</v>
      </c>
      <c r="H364" s="36" t="s">
        <v>344</v>
      </c>
      <c r="I364" s="12">
        <v>27578.0</v>
      </c>
      <c r="J364" s="42"/>
      <c r="K364" s="20">
        <f t="shared" si="10"/>
        <v>27578</v>
      </c>
      <c r="L364" s="13"/>
      <c r="M364" s="13"/>
      <c r="N364" s="14">
        <f t="shared" si="4"/>
        <v>158324.54</v>
      </c>
      <c r="O364" s="54" t="s">
        <v>353</v>
      </c>
      <c r="Q364" s="15"/>
      <c r="R364" s="15"/>
      <c r="S364" s="15"/>
      <c r="T364" s="15"/>
      <c r="U364" s="15"/>
    </row>
    <row r="365">
      <c r="A365" s="6" t="str">
        <f t="shared" si="1"/>
        <v>2024__</v>
      </c>
      <c r="D365" s="7" t="str">
        <f>VLOOKUP(A365,'Rozpočet 2024'!I:I,1,FALSE)</f>
        <v>#N/A</v>
      </c>
      <c r="E365" s="7" t="s">
        <v>381</v>
      </c>
      <c r="F365" s="33">
        <v>45657.0</v>
      </c>
      <c r="H365" s="40"/>
      <c r="I365" s="42"/>
      <c r="J365" s="42"/>
      <c r="K365" s="20">
        <f t="shared" si="10"/>
        <v>0</v>
      </c>
      <c r="L365" s="13"/>
      <c r="M365" s="13"/>
      <c r="N365" s="14">
        <f t="shared" si="4"/>
        <v>158324.54</v>
      </c>
      <c r="O365" s="54" t="s">
        <v>353</v>
      </c>
      <c r="Q365" s="15">
        <v>-2487.0</v>
      </c>
      <c r="R365" s="15">
        <f>4442.05-263.05-271.93</f>
        <v>3907.07</v>
      </c>
      <c r="S365" s="15">
        <v>0.0</v>
      </c>
      <c r="T365" s="15">
        <f>17500+4900+34854</f>
        <v>57254</v>
      </c>
      <c r="U365" s="15">
        <v>99650.0</v>
      </c>
      <c r="V365" s="14">
        <f t="shared" ref="V365:V366" si="25">IF(ISBLANK(Q365),"",SUM(Q365:U365)-N365)</f>
        <v>-0.47</v>
      </c>
    </row>
    <row r="366">
      <c r="A366" s="6" t="str">
        <f t="shared" si="1"/>
        <v>2024__</v>
      </c>
      <c r="D366" s="7" t="str">
        <f>VLOOKUP(A366,'Rozpočet 2022'!J:J,1,FALSE)</f>
        <v>#N/A</v>
      </c>
      <c r="E366" s="57" t="s">
        <v>382</v>
      </c>
      <c r="F366" s="58">
        <v>45704.0</v>
      </c>
      <c r="H366" s="19"/>
      <c r="I366" s="12"/>
      <c r="J366" s="12"/>
      <c r="K366" s="20">
        <f t="shared" si="10"/>
        <v>0</v>
      </c>
      <c r="L366" s="13"/>
      <c r="M366" s="13"/>
      <c r="N366" s="14">
        <f t="shared" si="4"/>
        <v>158324.54</v>
      </c>
      <c r="O366" s="6" t="s">
        <v>353</v>
      </c>
      <c r="P366" s="14"/>
      <c r="Q366" s="15"/>
      <c r="R366" s="15"/>
      <c r="S366" s="15"/>
      <c r="T366" s="15"/>
      <c r="U366" s="15"/>
      <c r="V366" s="14" t="str">
        <f t="shared" si="25"/>
        <v/>
      </c>
      <c r="X366" s="16"/>
      <c r="Z366" s="16"/>
    </row>
    <row r="367">
      <c r="A367" s="6" t="str">
        <f t="shared" si="1"/>
        <v>2025__</v>
      </c>
      <c r="D367" s="7" t="str">
        <f>VLOOKUP(A367,'Rozpočet 2025'!I:I,1,FALSE)</f>
        <v>#N/A</v>
      </c>
      <c r="F367" s="33">
        <v>45765.0</v>
      </c>
      <c r="H367" s="36"/>
      <c r="I367" s="42"/>
      <c r="J367" s="42"/>
      <c r="K367" s="20">
        <f t="shared" si="10"/>
        <v>0</v>
      </c>
      <c r="L367" s="13"/>
      <c r="M367" s="13"/>
      <c r="N367" s="14">
        <f t="shared" si="4"/>
        <v>158324.54</v>
      </c>
      <c r="O367" s="59" t="s">
        <v>383</v>
      </c>
      <c r="Q367" s="15"/>
      <c r="R367" s="15"/>
      <c r="S367" s="15"/>
      <c r="T367" s="15"/>
      <c r="U367" s="15"/>
    </row>
    <row r="368">
      <c r="A368" s="6" t="str">
        <f t="shared" si="1"/>
        <v>2025_Běžný provoz_Interní nájmy</v>
      </c>
      <c r="B368" s="17" t="s">
        <v>32</v>
      </c>
      <c r="C368" s="27" t="s">
        <v>49</v>
      </c>
      <c r="D368" s="7" t="str">
        <f>VLOOKUP(A368,'Rozpočet 2025'!I:I,1,FALSE)</f>
        <v>2025_Běžný provoz_Interní nájmy</v>
      </c>
      <c r="E368" s="7" t="s">
        <v>49</v>
      </c>
      <c r="F368" s="39">
        <v>45680.0</v>
      </c>
      <c r="H368" s="19" t="s">
        <v>125</v>
      </c>
      <c r="I368" s="12"/>
      <c r="J368" s="12">
        <v>25316.0</v>
      </c>
      <c r="K368" s="20">
        <f t="shared" si="10"/>
        <v>-25316</v>
      </c>
      <c r="L368" s="13"/>
      <c r="M368" s="13"/>
      <c r="N368" s="14">
        <f t="shared" si="4"/>
        <v>133008.54</v>
      </c>
      <c r="O368" s="59" t="s">
        <v>383</v>
      </c>
      <c r="Q368" s="44"/>
      <c r="R368" s="44"/>
      <c r="S368" s="44"/>
      <c r="T368" s="44"/>
      <c r="U368" s="44"/>
    </row>
    <row r="369">
      <c r="A369" s="6" t="str">
        <f t="shared" si="1"/>
        <v>2025_Podpora činnosti_Podpora akcí</v>
      </c>
      <c r="B369" s="28" t="s">
        <v>61</v>
      </c>
      <c r="C369" s="25" t="s">
        <v>296</v>
      </c>
      <c r="D369" s="7" t="str">
        <f>VLOOKUP(A369,'Rozpočet 2025'!I:I,1,FALSE)</f>
        <v>2025_Podpora činnosti_Podpora akcí</v>
      </c>
      <c r="E369" s="7" t="s">
        <v>356</v>
      </c>
      <c r="F369" s="33">
        <v>45706.0</v>
      </c>
      <c r="H369" s="36" t="s">
        <v>344</v>
      </c>
      <c r="I369" s="42"/>
      <c r="J369" s="42">
        <f>992+1718.2-3*160</f>
        <v>2230.2</v>
      </c>
      <c r="K369" s="20">
        <f t="shared" si="10"/>
        <v>-2230.2</v>
      </c>
      <c r="L369" s="13"/>
      <c r="M369" s="13"/>
      <c r="N369" s="14">
        <f t="shared" si="4"/>
        <v>130778.34</v>
      </c>
      <c r="O369" s="59" t="s">
        <v>383</v>
      </c>
      <c r="Q369" s="15"/>
      <c r="R369" s="15"/>
      <c r="S369" s="15"/>
      <c r="T369" s="15"/>
      <c r="U369" s="15"/>
    </row>
    <row r="370">
      <c r="A370" s="6" t="str">
        <f t="shared" si="1"/>
        <v>2025_Běžný provoz_Příspěvky</v>
      </c>
      <c r="B370" s="17" t="s">
        <v>32</v>
      </c>
      <c r="C370" s="21" t="s">
        <v>34</v>
      </c>
      <c r="D370" s="7" t="str">
        <f>VLOOKUP(A370,'Rozpočet 2025'!I:I,1,FALSE)</f>
        <v>2025_Běžný provoz_Příspěvky</v>
      </c>
      <c r="E370" s="7" t="s">
        <v>384</v>
      </c>
      <c r="F370" s="33">
        <v>45715.0</v>
      </c>
      <c r="H370" s="36" t="s">
        <v>252</v>
      </c>
      <c r="I370" s="12">
        <v>34300.0</v>
      </c>
      <c r="J370" s="42"/>
      <c r="K370" s="20">
        <f t="shared" si="10"/>
        <v>34300</v>
      </c>
      <c r="L370" s="13"/>
      <c r="M370" s="13"/>
      <c r="N370" s="14">
        <f t="shared" si="4"/>
        <v>165078.34</v>
      </c>
      <c r="O370" s="59" t="s">
        <v>383</v>
      </c>
      <c r="Q370" s="15"/>
      <c r="R370" s="15"/>
      <c r="S370" s="15"/>
      <c r="T370" s="15"/>
      <c r="U370" s="15"/>
    </row>
    <row r="371">
      <c r="A371" s="6" t="str">
        <f t="shared" si="1"/>
        <v>2025_Běžný provoz_Příspěvky TJ Bohemians</v>
      </c>
      <c r="B371" s="17" t="s">
        <v>32</v>
      </c>
      <c r="C371" s="21" t="s">
        <v>385</v>
      </c>
      <c r="D371" s="7" t="str">
        <f>VLOOKUP(A371,'Rozpočet 2025'!I:I,1,FALSE)</f>
        <v>2025_Běžný provoz_Příspěvky TJ Bohemians</v>
      </c>
      <c r="E371" s="7" t="s">
        <v>385</v>
      </c>
      <c r="F371" s="33">
        <v>45729.0</v>
      </c>
      <c r="H371" s="40"/>
      <c r="I371" s="42"/>
      <c r="J371" s="12">
        <v>4800.0</v>
      </c>
      <c r="K371" s="20">
        <f t="shared" si="10"/>
        <v>-4800</v>
      </c>
      <c r="L371" s="13"/>
      <c r="M371" s="13"/>
      <c r="N371" s="14">
        <f t="shared" si="4"/>
        <v>160278.34</v>
      </c>
      <c r="O371" s="59" t="s">
        <v>383</v>
      </c>
      <c r="Q371" s="44"/>
      <c r="R371" s="44"/>
      <c r="S371" s="44"/>
      <c r="T371" s="44"/>
      <c r="U371" s="44"/>
    </row>
    <row r="372">
      <c r="A372" s="6" t="str">
        <f t="shared" si="1"/>
        <v>2025_Běžný provoz_Příspěvky ČSK</v>
      </c>
      <c r="B372" s="17" t="s">
        <v>32</v>
      </c>
      <c r="C372" s="21" t="s">
        <v>33</v>
      </c>
      <c r="D372" s="7" t="str">
        <f>VLOOKUP(A372,'Rozpočet 2025'!I:I,1,FALSE)</f>
        <v>2025_Běžný provoz_Příspěvky ČSK</v>
      </c>
      <c r="E372" s="7" t="s">
        <v>139</v>
      </c>
      <c r="F372" s="33">
        <v>45732.0</v>
      </c>
      <c r="H372" s="36" t="s">
        <v>119</v>
      </c>
      <c r="I372" s="12">
        <v>16560.0</v>
      </c>
      <c r="J372" s="12">
        <v>18400.0</v>
      </c>
      <c r="K372" s="20">
        <f t="shared" si="10"/>
        <v>-1840</v>
      </c>
      <c r="L372" s="13"/>
      <c r="M372" s="13"/>
      <c r="N372" s="14">
        <f t="shared" si="4"/>
        <v>158438.34</v>
      </c>
      <c r="O372" s="59" t="s">
        <v>383</v>
      </c>
      <c r="Q372" s="44"/>
      <c r="R372" s="44"/>
      <c r="S372" s="44"/>
      <c r="T372" s="44"/>
      <c r="U372" s="44"/>
    </row>
    <row r="373">
      <c r="A373" s="6" t="str">
        <f t="shared" si="1"/>
        <v>2025_Běžný provoz_Interní nájmy</v>
      </c>
      <c r="B373" s="17" t="s">
        <v>32</v>
      </c>
      <c r="C373" s="27" t="s">
        <v>49</v>
      </c>
      <c r="D373" s="7" t="str">
        <f>VLOOKUP(A373,'Rozpočet 2025'!I:I,1,FALSE)</f>
        <v>2025_Běžný provoz_Interní nájmy</v>
      </c>
      <c r="E373" s="7" t="s">
        <v>49</v>
      </c>
      <c r="F373" s="39">
        <v>45756.0</v>
      </c>
      <c r="H373" s="40"/>
      <c r="I373" s="42"/>
      <c r="J373" s="12">
        <v>22806.0</v>
      </c>
      <c r="K373" s="20">
        <f t="shared" si="10"/>
        <v>-22806</v>
      </c>
      <c r="L373" s="13"/>
      <c r="M373" s="13"/>
      <c r="N373" s="14">
        <f t="shared" si="4"/>
        <v>135632.34</v>
      </c>
      <c r="O373" s="59" t="s">
        <v>383</v>
      </c>
      <c r="Q373" s="44"/>
      <c r="R373" s="44"/>
      <c r="S373" s="44"/>
      <c r="T373" s="44"/>
      <c r="U373" s="44"/>
    </row>
    <row r="374">
      <c r="A374" s="6" t="str">
        <f t="shared" si="1"/>
        <v>2025_Běžný provoz_Příspěvky</v>
      </c>
      <c r="B374" s="17" t="s">
        <v>32</v>
      </c>
      <c r="C374" s="21" t="s">
        <v>34</v>
      </c>
      <c r="D374" s="7" t="str">
        <f>VLOOKUP(A374,'Rozpočet 2025'!I:I,1,FALSE)</f>
        <v>2025_Běžný provoz_Příspěvky</v>
      </c>
      <c r="E374" s="7" t="s">
        <v>386</v>
      </c>
      <c r="F374" s="33">
        <v>45832.0</v>
      </c>
      <c r="H374" s="36" t="s">
        <v>252</v>
      </c>
      <c r="I374" s="12">
        <v>22300.0</v>
      </c>
      <c r="J374" s="42"/>
      <c r="K374" s="20">
        <f t="shared" si="10"/>
        <v>22300</v>
      </c>
      <c r="L374" s="13"/>
      <c r="M374" s="13"/>
      <c r="N374" s="14">
        <f t="shared" si="4"/>
        <v>157932.34</v>
      </c>
      <c r="O374" s="59" t="s">
        <v>383</v>
      </c>
      <c r="Q374" s="15"/>
      <c r="R374" s="15"/>
      <c r="S374" s="15"/>
      <c r="T374" s="15"/>
      <c r="U374" s="15"/>
    </row>
    <row r="375">
      <c r="A375" s="6" t="str">
        <f t="shared" si="1"/>
        <v>2025_Běžný provoz_Interní nájmy</v>
      </c>
      <c r="B375" s="17" t="s">
        <v>32</v>
      </c>
      <c r="C375" s="27" t="s">
        <v>49</v>
      </c>
      <c r="D375" s="7" t="str">
        <f>VLOOKUP(A375,'Rozpočet 2025'!I:I,1,FALSE)</f>
        <v>2025_Běžný provoz_Interní nájmy</v>
      </c>
      <c r="E375" s="7" t="s">
        <v>49</v>
      </c>
      <c r="F375" s="39">
        <v>45860.0</v>
      </c>
      <c r="H375" s="40"/>
      <c r="I375" s="42"/>
      <c r="J375" s="12">
        <v>11756.0</v>
      </c>
      <c r="K375" s="20">
        <f t="shared" si="10"/>
        <v>-11756</v>
      </c>
      <c r="L375" s="13"/>
      <c r="M375" s="13"/>
      <c r="N375" s="14">
        <f t="shared" si="4"/>
        <v>146176.34</v>
      </c>
      <c r="O375" s="59" t="s">
        <v>383</v>
      </c>
      <c r="Q375" s="44"/>
      <c r="R375" s="44"/>
      <c r="S375" s="44"/>
      <c r="T375" s="44"/>
      <c r="U375" s="44"/>
    </row>
    <row r="376">
      <c r="A376" s="6" t="str">
        <f t="shared" si="1"/>
        <v>2025_Běžný provoz_Interní nájmy</v>
      </c>
      <c r="B376" s="17" t="s">
        <v>32</v>
      </c>
      <c r="C376" s="27" t="s">
        <v>49</v>
      </c>
      <c r="D376" s="7" t="str">
        <f>VLOOKUP(A376,'Rozpočet 2025'!I:I,1,FALSE)</f>
        <v>2025_Běžný provoz_Interní nájmy</v>
      </c>
      <c r="E376" s="7" t="s">
        <v>49</v>
      </c>
      <c r="F376" s="39">
        <v>45952.0</v>
      </c>
      <c r="H376" s="40"/>
      <c r="I376" s="42"/>
      <c r="J376" s="12">
        <v>25036.0</v>
      </c>
      <c r="K376" s="20">
        <f t="shared" si="10"/>
        <v>-25036</v>
      </c>
      <c r="L376" s="13"/>
      <c r="M376" s="13"/>
      <c r="N376" s="14">
        <f t="shared" si="4"/>
        <v>121140.34</v>
      </c>
      <c r="O376" s="59" t="s">
        <v>383</v>
      </c>
      <c r="Q376" s="44"/>
      <c r="R376" s="44"/>
      <c r="S376" s="44"/>
      <c r="T376" s="44"/>
      <c r="U376" s="44"/>
    </row>
    <row r="377">
      <c r="A377" s="6" t="str">
        <f t="shared" si="1"/>
        <v>2025_Běžný provoz_Ostatní</v>
      </c>
      <c r="B377" s="17" t="s">
        <v>32</v>
      </c>
      <c r="C377" s="7" t="s">
        <v>377</v>
      </c>
      <c r="D377" s="7" t="str">
        <f>VLOOKUP(A377,'Rozpočet 2025'!I:I,1,FALSE)</f>
        <v>2025_Běžný provoz_Ostatní</v>
      </c>
      <c r="E377" s="7" t="s">
        <v>387</v>
      </c>
      <c r="F377" s="33">
        <v>45992.0</v>
      </c>
      <c r="H377" s="36" t="s">
        <v>119</v>
      </c>
      <c r="I377" s="12">
        <v>2755.74</v>
      </c>
      <c r="J377" s="42"/>
      <c r="K377" s="20">
        <f t="shared" si="10"/>
        <v>2755.74</v>
      </c>
      <c r="L377" s="13"/>
      <c r="M377" s="13"/>
      <c r="N377" s="14">
        <f t="shared" si="4"/>
        <v>123896.08</v>
      </c>
      <c r="O377" s="59" t="s">
        <v>383</v>
      </c>
      <c r="Q377" s="15"/>
      <c r="R377" s="15"/>
      <c r="S377" s="15"/>
      <c r="T377" s="15"/>
      <c r="U377" s="15"/>
    </row>
    <row r="378">
      <c r="A378" s="6" t="str">
        <f t="shared" si="1"/>
        <v>2025_Hamerák-akce_Hamerák finance</v>
      </c>
      <c r="B378" s="23" t="s">
        <v>37</v>
      </c>
      <c r="C378" s="24" t="s">
        <v>95</v>
      </c>
      <c r="D378" s="7" t="str">
        <f>VLOOKUP(A378,'Rozpočet 2025'!I:I,1,FALSE)</f>
        <v>2025_Hamerák-akce_Hamerák finance</v>
      </c>
      <c r="E378" s="7" t="s">
        <v>99</v>
      </c>
      <c r="F378" s="39">
        <v>46003.0</v>
      </c>
      <c r="H378" s="19" t="s">
        <v>125</v>
      </c>
      <c r="I378" s="12">
        <v>31000.0</v>
      </c>
      <c r="J378" s="42"/>
      <c r="K378" s="20">
        <f t="shared" si="10"/>
        <v>31000</v>
      </c>
      <c r="L378" s="13"/>
      <c r="M378" s="13"/>
      <c r="N378" s="14">
        <f t="shared" si="4"/>
        <v>154896.08</v>
      </c>
      <c r="O378" s="59" t="s">
        <v>383</v>
      </c>
      <c r="Q378" s="44"/>
      <c r="R378" s="44"/>
      <c r="S378" s="44"/>
      <c r="T378" s="44"/>
      <c r="U378" s="44"/>
    </row>
    <row r="379">
      <c r="A379" s="6" t="str">
        <f t="shared" si="1"/>
        <v>2025_Hamerák-akce_Náklady příprava</v>
      </c>
      <c r="B379" s="23" t="s">
        <v>37</v>
      </c>
      <c r="C379" s="50" t="s">
        <v>158</v>
      </c>
      <c r="D379" s="7" t="str">
        <f>VLOOKUP(A379,'Rozpočet 2025'!I:I,1,FALSE)</f>
        <v>2025_Hamerák-akce_Náklady příprava</v>
      </c>
      <c r="E379" s="7" t="s">
        <v>388</v>
      </c>
      <c r="F379" s="33">
        <v>46022.0</v>
      </c>
      <c r="H379" s="36" t="s">
        <v>119</v>
      </c>
      <c r="I379" s="42"/>
      <c r="J379" s="12">
        <v>30340.0</v>
      </c>
      <c r="K379" s="20">
        <f t="shared" si="10"/>
        <v>-30340</v>
      </c>
      <c r="L379" s="13"/>
      <c r="M379" s="13"/>
      <c r="N379" s="14">
        <f t="shared" si="4"/>
        <v>124556.08</v>
      </c>
      <c r="O379" s="59" t="s">
        <v>383</v>
      </c>
      <c r="Q379" s="44"/>
      <c r="R379" s="44"/>
      <c r="S379" s="44"/>
      <c r="T379" s="44"/>
      <c r="U379" s="44"/>
    </row>
    <row r="380">
      <c r="A380" s="6" t="str">
        <f t="shared" si="1"/>
        <v>2025_Podpora činnosti_Podpora akcí</v>
      </c>
      <c r="B380" s="28" t="s">
        <v>61</v>
      </c>
      <c r="C380" s="25" t="s">
        <v>296</v>
      </c>
      <c r="D380" s="7" t="str">
        <f>VLOOKUP(A380,'Rozpočet 2025'!I:I,1,FALSE)</f>
        <v>2025_Podpora činnosti_Podpora akcí</v>
      </c>
      <c r="E380" s="7" t="s">
        <v>388</v>
      </c>
      <c r="F380" s="33">
        <v>46022.0</v>
      </c>
      <c r="H380" s="36" t="s">
        <v>119</v>
      </c>
      <c r="I380" s="42"/>
      <c r="J380" s="12">
        <v>12450.0</v>
      </c>
      <c r="K380" s="20">
        <f t="shared" si="10"/>
        <v>-12450</v>
      </c>
      <c r="L380" s="13"/>
      <c r="M380" s="13"/>
      <c r="N380" s="14">
        <f t="shared" si="4"/>
        <v>112106.08</v>
      </c>
      <c r="O380" s="59" t="s">
        <v>383</v>
      </c>
      <c r="Q380" s="44"/>
      <c r="R380" s="44"/>
      <c r="S380" s="44"/>
      <c r="T380" s="44"/>
      <c r="U380" s="44"/>
    </row>
    <row r="381">
      <c r="A381" s="6" t="str">
        <f t="shared" si="1"/>
        <v>2025_Běžný provoz_Materiál</v>
      </c>
      <c r="B381" s="60" t="s">
        <v>32</v>
      </c>
      <c r="C381" s="61" t="s">
        <v>148</v>
      </c>
      <c r="D381" s="7" t="str">
        <f>VLOOKUP(A381,'Rozpočet 2025'!I:I,1,FALSE)</f>
        <v>2025_Běžný provoz_Materiál</v>
      </c>
      <c r="E381" s="7" t="s">
        <v>388</v>
      </c>
      <c r="F381" s="33">
        <v>46022.0</v>
      </c>
      <c r="H381" s="36" t="s">
        <v>119</v>
      </c>
      <c r="I381" s="42"/>
      <c r="J381" s="12">
        <v>2940.0</v>
      </c>
      <c r="K381" s="20">
        <f t="shared" si="10"/>
        <v>-2940</v>
      </c>
      <c r="L381" s="13"/>
      <c r="M381" s="13"/>
      <c r="N381" s="14">
        <f t="shared" si="4"/>
        <v>109166.08</v>
      </c>
      <c r="O381" s="59" t="s">
        <v>383</v>
      </c>
      <c r="Q381" s="44"/>
      <c r="R381" s="44"/>
      <c r="S381" s="44"/>
      <c r="T381" s="44"/>
      <c r="U381" s="44"/>
    </row>
    <row r="382">
      <c r="A382" s="6" t="str">
        <f t="shared" si="1"/>
        <v>2025_Podpora činnosti_Podpora akcí</v>
      </c>
      <c r="B382" s="28" t="s">
        <v>61</v>
      </c>
      <c r="C382" s="25" t="s">
        <v>296</v>
      </c>
      <c r="D382" s="7" t="str">
        <f>VLOOKUP(A382,'Rozpočet 2025'!I:I,1,FALSE)</f>
        <v>2025_Podpora činnosti_Podpora akcí</v>
      </c>
      <c r="E382" s="7" t="s">
        <v>42</v>
      </c>
      <c r="F382" s="33">
        <v>46022.0</v>
      </c>
      <c r="H382" s="36" t="s">
        <v>119</v>
      </c>
      <c r="I382" s="42"/>
      <c r="J382" s="12">
        <v>1000.0</v>
      </c>
      <c r="K382" s="20">
        <f t="shared" si="10"/>
        <v>-1000</v>
      </c>
      <c r="L382" s="13"/>
      <c r="M382" s="13"/>
      <c r="N382" s="14">
        <f t="shared" si="4"/>
        <v>108166.08</v>
      </c>
      <c r="O382" s="59" t="s">
        <v>383</v>
      </c>
      <c r="Q382" s="44"/>
      <c r="R382" s="44"/>
      <c r="S382" s="44"/>
      <c r="T382" s="44"/>
      <c r="U382" s="44"/>
    </row>
    <row r="383">
      <c r="A383" s="6" t="str">
        <f t="shared" si="1"/>
        <v>2025_Podpora činnosti_Podpora akcí</v>
      </c>
      <c r="B383" s="28" t="s">
        <v>61</v>
      </c>
      <c r="C383" s="25" t="s">
        <v>296</v>
      </c>
      <c r="D383" s="7" t="str">
        <f>VLOOKUP(A383,'Rozpočet 2025'!I:I,1,FALSE)</f>
        <v>2025_Podpora činnosti_Podpora akcí</v>
      </c>
      <c r="F383" s="33"/>
      <c r="H383" s="36" t="s">
        <v>119</v>
      </c>
      <c r="I383" s="42"/>
      <c r="J383" s="42"/>
      <c r="K383" s="20">
        <f t="shared" si="10"/>
        <v>0</v>
      </c>
      <c r="L383" s="13"/>
      <c r="M383" s="13"/>
      <c r="N383" s="14">
        <f t="shared" si="4"/>
        <v>108166.08</v>
      </c>
      <c r="O383" s="59" t="s">
        <v>383</v>
      </c>
      <c r="Q383" s="15"/>
      <c r="R383" s="15"/>
      <c r="S383" s="15"/>
      <c r="T383" s="15"/>
      <c r="U383" s="15"/>
    </row>
    <row r="384">
      <c r="A384" s="6" t="str">
        <f t="shared" si="1"/>
        <v>2025__</v>
      </c>
      <c r="D384" s="7" t="str">
        <f>VLOOKUP(A384,'Rozpočet 2025'!I:I,1,FALSE)</f>
        <v>#N/A</v>
      </c>
      <c r="F384" s="62"/>
      <c r="H384" s="40"/>
      <c r="I384" s="42"/>
      <c r="J384" s="42"/>
      <c r="K384" s="20">
        <f t="shared" si="10"/>
        <v>0</v>
      </c>
      <c r="L384" s="13"/>
      <c r="M384" s="13"/>
      <c r="N384" s="14">
        <f t="shared" si="4"/>
        <v>108166.08</v>
      </c>
      <c r="O384" s="59" t="s">
        <v>383</v>
      </c>
      <c r="Q384" s="44"/>
      <c r="R384" s="44"/>
      <c r="S384" s="44"/>
      <c r="T384" s="44"/>
      <c r="U384" s="44"/>
    </row>
    <row r="385">
      <c r="A385" s="6" t="str">
        <f t="shared" si="1"/>
        <v>2025__</v>
      </c>
      <c r="D385" s="7" t="str">
        <f>VLOOKUP(A385,'Rozpočet 2025'!I:I,1,FALSE)</f>
        <v>#N/A</v>
      </c>
      <c r="F385" s="62"/>
      <c r="H385" s="40"/>
      <c r="I385" s="42"/>
      <c r="J385" s="42"/>
      <c r="K385" s="20">
        <f t="shared" si="10"/>
        <v>0</v>
      </c>
      <c r="L385" s="13"/>
      <c r="M385" s="13"/>
      <c r="N385" s="14">
        <f t="shared" si="4"/>
        <v>108166.08</v>
      </c>
      <c r="O385" s="59" t="s">
        <v>383</v>
      </c>
      <c r="Q385" s="44"/>
      <c r="R385" s="44"/>
      <c r="S385" s="44"/>
      <c r="T385" s="44"/>
      <c r="U385" s="44"/>
    </row>
    <row r="386">
      <c r="A386" s="6" t="str">
        <f t="shared" si="1"/>
        <v>2025__</v>
      </c>
      <c r="D386" s="7" t="str">
        <f>VLOOKUP(A386,'Rozpočet 2024'!I:I,1,FALSE)</f>
        <v>#N/A</v>
      </c>
      <c r="F386" s="62"/>
      <c r="H386" s="40"/>
      <c r="I386" s="42"/>
      <c r="J386" s="42"/>
      <c r="K386" s="20">
        <f t="shared" si="10"/>
        <v>0</v>
      </c>
      <c r="L386" s="13"/>
      <c r="M386" s="13"/>
      <c r="N386" s="14">
        <f t="shared" si="4"/>
        <v>108166.08</v>
      </c>
      <c r="O386" s="59" t="s">
        <v>383</v>
      </c>
      <c r="Q386" s="44"/>
      <c r="R386" s="44"/>
      <c r="S386" s="44"/>
      <c r="T386" s="44"/>
      <c r="U386" s="44"/>
    </row>
    <row r="387">
      <c r="A387" s="6" t="str">
        <f t="shared" si="1"/>
        <v>2025__</v>
      </c>
      <c r="D387" s="7" t="str">
        <f>VLOOKUP(A387,'Rozpočet 2024'!I:I,1,FALSE)</f>
        <v>#N/A</v>
      </c>
      <c r="E387" s="7" t="s">
        <v>389</v>
      </c>
      <c r="F387" s="62"/>
      <c r="H387" s="40"/>
      <c r="I387" s="42"/>
      <c r="J387" s="42"/>
      <c r="K387" s="20">
        <f t="shared" si="10"/>
        <v>0</v>
      </c>
      <c r="L387" s="13"/>
      <c r="M387" s="13"/>
      <c r="N387" s="14">
        <f t="shared" si="4"/>
        <v>108166.08</v>
      </c>
      <c r="O387" s="59" t="s">
        <v>383</v>
      </c>
      <c r="Q387" s="44"/>
      <c r="R387" s="44"/>
      <c r="S387" s="44"/>
      <c r="T387" s="44"/>
      <c r="U387" s="44"/>
    </row>
    <row r="388">
      <c r="A388" s="6" t="str">
        <f t="shared" si="1"/>
        <v>2025__</v>
      </c>
      <c r="D388" s="7" t="str">
        <f>VLOOKUP(A388,'Rozpočet 2024'!I:I,1,FALSE)</f>
        <v>#N/A</v>
      </c>
      <c r="E388" s="7" t="s">
        <v>390</v>
      </c>
      <c r="F388" s="62"/>
      <c r="H388" s="40"/>
      <c r="I388" s="42"/>
      <c r="J388" s="42"/>
      <c r="K388" s="20">
        <f t="shared" si="10"/>
        <v>0</v>
      </c>
      <c r="L388" s="13"/>
      <c r="M388" s="13"/>
      <c r="N388" s="14">
        <f t="shared" si="4"/>
        <v>108166.08</v>
      </c>
      <c r="O388" s="59" t="s">
        <v>383</v>
      </c>
      <c r="Q388" s="44"/>
      <c r="R388" s="44"/>
      <c r="S388" s="44"/>
      <c r="T388" s="44"/>
      <c r="U388" s="44"/>
    </row>
    <row r="389">
      <c r="A389" s="6" t="str">
        <f t="shared" si="1"/>
        <v>2025__</v>
      </c>
      <c r="D389" s="7" t="str">
        <f>VLOOKUP(A389,'Rozpočet 2024'!I:I,1,FALSE)</f>
        <v>#N/A</v>
      </c>
      <c r="E389" s="7" t="s">
        <v>391</v>
      </c>
      <c r="F389" s="62"/>
      <c r="H389" s="40"/>
      <c r="I389" s="42"/>
      <c r="J389" s="42"/>
      <c r="K389" s="20">
        <f t="shared" si="10"/>
        <v>0</v>
      </c>
      <c r="L389" s="13"/>
      <c r="M389" s="13"/>
      <c r="N389" s="14">
        <f t="shared" si="4"/>
        <v>108166.08</v>
      </c>
      <c r="O389" s="59" t="s">
        <v>383</v>
      </c>
      <c r="Q389" s="44"/>
      <c r="R389" s="44"/>
      <c r="S389" s="44"/>
      <c r="T389" s="44"/>
      <c r="U389" s="44"/>
    </row>
    <row r="390">
      <c r="A390" s="6" t="str">
        <f t="shared" si="1"/>
        <v>2025__</v>
      </c>
      <c r="D390" s="7" t="str">
        <f>VLOOKUP(A390,'Rozpočet 2024'!I:I,1,FALSE)</f>
        <v>#N/A</v>
      </c>
      <c r="E390" s="7" t="s">
        <v>392</v>
      </c>
      <c r="F390" s="62"/>
      <c r="H390" s="40"/>
      <c r="I390" s="42"/>
      <c r="J390" s="42"/>
      <c r="K390" s="20">
        <f t="shared" si="10"/>
        <v>0</v>
      </c>
      <c r="L390" s="13"/>
      <c r="M390" s="13"/>
      <c r="N390" s="14">
        <f t="shared" si="4"/>
        <v>108166.08</v>
      </c>
      <c r="O390" s="59" t="s">
        <v>383</v>
      </c>
      <c r="Q390" s="44"/>
      <c r="R390" s="44"/>
      <c r="S390" s="44"/>
      <c r="T390" s="44"/>
      <c r="U390" s="44"/>
    </row>
    <row r="391">
      <c r="A391" s="6" t="str">
        <f t="shared" si="1"/>
        <v>2025__</v>
      </c>
      <c r="D391" s="7" t="str">
        <f>VLOOKUP(A391,'Rozpočet 2024'!I:I,1,FALSE)</f>
        <v>#N/A</v>
      </c>
      <c r="F391" s="62"/>
      <c r="H391" s="40"/>
      <c r="I391" s="42"/>
      <c r="J391" s="42"/>
      <c r="K391" s="20">
        <f t="shared" si="10"/>
        <v>0</v>
      </c>
      <c r="L391" s="13"/>
      <c r="M391" s="13"/>
      <c r="N391" s="14">
        <f t="shared" si="4"/>
        <v>108166.08</v>
      </c>
      <c r="O391" s="59" t="s">
        <v>383</v>
      </c>
      <c r="Q391" s="44"/>
      <c r="R391" s="44"/>
      <c r="S391" s="44"/>
      <c r="T391" s="44"/>
      <c r="U391" s="44"/>
    </row>
    <row r="392">
      <c r="A392" s="6" t="str">
        <f t="shared" si="1"/>
        <v>2025__</v>
      </c>
      <c r="D392" s="7" t="str">
        <f>VLOOKUP(A392,'Rozpočet 2024'!I:I,1,FALSE)</f>
        <v>#N/A</v>
      </c>
      <c r="F392" s="62"/>
      <c r="H392" s="40"/>
      <c r="I392" s="42"/>
      <c r="J392" s="42"/>
      <c r="K392" s="20">
        <f t="shared" si="10"/>
        <v>0</v>
      </c>
      <c r="L392" s="13"/>
      <c r="M392" s="13"/>
      <c r="N392" s="14">
        <f t="shared" si="4"/>
        <v>108166.08</v>
      </c>
      <c r="O392" s="59" t="s">
        <v>383</v>
      </c>
      <c r="Q392" s="44"/>
      <c r="R392" s="44"/>
      <c r="S392" s="44"/>
      <c r="T392" s="44"/>
      <c r="U392" s="44"/>
    </row>
    <row r="393">
      <c r="A393" s="6" t="str">
        <f t="shared" si="1"/>
        <v>2025__</v>
      </c>
      <c r="D393" s="7" t="str">
        <f>VLOOKUP(A393,'Rozpočet 2024'!I:I,1,FALSE)</f>
        <v>#N/A</v>
      </c>
      <c r="F393" s="62"/>
      <c r="H393" s="40"/>
      <c r="I393" s="42"/>
      <c r="J393" s="42"/>
      <c r="K393" s="20">
        <f t="shared" si="10"/>
        <v>0</v>
      </c>
      <c r="L393" s="13"/>
      <c r="M393" s="13"/>
      <c r="N393" s="14">
        <f t="shared" si="4"/>
        <v>108166.08</v>
      </c>
      <c r="O393" s="59" t="s">
        <v>383</v>
      </c>
      <c r="Q393" s="44"/>
      <c r="R393" s="44"/>
      <c r="S393" s="44"/>
      <c r="T393" s="44"/>
      <c r="U393" s="44"/>
    </row>
    <row r="394">
      <c r="A394" s="6" t="str">
        <f t="shared" si="1"/>
        <v>2025__</v>
      </c>
      <c r="D394" s="7" t="str">
        <f>VLOOKUP(A394,'Rozpočet 2024'!I:I,1,FALSE)</f>
        <v>#N/A</v>
      </c>
      <c r="F394" s="62"/>
      <c r="H394" s="40"/>
      <c r="I394" s="42"/>
      <c r="J394" s="42"/>
      <c r="K394" s="20">
        <f t="shared" si="10"/>
        <v>0</v>
      </c>
      <c r="L394" s="13"/>
      <c r="M394" s="13"/>
      <c r="N394" s="14">
        <f t="shared" si="4"/>
        <v>108166.08</v>
      </c>
      <c r="O394" s="59" t="s">
        <v>383</v>
      </c>
      <c r="Q394" s="44"/>
      <c r="R394" s="44"/>
      <c r="S394" s="44"/>
      <c r="T394" s="44"/>
      <c r="U394" s="44"/>
    </row>
    <row r="395">
      <c r="A395" s="6" t="str">
        <f t="shared" si="1"/>
        <v>2025__</v>
      </c>
      <c r="D395" s="7" t="str">
        <f>VLOOKUP(A395,'Rozpočet 2024'!I:I,1,FALSE)</f>
        <v>#N/A</v>
      </c>
      <c r="F395" s="62"/>
      <c r="H395" s="40"/>
      <c r="I395" s="42"/>
      <c r="J395" s="42"/>
      <c r="K395" s="20">
        <f t="shared" si="10"/>
        <v>0</v>
      </c>
      <c r="L395" s="13"/>
      <c r="M395" s="13"/>
      <c r="N395" s="14">
        <f t="shared" si="4"/>
        <v>108166.08</v>
      </c>
      <c r="O395" s="59" t="s">
        <v>383</v>
      </c>
      <c r="Q395" s="44"/>
      <c r="R395" s="44"/>
      <c r="S395" s="44"/>
      <c r="T395" s="44"/>
      <c r="U395" s="44"/>
    </row>
    <row r="396">
      <c r="A396" s="6" t="str">
        <f t="shared" si="1"/>
        <v>2025__</v>
      </c>
      <c r="D396" s="7" t="str">
        <f>VLOOKUP(A396,'Rozpočet 2024'!I:I,1,FALSE)</f>
        <v>#N/A</v>
      </c>
      <c r="F396" s="62"/>
      <c r="H396" s="40"/>
      <c r="I396" s="42"/>
      <c r="J396" s="42"/>
      <c r="K396" s="20">
        <f t="shared" si="10"/>
        <v>0</v>
      </c>
      <c r="L396" s="13"/>
      <c r="M396" s="13"/>
      <c r="N396" s="14">
        <f t="shared" si="4"/>
        <v>108166.08</v>
      </c>
      <c r="O396" s="59" t="s">
        <v>383</v>
      </c>
      <c r="Q396" s="44"/>
      <c r="R396" s="44"/>
      <c r="S396" s="44"/>
      <c r="T396" s="44"/>
      <c r="U396" s="44"/>
    </row>
    <row r="397">
      <c r="A397" s="6" t="str">
        <f t="shared" si="1"/>
        <v>2025__</v>
      </c>
      <c r="D397" s="7" t="str">
        <f>VLOOKUP(A397,'Rozpočet 2024'!I:I,1,FALSE)</f>
        <v>#N/A</v>
      </c>
      <c r="F397" s="62"/>
      <c r="H397" s="40"/>
      <c r="I397" s="42"/>
      <c r="J397" s="42"/>
      <c r="K397" s="20">
        <f t="shared" si="10"/>
        <v>0</v>
      </c>
      <c r="L397" s="13"/>
      <c r="M397" s="13"/>
      <c r="N397" s="14">
        <f t="shared" si="4"/>
        <v>108166.08</v>
      </c>
      <c r="O397" s="59" t="s">
        <v>383</v>
      </c>
      <c r="Q397" s="44"/>
      <c r="R397" s="44"/>
      <c r="S397" s="44"/>
      <c r="T397" s="44"/>
      <c r="U397" s="44"/>
    </row>
    <row r="398">
      <c r="A398" s="6" t="str">
        <f t="shared" si="1"/>
        <v>2025__</v>
      </c>
      <c r="D398" s="7" t="str">
        <f>VLOOKUP(A398,'Rozpočet 2024'!I:I,1,FALSE)</f>
        <v>#N/A</v>
      </c>
      <c r="F398" s="62"/>
      <c r="H398" s="40"/>
      <c r="I398" s="42"/>
      <c r="J398" s="42"/>
      <c r="K398" s="20">
        <f t="shared" si="10"/>
        <v>0</v>
      </c>
      <c r="L398" s="13"/>
      <c r="M398" s="13"/>
      <c r="N398" s="14">
        <f t="shared" si="4"/>
        <v>108166.08</v>
      </c>
      <c r="O398" s="59" t="s">
        <v>383</v>
      </c>
      <c r="Q398" s="44"/>
      <c r="R398" s="44"/>
      <c r="S398" s="44"/>
      <c r="T398" s="44"/>
      <c r="U398" s="44"/>
    </row>
    <row r="399">
      <c r="A399" s="6" t="str">
        <f t="shared" si="1"/>
        <v>2025__</v>
      </c>
      <c r="D399" s="7" t="str">
        <f>VLOOKUP(A399,'Rozpočet 2024'!I:I,1,FALSE)</f>
        <v>#N/A</v>
      </c>
      <c r="F399" s="62"/>
      <c r="H399" s="40"/>
      <c r="I399" s="42"/>
      <c r="J399" s="42"/>
      <c r="K399" s="20">
        <f t="shared" si="10"/>
        <v>0</v>
      </c>
      <c r="L399" s="13"/>
      <c r="M399" s="13"/>
      <c r="N399" s="14">
        <f t="shared" si="4"/>
        <v>108166.08</v>
      </c>
      <c r="O399" s="59" t="s">
        <v>383</v>
      </c>
      <c r="Q399" s="44"/>
      <c r="R399" s="44"/>
      <c r="S399" s="44"/>
      <c r="T399" s="44"/>
      <c r="U399" s="44"/>
    </row>
    <row r="400">
      <c r="F400" s="62"/>
      <c r="H400" s="40"/>
      <c r="I400" s="42"/>
      <c r="J400" s="42"/>
      <c r="K400" s="63"/>
      <c r="L400" s="13"/>
      <c r="M400" s="13"/>
      <c r="Q400" s="44"/>
      <c r="R400" s="44"/>
      <c r="S400" s="44"/>
      <c r="T400" s="44"/>
      <c r="U400" s="44"/>
    </row>
    <row r="401">
      <c r="F401" s="62"/>
      <c r="H401" s="40"/>
      <c r="I401" s="42"/>
      <c r="J401" s="42"/>
      <c r="K401" s="63"/>
      <c r="L401" s="13"/>
      <c r="M401" s="13"/>
      <c r="Q401" s="44"/>
      <c r="R401" s="44"/>
      <c r="S401" s="44"/>
      <c r="T401" s="44"/>
      <c r="U401" s="44"/>
    </row>
    <row r="402">
      <c r="F402" s="62"/>
      <c r="H402" s="40"/>
      <c r="I402" s="42"/>
      <c r="J402" s="42"/>
      <c r="K402" s="63"/>
      <c r="L402" s="13"/>
      <c r="M402" s="13"/>
      <c r="Q402" s="44"/>
      <c r="R402" s="44"/>
      <c r="S402" s="44"/>
      <c r="T402" s="44"/>
      <c r="U402" s="44"/>
    </row>
    <row r="403">
      <c r="F403" s="62"/>
      <c r="H403" s="40"/>
      <c r="I403" s="42"/>
      <c r="J403" s="42"/>
      <c r="K403" s="63"/>
      <c r="L403" s="13"/>
      <c r="M403" s="13"/>
      <c r="Q403" s="44"/>
      <c r="R403" s="44"/>
      <c r="S403" s="44"/>
      <c r="T403" s="44"/>
      <c r="U403" s="44"/>
    </row>
    <row r="404">
      <c r="F404" s="62"/>
      <c r="H404" s="40"/>
      <c r="I404" s="42"/>
      <c r="J404" s="42"/>
      <c r="K404" s="63"/>
      <c r="L404" s="13"/>
      <c r="M404" s="13"/>
      <c r="Q404" s="44"/>
      <c r="R404" s="44"/>
      <c r="S404" s="44"/>
      <c r="T404" s="44"/>
      <c r="U404" s="44"/>
    </row>
    <row r="405">
      <c r="F405" s="62"/>
      <c r="H405" s="40"/>
      <c r="I405" s="42"/>
      <c r="J405" s="42"/>
      <c r="K405" s="63"/>
      <c r="L405" s="13"/>
      <c r="M405" s="13"/>
      <c r="Q405" s="44"/>
      <c r="R405" s="44"/>
      <c r="S405" s="44"/>
      <c r="T405" s="44"/>
      <c r="U405" s="44"/>
    </row>
    <row r="406">
      <c r="F406" s="62"/>
      <c r="H406" s="40"/>
      <c r="I406" s="42"/>
      <c r="J406" s="42"/>
      <c r="K406" s="63"/>
      <c r="L406" s="13"/>
      <c r="M406" s="13"/>
      <c r="Q406" s="44"/>
      <c r="R406" s="44"/>
      <c r="S406" s="44"/>
      <c r="T406" s="44"/>
      <c r="U406" s="44"/>
    </row>
    <row r="407">
      <c r="F407" s="62"/>
      <c r="H407" s="40"/>
      <c r="I407" s="42"/>
      <c r="J407" s="42"/>
      <c r="K407" s="63"/>
      <c r="L407" s="13"/>
      <c r="M407" s="13"/>
      <c r="Q407" s="44"/>
      <c r="R407" s="44"/>
      <c r="S407" s="44"/>
      <c r="T407" s="44"/>
      <c r="U407" s="44"/>
    </row>
    <row r="408">
      <c r="F408" s="62"/>
      <c r="H408" s="40"/>
      <c r="I408" s="42"/>
      <c r="J408" s="42"/>
      <c r="K408" s="63"/>
      <c r="L408" s="13"/>
      <c r="M408" s="13"/>
      <c r="Q408" s="44"/>
      <c r="R408" s="44"/>
      <c r="S408" s="44"/>
      <c r="T408" s="44"/>
      <c r="U408" s="44"/>
    </row>
    <row r="409">
      <c r="F409" s="62"/>
      <c r="H409" s="40"/>
      <c r="I409" s="42"/>
      <c r="J409" s="42"/>
      <c r="K409" s="63"/>
      <c r="L409" s="13"/>
      <c r="M409" s="13"/>
      <c r="Q409" s="44"/>
      <c r="R409" s="44"/>
      <c r="S409" s="44"/>
      <c r="T409" s="44"/>
      <c r="U409" s="44"/>
    </row>
    <row r="410">
      <c r="F410" s="62"/>
      <c r="H410" s="40"/>
      <c r="I410" s="42"/>
      <c r="J410" s="42"/>
      <c r="K410" s="63"/>
      <c r="L410" s="13"/>
      <c r="M410" s="13"/>
      <c r="Q410" s="44"/>
      <c r="R410" s="44"/>
      <c r="S410" s="44"/>
      <c r="T410" s="44"/>
      <c r="U410" s="44"/>
    </row>
    <row r="411">
      <c r="F411" s="62"/>
      <c r="H411" s="40"/>
      <c r="I411" s="42"/>
      <c r="J411" s="42"/>
      <c r="K411" s="63"/>
      <c r="L411" s="13"/>
      <c r="M411" s="13"/>
      <c r="Q411" s="44"/>
      <c r="R411" s="44"/>
      <c r="S411" s="44"/>
      <c r="T411" s="44"/>
      <c r="U411" s="44"/>
    </row>
    <row r="412">
      <c r="F412" s="62"/>
      <c r="H412" s="40"/>
      <c r="I412" s="42"/>
      <c r="J412" s="42"/>
      <c r="K412" s="63"/>
      <c r="L412" s="13"/>
      <c r="M412" s="13"/>
      <c r="Q412" s="44"/>
      <c r="R412" s="44"/>
      <c r="S412" s="44"/>
      <c r="T412" s="44"/>
      <c r="U412" s="44"/>
    </row>
    <row r="413">
      <c r="F413" s="62"/>
      <c r="H413" s="40"/>
      <c r="I413" s="42"/>
      <c r="J413" s="42"/>
      <c r="K413" s="63"/>
      <c r="L413" s="13"/>
      <c r="M413" s="13"/>
      <c r="Q413" s="44"/>
      <c r="R413" s="44"/>
      <c r="S413" s="44"/>
      <c r="T413" s="44"/>
      <c r="U413" s="44"/>
    </row>
    <row r="414">
      <c r="F414" s="62"/>
      <c r="H414" s="40"/>
      <c r="I414" s="42"/>
      <c r="J414" s="42"/>
      <c r="K414" s="63"/>
      <c r="L414" s="13"/>
      <c r="M414" s="13"/>
      <c r="Q414" s="44"/>
      <c r="R414" s="44"/>
      <c r="S414" s="44"/>
      <c r="T414" s="44"/>
      <c r="U414" s="44"/>
    </row>
    <row r="415">
      <c r="F415" s="62"/>
      <c r="H415" s="40"/>
      <c r="I415" s="42"/>
      <c r="J415" s="42"/>
      <c r="K415" s="63"/>
      <c r="L415" s="13"/>
      <c r="M415" s="13"/>
      <c r="Q415" s="44"/>
      <c r="R415" s="44"/>
      <c r="S415" s="44"/>
      <c r="T415" s="44"/>
      <c r="U415" s="44"/>
    </row>
    <row r="416">
      <c r="F416" s="62"/>
      <c r="H416" s="40"/>
      <c r="I416" s="42"/>
      <c r="J416" s="42"/>
      <c r="K416" s="63"/>
      <c r="L416" s="13"/>
      <c r="M416" s="13"/>
      <c r="Q416" s="44"/>
      <c r="R416" s="44"/>
      <c r="S416" s="44"/>
      <c r="T416" s="44"/>
      <c r="U416" s="44"/>
    </row>
    <row r="417">
      <c r="F417" s="62"/>
      <c r="H417" s="40"/>
      <c r="I417" s="42"/>
      <c r="J417" s="42"/>
      <c r="K417" s="63"/>
      <c r="L417" s="13"/>
      <c r="M417" s="13"/>
      <c r="Q417" s="44"/>
      <c r="R417" s="44"/>
      <c r="S417" s="44"/>
      <c r="T417" s="44"/>
      <c r="U417" s="44"/>
    </row>
    <row r="418">
      <c r="F418" s="62"/>
      <c r="H418" s="40"/>
      <c r="I418" s="42"/>
      <c r="J418" s="42"/>
      <c r="K418" s="63"/>
      <c r="L418" s="13"/>
      <c r="M418" s="13"/>
      <c r="Q418" s="44"/>
      <c r="R418" s="44"/>
      <c r="S418" s="44"/>
      <c r="T418" s="44"/>
      <c r="U418" s="44"/>
    </row>
    <row r="419">
      <c r="F419" s="62"/>
      <c r="H419" s="40"/>
      <c r="I419" s="42"/>
      <c r="J419" s="42"/>
      <c r="K419" s="63"/>
      <c r="L419" s="13"/>
      <c r="M419" s="13"/>
      <c r="Q419" s="44"/>
      <c r="R419" s="44"/>
      <c r="S419" s="44"/>
      <c r="T419" s="44"/>
      <c r="U419" s="44"/>
    </row>
    <row r="420">
      <c r="F420" s="62"/>
      <c r="H420" s="40"/>
      <c r="I420" s="42"/>
      <c r="J420" s="42"/>
      <c r="K420" s="63"/>
      <c r="L420" s="13"/>
      <c r="M420" s="13"/>
      <c r="Q420" s="44"/>
      <c r="R420" s="44"/>
      <c r="S420" s="44"/>
      <c r="T420" s="44"/>
      <c r="U420" s="44"/>
    </row>
    <row r="421">
      <c r="F421" s="62"/>
      <c r="H421" s="40"/>
      <c r="I421" s="42"/>
      <c r="J421" s="42"/>
      <c r="K421" s="63"/>
      <c r="L421" s="13"/>
      <c r="M421" s="13"/>
      <c r="Q421" s="44"/>
      <c r="R421" s="44"/>
      <c r="S421" s="44"/>
      <c r="T421" s="44"/>
      <c r="U421" s="44"/>
    </row>
    <row r="422">
      <c r="F422" s="62"/>
      <c r="H422" s="40"/>
      <c r="I422" s="42"/>
      <c r="J422" s="42"/>
      <c r="K422" s="63"/>
      <c r="L422" s="13"/>
      <c r="M422" s="13"/>
      <c r="Q422" s="44"/>
      <c r="R422" s="44"/>
      <c r="S422" s="44"/>
      <c r="T422" s="44"/>
      <c r="U422" s="44"/>
    </row>
    <row r="423">
      <c r="F423" s="62"/>
      <c r="H423" s="40"/>
      <c r="I423" s="42"/>
      <c r="J423" s="42"/>
      <c r="K423" s="63"/>
      <c r="L423" s="13"/>
      <c r="M423" s="13"/>
      <c r="Q423" s="44"/>
      <c r="R423" s="44"/>
      <c r="S423" s="44"/>
      <c r="T423" s="44"/>
      <c r="U423" s="44"/>
    </row>
    <row r="424">
      <c r="F424" s="62"/>
      <c r="H424" s="40"/>
      <c r="I424" s="42"/>
      <c r="J424" s="42"/>
      <c r="K424" s="63"/>
      <c r="L424" s="13"/>
      <c r="M424" s="13"/>
      <c r="Q424" s="44"/>
      <c r="R424" s="44"/>
      <c r="S424" s="44"/>
      <c r="T424" s="44"/>
      <c r="U424" s="44"/>
    </row>
    <row r="425">
      <c r="F425" s="62"/>
      <c r="H425" s="40"/>
      <c r="I425" s="42"/>
      <c r="J425" s="42"/>
      <c r="K425" s="63"/>
      <c r="L425" s="13"/>
      <c r="M425" s="13"/>
      <c r="Q425" s="44"/>
      <c r="R425" s="44"/>
      <c r="S425" s="44"/>
      <c r="T425" s="44"/>
      <c r="U425" s="44"/>
    </row>
    <row r="426">
      <c r="F426" s="62"/>
      <c r="H426" s="40"/>
      <c r="I426" s="42"/>
      <c r="J426" s="42"/>
      <c r="K426" s="63"/>
      <c r="L426" s="13"/>
      <c r="M426" s="13"/>
      <c r="Q426" s="44"/>
      <c r="R426" s="44"/>
      <c r="S426" s="44"/>
      <c r="T426" s="44"/>
      <c r="U426" s="44"/>
    </row>
    <row r="427">
      <c r="F427" s="62"/>
      <c r="H427" s="40"/>
      <c r="I427" s="42"/>
      <c r="J427" s="42"/>
      <c r="K427" s="63"/>
      <c r="L427" s="13"/>
      <c r="M427" s="13"/>
      <c r="Q427" s="44"/>
      <c r="R427" s="44"/>
      <c r="S427" s="44"/>
      <c r="T427" s="44"/>
      <c r="U427" s="44"/>
    </row>
    <row r="428">
      <c r="F428" s="62"/>
      <c r="H428" s="40"/>
      <c r="I428" s="42"/>
      <c r="J428" s="42"/>
      <c r="K428" s="63"/>
      <c r="L428" s="13"/>
      <c r="M428" s="13"/>
      <c r="Q428" s="44"/>
      <c r="R428" s="44"/>
      <c r="S428" s="44"/>
      <c r="T428" s="44"/>
      <c r="U428" s="44"/>
    </row>
    <row r="429">
      <c r="F429" s="62"/>
      <c r="H429" s="40"/>
      <c r="I429" s="42"/>
      <c r="J429" s="42"/>
      <c r="K429" s="63"/>
      <c r="L429" s="13"/>
      <c r="M429" s="13"/>
      <c r="Q429" s="44"/>
      <c r="R429" s="44"/>
      <c r="S429" s="44"/>
      <c r="T429" s="44"/>
      <c r="U429" s="44"/>
    </row>
    <row r="430">
      <c r="F430" s="62"/>
      <c r="H430" s="40"/>
      <c r="I430" s="42"/>
      <c r="J430" s="42"/>
      <c r="K430" s="63"/>
      <c r="L430" s="13"/>
      <c r="M430" s="13"/>
      <c r="Q430" s="44"/>
      <c r="R430" s="44"/>
      <c r="S430" s="44"/>
      <c r="T430" s="44"/>
      <c r="U430" s="44"/>
    </row>
    <row r="431">
      <c r="F431" s="62"/>
      <c r="H431" s="40"/>
      <c r="I431" s="42"/>
      <c r="J431" s="42"/>
      <c r="K431" s="63"/>
      <c r="L431" s="13"/>
      <c r="M431" s="13"/>
      <c r="Q431" s="44"/>
      <c r="R431" s="44"/>
      <c r="S431" s="44"/>
      <c r="T431" s="44"/>
      <c r="U431" s="44"/>
    </row>
    <row r="432">
      <c r="F432" s="62"/>
      <c r="H432" s="40"/>
      <c r="I432" s="42"/>
      <c r="J432" s="42"/>
      <c r="K432" s="63"/>
      <c r="L432" s="13"/>
      <c r="M432" s="13"/>
      <c r="Q432" s="44"/>
      <c r="R432" s="44"/>
      <c r="S432" s="44"/>
      <c r="T432" s="44"/>
      <c r="U432" s="44"/>
    </row>
    <row r="433">
      <c r="F433" s="62"/>
      <c r="H433" s="40"/>
      <c r="I433" s="42"/>
      <c r="J433" s="42"/>
      <c r="K433" s="63"/>
      <c r="L433" s="13"/>
      <c r="M433" s="13"/>
      <c r="Q433" s="44"/>
      <c r="R433" s="44"/>
      <c r="S433" s="44"/>
      <c r="T433" s="44"/>
      <c r="U433" s="44"/>
    </row>
    <row r="434">
      <c r="F434" s="62"/>
      <c r="H434" s="40"/>
      <c r="I434" s="42"/>
      <c r="J434" s="42"/>
      <c r="K434" s="63"/>
      <c r="L434" s="13"/>
      <c r="M434" s="13"/>
      <c r="Q434" s="44"/>
      <c r="R434" s="44"/>
      <c r="S434" s="44"/>
      <c r="T434" s="44"/>
      <c r="U434" s="44"/>
    </row>
    <row r="435">
      <c r="F435" s="62"/>
      <c r="H435" s="40"/>
      <c r="I435" s="42"/>
      <c r="J435" s="42"/>
      <c r="K435" s="63"/>
      <c r="L435" s="13"/>
      <c r="M435" s="13"/>
      <c r="Q435" s="44"/>
      <c r="R435" s="44"/>
      <c r="S435" s="44"/>
      <c r="T435" s="44"/>
      <c r="U435" s="44"/>
    </row>
    <row r="436">
      <c r="F436" s="62"/>
      <c r="H436" s="40"/>
      <c r="I436" s="42"/>
      <c r="J436" s="42"/>
      <c r="K436" s="63"/>
      <c r="L436" s="13"/>
      <c r="M436" s="13"/>
      <c r="Q436" s="44"/>
      <c r="R436" s="44"/>
      <c r="S436" s="44"/>
      <c r="T436" s="44"/>
      <c r="U436" s="44"/>
    </row>
    <row r="437">
      <c r="F437" s="62"/>
      <c r="H437" s="40"/>
      <c r="I437" s="42"/>
      <c r="J437" s="42"/>
      <c r="K437" s="63"/>
      <c r="L437" s="13"/>
      <c r="M437" s="13"/>
      <c r="Q437" s="44"/>
      <c r="R437" s="44"/>
      <c r="S437" s="44"/>
      <c r="T437" s="44"/>
      <c r="U437" s="44"/>
    </row>
    <row r="438">
      <c r="F438" s="62"/>
      <c r="H438" s="40"/>
      <c r="I438" s="42"/>
      <c r="J438" s="42"/>
      <c r="K438" s="63"/>
      <c r="L438" s="13"/>
      <c r="M438" s="13"/>
      <c r="Q438" s="44"/>
      <c r="R438" s="44"/>
      <c r="S438" s="44"/>
      <c r="T438" s="44"/>
      <c r="U438" s="44"/>
    </row>
    <row r="439">
      <c r="F439" s="62"/>
      <c r="H439" s="40"/>
      <c r="I439" s="42"/>
      <c r="J439" s="42"/>
      <c r="K439" s="63"/>
      <c r="L439" s="13"/>
      <c r="M439" s="13"/>
      <c r="Q439" s="44"/>
      <c r="R439" s="44"/>
      <c r="S439" s="44"/>
      <c r="T439" s="44"/>
      <c r="U439" s="44"/>
    </row>
    <row r="440">
      <c r="F440" s="62"/>
      <c r="H440" s="40"/>
      <c r="I440" s="42"/>
      <c r="J440" s="42"/>
      <c r="K440" s="63"/>
      <c r="L440" s="13"/>
      <c r="M440" s="13"/>
      <c r="Q440" s="44"/>
      <c r="R440" s="44"/>
      <c r="S440" s="44"/>
      <c r="T440" s="44"/>
      <c r="U440" s="44"/>
    </row>
    <row r="441">
      <c r="F441" s="62"/>
      <c r="H441" s="40"/>
      <c r="I441" s="42"/>
      <c r="J441" s="42"/>
      <c r="K441" s="63"/>
      <c r="L441" s="13"/>
      <c r="M441" s="13"/>
      <c r="Q441" s="44"/>
      <c r="R441" s="44"/>
      <c r="S441" s="44"/>
      <c r="T441" s="44"/>
      <c r="U441" s="44"/>
    </row>
    <row r="442">
      <c r="F442" s="62"/>
      <c r="H442" s="40"/>
      <c r="I442" s="42"/>
      <c r="J442" s="42"/>
      <c r="K442" s="63"/>
      <c r="L442" s="13"/>
      <c r="M442" s="13"/>
      <c r="Q442" s="44"/>
      <c r="R442" s="44"/>
      <c r="S442" s="44"/>
      <c r="T442" s="44"/>
      <c r="U442" s="44"/>
    </row>
    <row r="443">
      <c r="F443" s="62"/>
      <c r="H443" s="40"/>
      <c r="I443" s="42"/>
      <c r="J443" s="42"/>
      <c r="K443" s="63"/>
      <c r="L443" s="13"/>
      <c r="M443" s="13"/>
      <c r="Q443" s="44"/>
      <c r="R443" s="44"/>
      <c r="S443" s="44"/>
      <c r="T443" s="44"/>
      <c r="U443" s="44"/>
    </row>
    <row r="444">
      <c r="F444" s="62"/>
      <c r="H444" s="40"/>
      <c r="I444" s="42"/>
      <c r="J444" s="42"/>
      <c r="K444" s="63"/>
      <c r="L444" s="13"/>
      <c r="M444" s="13"/>
      <c r="Q444" s="44"/>
      <c r="R444" s="44"/>
      <c r="S444" s="44"/>
      <c r="T444" s="44"/>
      <c r="U444" s="44"/>
    </row>
    <row r="445">
      <c r="F445" s="62"/>
      <c r="H445" s="40"/>
      <c r="I445" s="42"/>
      <c r="J445" s="42"/>
      <c r="K445" s="63"/>
      <c r="L445" s="13"/>
      <c r="M445" s="13"/>
      <c r="Q445" s="44"/>
      <c r="R445" s="44"/>
      <c r="S445" s="44"/>
      <c r="T445" s="44"/>
      <c r="U445" s="44"/>
    </row>
    <row r="446">
      <c r="F446" s="62"/>
      <c r="H446" s="40"/>
      <c r="I446" s="42"/>
      <c r="J446" s="42"/>
      <c r="K446" s="63"/>
      <c r="L446" s="13"/>
      <c r="M446" s="13"/>
      <c r="Q446" s="44"/>
      <c r="R446" s="44"/>
      <c r="S446" s="44"/>
      <c r="T446" s="44"/>
      <c r="U446" s="44"/>
    </row>
    <row r="447">
      <c r="F447" s="62"/>
      <c r="H447" s="40"/>
      <c r="I447" s="42"/>
      <c r="J447" s="42"/>
      <c r="K447" s="63"/>
      <c r="L447" s="63"/>
      <c r="M447" s="63"/>
      <c r="Q447" s="44"/>
      <c r="R447" s="44"/>
      <c r="S447" s="44"/>
      <c r="T447" s="44"/>
      <c r="U447" s="44"/>
    </row>
    <row r="448">
      <c r="F448" s="62"/>
      <c r="H448" s="40"/>
      <c r="I448" s="42"/>
      <c r="J448" s="42"/>
      <c r="K448" s="63"/>
      <c r="L448" s="63"/>
      <c r="M448" s="63"/>
      <c r="Q448" s="44"/>
      <c r="R448" s="44"/>
      <c r="S448" s="44"/>
      <c r="T448" s="44"/>
      <c r="U448" s="44"/>
    </row>
    <row r="449">
      <c r="F449" s="62"/>
      <c r="H449" s="40"/>
      <c r="I449" s="42"/>
      <c r="J449" s="42"/>
      <c r="K449" s="63"/>
      <c r="L449" s="63"/>
      <c r="M449" s="63"/>
      <c r="Q449" s="44"/>
      <c r="R449" s="44"/>
      <c r="S449" s="44"/>
      <c r="T449" s="44"/>
      <c r="U449" s="44"/>
    </row>
    <row r="450">
      <c r="F450" s="62"/>
      <c r="H450" s="40"/>
      <c r="I450" s="42"/>
      <c r="J450" s="42"/>
      <c r="K450" s="63"/>
      <c r="L450" s="63"/>
      <c r="M450" s="63"/>
      <c r="Q450" s="44"/>
      <c r="R450" s="44"/>
      <c r="S450" s="44"/>
      <c r="T450" s="44"/>
      <c r="U450" s="44"/>
    </row>
    <row r="451">
      <c r="F451" s="62"/>
      <c r="H451" s="40"/>
      <c r="I451" s="42"/>
      <c r="J451" s="42"/>
      <c r="K451" s="63"/>
      <c r="L451" s="63"/>
      <c r="M451" s="63"/>
      <c r="Q451" s="44"/>
      <c r="R451" s="44"/>
      <c r="S451" s="44"/>
      <c r="T451" s="44"/>
      <c r="U451" s="44"/>
    </row>
    <row r="452">
      <c r="F452" s="62"/>
      <c r="H452" s="40"/>
      <c r="I452" s="42"/>
      <c r="J452" s="42"/>
      <c r="K452" s="63"/>
      <c r="L452" s="63"/>
      <c r="M452" s="63"/>
      <c r="Q452" s="44"/>
      <c r="R452" s="44"/>
      <c r="S452" s="44"/>
      <c r="T452" s="44"/>
      <c r="U452" s="44"/>
    </row>
    <row r="453">
      <c r="F453" s="62"/>
      <c r="H453" s="40"/>
      <c r="I453" s="42"/>
      <c r="J453" s="42"/>
      <c r="K453" s="63"/>
      <c r="L453" s="63"/>
      <c r="M453" s="63"/>
      <c r="Q453" s="44"/>
      <c r="R453" s="44"/>
      <c r="S453" s="44"/>
      <c r="T453" s="44"/>
      <c r="U453" s="44"/>
    </row>
    <row r="454">
      <c r="F454" s="62"/>
      <c r="H454" s="40"/>
      <c r="I454" s="42"/>
      <c r="J454" s="42"/>
      <c r="K454" s="63"/>
      <c r="L454" s="63"/>
      <c r="M454" s="63"/>
      <c r="Q454" s="44"/>
      <c r="R454" s="44"/>
      <c r="S454" s="44"/>
      <c r="T454" s="44"/>
      <c r="U454" s="44"/>
    </row>
    <row r="455">
      <c r="F455" s="62"/>
      <c r="H455" s="40"/>
      <c r="I455" s="42"/>
      <c r="J455" s="42"/>
      <c r="K455" s="63"/>
      <c r="L455" s="63"/>
      <c r="M455" s="63"/>
      <c r="Q455" s="44"/>
      <c r="R455" s="44"/>
      <c r="S455" s="44"/>
      <c r="T455" s="44"/>
      <c r="U455" s="44"/>
    </row>
    <row r="456">
      <c r="F456" s="62"/>
      <c r="H456" s="40"/>
      <c r="I456" s="42"/>
      <c r="J456" s="42"/>
      <c r="K456" s="63"/>
      <c r="L456" s="63"/>
      <c r="M456" s="63"/>
      <c r="Q456" s="44"/>
      <c r="R456" s="44"/>
      <c r="S456" s="44"/>
      <c r="T456" s="44"/>
      <c r="U456" s="44"/>
    </row>
    <row r="457">
      <c r="F457" s="62"/>
      <c r="H457" s="40"/>
      <c r="I457" s="42"/>
      <c r="J457" s="42"/>
      <c r="K457" s="63"/>
      <c r="L457" s="63"/>
      <c r="M457" s="63"/>
      <c r="Q457" s="44"/>
      <c r="R457" s="44"/>
      <c r="S457" s="44"/>
      <c r="T457" s="44"/>
      <c r="U457" s="44"/>
    </row>
    <row r="458">
      <c r="F458" s="62"/>
      <c r="H458" s="40"/>
      <c r="I458" s="42"/>
      <c r="J458" s="42"/>
      <c r="K458" s="63"/>
      <c r="L458" s="63"/>
      <c r="M458" s="63"/>
      <c r="Q458" s="44"/>
      <c r="R458" s="44"/>
      <c r="S458" s="44"/>
      <c r="T458" s="44"/>
      <c r="U458" s="44"/>
    </row>
    <row r="459">
      <c r="F459" s="62"/>
      <c r="H459" s="40"/>
      <c r="I459" s="42"/>
      <c r="J459" s="42"/>
      <c r="K459" s="63"/>
      <c r="L459" s="63"/>
      <c r="M459" s="63"/>
      <c r="Q459" s="44"/>
      <c r="R459" s="44"/>
      <c r="S459" s="44"/>
      <c r="T459" s="44"/>
      <c r="U459" s="44"/>
    </row>
    <row r="460">
      <c r="F460" s="62"/>
      <c r="H460" s="40"/>
      <c r="I460" s="42"/>
      <c r="J460" s="42"/>
      <c r="K460" s="63"/>
      <c r="L460" s="63"/>
      <c r="M460" s="63"/>
      <c r="Q460" s="44"/>
      <c r="R460" s="44"/>
      <c r="S460" s="44"/>
      <c r="T460" s="44"/>
      <c r="U460" s="44"/>
    </row>
    <row r="461">
      <c r="F461" s="62"/>
      <c r="H461" s="40"/>
      <c r="I461" s="42"/>
      <c r="J461" s="42"/>
      <c r="K461" s="63"/>
      <c r="L461" s="63"/>
      <c r="M461" s="63"/>
      <c r="Q461" s="44"/>
      <c r="R461" s="44"/>
      <c r="S461" s="44"/>
      <c r="T461" s="44"/>
      <c r="U461" s="44"/>
    </row>
    <row r="462">
      <c r="F462" s="62"/>
      <c r="H462" s="40"/>
      <c r="I462" s="42"/>
      <c r="J462" s="42"/>
      <c r="K462" s="63"/>
      <c r="L462" s="63"/>
      <c r="M462" s="63"/>
      <c r="Q462" s="44"/>
      <c r="R462" s="44"/>
      <c r="S462" s="44"/>
      <c r="T462" s="44"/>
      <c r="U462" s="44"/>
    </row>
    <row r="463">
      <c r="F463" s="62"/>
      <c r="H463" s="40"/>
      <c r="I463" s="42"/>
      <c r="J463" s="42"/>
      <c r="K463" s="63"/>
      <c r="L463" s="63"/>
      <c r="M463" s="63"/>
      <c r="Q463" s="44"/>
      <c r="R463" s="44"/>
      <c r="S463" s="44"/>
      <c r="T463" s="44"/>
      <c r="U463" s="44"/>
    </row>
    <row r="464">
      <c r="F464" s="62"/>
      <c r="H464" s="40"/>
      <c r="I464" s="42"/>
      <c r="J464" s="42"/>
      <c r="K464" s="63"/>
      <c r="L464" s="63"/>
      <c r="M464" s="63"/>
      <c r="Q464" s="44"/>
      <c r="R464" s="44"/>
      <c r="S464" s="44"/>
      <c r="T464" s="44"/>
      <c r="U464" s="44"/>
    </row>
    <row r="465">
      <c r="F465" s="62"/>
      <c r="H465" s="40"/>
      <c r="I465" s="42"/>
      <c r="J465" s="42"/>
      <c r="K465" s="63"/>
      <c r="L465" s="63"/>
      <c r="M465" s="63"/>
      <c r="Q465" s="44"/>
      <c r="R465" s="44"/>
      <c r="S465" s="44"/>
      <c r="T465" s="44"/>
      <c r="U465" s="44"/>
    </row>
    <row r="466">
      <c r="F466" s="62"/>
      <c r="H466" s="40"/>
      <c r="I466" s="42"/>
      <c r="J466" s="42"/>
      <c r="K466" s="63"/>
      <c r="L466" s="63"/>
      <c r="M466" s="63"/>
      <c r="Q466" s="44"/>
      <c r="R466" s="44"/>
      <c r="S466" s="44"/>
      <c r="T466" s="44"/>
      <c r="U466" s="44"/>
    </row>
    <row r="467">
      <c r="F467" s="62"/>
      <c r="H467" s="40"/>
      <c r="I467" s="42"/>
      <c r="J467" s="42"/>
      <c r="K467" s="63"/>
      <c r="L467" s="63"/>
      <c r="M467" s="63"/>
      <c r="Q467" s="44"/>
      <c r="R467" s="44"/>
      <c r="S467" s="44"/>
      <c r="T467" s="44"/>
      <c r="U467" s="44"/>
    </row>
    <row r="468">
      <c r="F468" s="62"/>
      <c r="H468" s="40"/>
      <c r="I468" s="42"/>
      <c r="J468" s="42"/>
      <c r="K468" s="63"/>
      <c r="L468" s="63"/>
      <c r="M468" s="63"/>
      <c r="Q468" s="44"/>
      <c r="R468" s="44"/>
      <c r="S468" s="44"/>
      <c r="T468" s="44"/>
      <c r="U468" s="44"/>
    </row>
    <row r="469">
      <c r="F469" s="62"/>
      <c r="H469" s="40"/>
      <c r="I469" s="42"/>
      <c r="J469" s="42"/>
      <c r="K469" s="63"/>
      <c r="L469" s="63"/>
      <c r="M469" s="63"/>
      <c r="Q469" s="44"/>
      <c r="R469" s="44"/>
      <c r="S469" s="44"/>
      <c r="T469" s="44"/>
      <c r="U469" s="44"/>
    </row>
    <row r="470">
      <c r="F470" s="62"/>
      <c r="H470" s="40"/>
      <c r="I470" s="42"/>
      <c r="J470" s="42"/>
      <c r="K470" s="63"/>
      <c r="L470" s="63"/>
      <c r="M470" s="63"/>
      <c r="Q470" s="44"/>
      <c r="R470" s="44"/>
      <c r="S470" s="44"/>
      <c r="T470" s="44"/>
      <c r="U470" s="44"/>
    </row>
    <row r="471">
      <c r="F471" s="62"/>
      <c r="H471" s="40"/>
      <c r="I471" s="42"/>
      <c r="J471" s="42"/>
      <c r="K471" s="63"/>
      <c r="L471" s="63"/>
      <c r="M471" s="63"/>
      <c r="Q471" s="44"/>
      <c r="R471" s="44"/>
      <c r="S471" s="44"/>
      <c r="T471" s="44"/>
      <c r="U471" s="44"/>
    </row>
    <row r="472">
      <c r="F472" s="62"/>
      <c r="H472" s="40"/>
      <c r="I472" s="42"/>
      <c r="J472" s="42"/>
      <c r="K472" s="63"/>
      <c r="L472" s="63"/>
      <c r="M472" s="63"/>
      <c r="Q472" s="44"/>
      <c r="R472" s="44"/>
      <c r="S472" s="44"/>
      <c r="T472" s="44"/>
      <c r="U472" s="44"/>
    </row>
    <row r="473">
      <c r="F473" s="62"/>
      <c r="H473" s="40"/>
      <c r="I473" s="42"/>
      <c r="J473" s="42"/>
      <c r="K473" s="63"/>
      <c r="L473" s="63"/>
      <c r="M473" s="63"/>
      <c r="Q473" s="44"/>
      <c r="R473" s="44"/>
      <c r="S473" s="44"/>
      <c r="T473" s="44"/>
      <c r="U473" s="44"/>
    </row>
    <row r="474">
      <c r="F474" s="62"/>
      <c r="H474" s="40"/>
      <c r="I474" s="42"/>
      <c r="J474" s="42"/>
      <c r="K474" s="63"/>
      <c r="L474" s="63"/>
      <c r="M474" s="63"/>
      <c r="Q474" s="44"/>
      <c r="R474" s="44"/>
      <c r="S474" s="44"/>
      <c r="T474" s="44"/>
      <c r="U474" s="44"/>
    </row>
    <row r="475">
      <c r="F475" s="62"/>
      <c r="H475" s="40"/>
      <c r="I475" s="42"/>
      <c r="J475" s="42"/>
      <c r="K475" s="63"/>
      <c r="L475" s="63"/>
      <c r="M475" s="63"/>
      <c r="Q475" s="44"/>
      <c r="R475" s="44"/>
      <c r="S475" s="44"/>
      <c r="T475" s="44"/>
      <c r="U475" s="44"/>
    </row>
    <row r="476">
      <c r="F476" s="62"/>
      <c r="H476" s="40"/>
      <c r="I476" s="42"/>
      <c r="J476" s="42"/>
      <c r="K476" s="63"/>
      <c r="L476" s="63"/>
      <c r="M476" s="63"/>
      <c r="Q476" s="44"/>
      <c r="R476" s="44"/>
      <c r="S476" s="44"/>
      <c r="T476" s="44"/>
      <c r="U476" s="44"/>
    </row>
    <row r="477">
      <c r="F477" s="62"/>
      <c r="H477" s="40"/>
      <c r="I477" s="42"/>
      <c r="J477" s="42"/>
      <c r="K477" s="63"/>
      <c r="L477" s="63"/>
      <c r="M477" s="63"/>
      <c r="Q477" s="44"/>
      <c r="R477" s="44"/>
      <c r="S477" s="44"/>
      <c r="T477" s="44"/>
      <c r="U477" s="44"/>
    </row>
    <row r="478">
      <c r="F478" s="62"/>
      <c r="H478" s="40"/>
      <c r="I478" s="42"/>
      <c r="J478" s="42"/>
      <c r="K478" s="63"/>
      <c r="L478" s="63"/>
      <c r="M478" s="63"/>
      <c r="Q478" s="44"/>
      <c r="R478" s="44"/>
      <c r="S478" s="44"/>
      <c r="T478" s="44"/>
      <c r="U478" s="44"/>
    </row>
    <row r="479">
      <c r="F479" s="62"/>
      <c r="H479" s="40"/>
      <c r="I479" s="42"/>
      <c r="J479" s="42"/>
      <c r="K479" s="63"/>
      <c r="L479" s="63"/>
      <c r="M479" s="63"/>
      <c r="Q479" s="44"/>
      <c r="R479" s="44"/>
      <c r="S479" s="44"/>
      <c r="T479" s="44"/>
      <c r="U479" s="44"/>
    </row>
    <row r="480">
      <c r="F480" s="62"/>
      <c r="H480" s="40"/>
      <c r="I480" s="42"/>
      <c r="J480" s="42"/>
      <c r="K480" s="63"/>
      <c r="L480" s="63"/>
      <c r="M480" s="63"/>
      <c r="Q480" s="44"/>
      <c r="R480" s="44"/>
      <c r="S480" s="44"/>
      <c r="T480" s="44"/>
      <c r="U480" s="44"/>
    </row>
    <row r="481">
      <c r="F481" s="62"/>
      <c r="H481" s="40"/>
      <c r="I481" s="42"/>
      <c r="J481" s="42"/>
      <c r="K481" s="63"/>
      <c r="L481" s="63"/>
      <c r="M481" s="63"/>
      <c r="Q481" s="44"/>
      <c r="R481" s="44"/>
      <c r="S481" s="44"/>
      <c r="T481" s="44"/>
      <c r="U481" s="44"/>
    </row>
    <row r="482">
      <c r="F482" s="62"/>
      <c r="H482" s="40"/>
      <c r="I482" s="42"/>
      <c r="J482" s="42"/>
      <c r="K482" s="63"/>
      <c r="L482" s="63"/>
      <c r="M482" s="63"/>
      <c r="Q482" s="44"/>
      <c r="R482" s="44"/>
      <c r="S482" s="44"/>
      <c r="T482" s="44"/>
      <c r="U482" s="44"/>
    </row>
    <row r="483">
      <c r="F483" s="62"/>
      <c r="H483" s="40"/>
      <c r="I483" s="42"/>
      <c r="J483" s="42"/>
      <c r="K483" s="63"/>
      <c r="L483" s="63"/>
      <c r="M483" s="63"/>
      <c r="Q483" s="44"/>
      <c r="R483" s="44"/>
      <c r="S483" s="44"/>
      <c r="T483" s="44"/>
      <c r="U483" s="44"/>
    </row>
    <row r="484">
      <c r="F484" s="62"/>
      <c r="H484" s="40"/>
      <c r="I484" s="42"/>
      <c r="J484" s="42"/>
      <c r="K484" s="63"/>
      <c r="L484" s="63"/>
      <c r="M484" s="63"/>
      <c r="Q484" s="44"/>
      <c r="R484" s="44"/>
      <c r="S484" s="44"/>
      <c r="T484" s="44"/>
      <c r="U484" s="44"/>
    </row>
    <row r="485">
      <c r="F485" s="62"/>
      <c r="H485" s="40"/>
      <c r="I485" s="42"/>
      <c r="J485" s="42"/>
      <c r="K485" s="63"/>
      <c r="L485" s="63"/>
      <c r="M485" s="63"/>
      <c r="Q485" s="44"/>
      <c r="R485" s="44"/>
      <c r="S485" s="44"/>
      <c r="T485" s="44"/>
      <c r="U485" s="44"/>
    </row>
    <row r="486">
      <c r="F486" s="62"/>
      <c r="H486" s="40"/>
      <c r="I486" s="42"/>
      <c r="J486" s="42"/>
      <c r="K486" s="63"/>
      <c r="L486" s="63"/>
      <c r="M486" s="63"/>
      <c r="Q486" s="44"/>
      <c r="R486" s="44"/>
      <c r="S486" s="44"/>
      <c r="T486" s="44"/>
      <c r="U486" s="44"/>
    </row>
    <row r="487">
      <c r="F487" s="62"/>
      <c r="H487" s="40"/>
      <c r="I487" s="42"/>
      <c r="J487" s="42"/>
      <c r="K487" s="63"/>
      <c r="L487" s="63"/>
      <c r="M487" s="63"/>
      <c r="Q487" s="44"/>
      <c r="R487" s="44"/>
      <c r="S487" s="44"/>
      <c r="T487" s="44"/>
      <c r="U487" s="44"/>
    </row>
    <row r="488">
      <c r="F488" s="62"/>
      <c r="H488" s="40"/>
      <c r="I488" s="42"/>
      <c r="J488" s="42"/>
      <c r="K488" s="63"/>
      <c r="L488" s="63"/>
      <c r="M488" s="63"/>
      <c r="Q488" s="44"/>
      <c r="R488" s="44"/>
      <c r="S488" s="44"/>
      <c r="T488" s="44"/>
      <c r="U488" s="44"/>
    </row>
    <row r="489">
      <c r="F489" s="62"/>
      <c r="H489" s="40"/>
      <c r="I489" s="42"/>
      <c r="J489" s="42"/>
      <c r="K489" s="63"/>
      <c r="L489" s="63"/>
      <c r="M489" s="63"/>
      <c r="Q489" s="44"/>
      <c r="R489" s="44"/>
      <c r="S489" s="44"/>
      <c r="T489" s="44"/>
      <c r="U489" s="44"/>
    </row>
    <row r="490">
      <c r="F490" s="62"/>
      <c r="H490" s="40"/>
      <c r="I490" s="42"/>
      <c r="J490" s="42"/>
      <c r="K490" s="63"/>
      <c r="L490" s="63"/>
      <c r="M490" s="63"/>
      <c r="Q490" s="44"/>
      <c r="R490" s="44"/>
      <c r="S490" s="44"/>
      <c r="T490" s="44"/>
      <c r="U490" s="44"/>
    </row>
    <row r="491">
      <c r="F491" s="62"/>
      <c r="H491" s="40"/>
      <c r="I491" s="42"/>
      <c r="J491" s="42"/>
      <c r="K491" s="63"/>
      <c r="L491" s="63"/>
      <c r="M491" s="63"/>
      <c r="Q491" s="44"/>
      <c r="R491" s="44"/>
      <c r="S491" s="44"/>
      <c r="T491" s="44"/>
      <c r="U491" s="44"/>
    </row>
    <row r="492">
      <c r="F492" s="62"/>
      <c r="H492" s="40"/>
      <c r="I492" s="42"/>
      <c r="J492" s="42"/>
      <c r="K492" s="63"/>
      <c r="L492" s="63"/>
      <c r="M492" s="63"/>
      <c r="Q492" s="44"/>
      <c r="R492" s="44"/>
      <c r="S492" s="44"/>
      <c r="T492" s="44"/>
      <c r="U492" s="44"/>
    </row>
    <row r="493">
      <c r="F493" s="62"/>
      <c r="H493" s="40"/>
      <c r="I493" s="42"/>
      <c r="J493" s="42"/>
      <c r="K493" s="63"/>
      <c r="L493" s="63"/>
      <c r="M493" s="63"/>
      <c r="Q493" s="44"/>
      <c r="R493" s="44"/>
      <c r="S493" s="44"/>
      <c r="T493" s="44"/>
      <c r="U493" s="44"/>
    </row>
    <row r="494">
      <c r="F494" s="62"/>
      <c r="H494" s="40"/>
      <c r="I494" s="42"/>
      <c r="J494" s="42"/>
      <c r="K494" s="63"/>
      <c r="L494" s="63"/>
      <c r="M494" s="63"/>
      <c r="Q494" s="44"/>
      <c r="R494" s="44"/>
      <c r="S494" s="44"/>
      <c r="T494" s="44"/>
      <c r="U494" s="44"/>
    </row>
    <row r="495">
      <c r="F495" s="62"/>
      <c r="H495" s="40"/>
      <c r="I495" s="42"/>
      <c r="J495" s="42"/>
      <c r="K495" s="63"/>
      <c r="L495" s="63"/>
      <c r="M495" s="63"/>
      <c r="Q495" s="44"/>
      <c r="R495" s="44"/>
      <c r="S495" s="44"/>
      <c r="T495" s="44"/>
      <c r="U495" s="44"/>
    </row>
    <row r="496">
      <c r="F496" s="62"/>
      <c r="H496" s="40"/>
      <c r="I496" s="42"/>
      <c r="J496" s="42"/>
      <c r="K496" s="63"/>
      <c r="L496" s="63"/>
      <c r="M496" s="63"/>
      <c r="Q496" s="44"/>
      <c r="R496" s="44"/>
      <c r="S496" s="44"/>
      <c r="T496" s="44"/>
      <c r="U496" s="44"/>
    </row>
    <row r="497">
      <c r="F497" s="62"/>
      <c r="H497" s="40"/>
      <c r="I497" s="42"/>
      <c r="J497" s="42"/>
      <c r="K497" s="63"/>
      <c r="L497" s="63"/>
      <c r="M497" s="63"/>
      <c r="Q497" s="44"/>
      <c r="R497" s="44"/>
      <c r="S497" s="44"/>
      <c r="T497" s="44"/>
      <c r="U497" s="44"/>
    </row>
    <row r="498">
      <c r="F498" s="62"/>
      <c r="H498" s="40"/>
      <c r="I498" s="42"/>
      <c r="J498" s="42"/>
      <c r="K498" s="63"/>
      <c r="L498" s="63"/>
      <c r="M498" s="63"/>
      <c r="Q498" s="44"/>
      <c r="R498" s="44"/>
      <c r="S498" s="44"/>
      <c r="T498" s="44"/>
      <c r="U498" s="44"/>
    </row>
    <row r="499">
      <c r="F499" s="62"/>
      <c r="H499" s="40"/>
      <c r="I499" s="42"/>
      <c r="J499" s="42"/>
      <c r="K499" s="63"/>
      <c r="L499" s="63"/>
      <c r="M499" s="63"/>
      <c r="Q499" s="44"/>
      <c r="R499" s="44"/>
      <c r="S499" s="44"/>
      <c r="T499" s="44"/>
      <c r="U499" s="44"/>
    </row>
    <row r="500">
      <c r="F500" s="62"/>
      <c r="H500" s="40"/>
      <c r="I500" s="42"/>
      <c r="J500" s="42"/>
      <c r="K500" s="63"/>
      <c r="L500" s="63"/>
      <c r="M500" s="63"/>
      <c r="Q500" s="44"/>
      <c r="R500" s="44"/>
      <c r="S500" s="44"/>
      <c r="T500" s="44"/>
      <c r="U500" s="44"/>
    </row>
    <row r="501">
      <c r="F501" s="62"/>
      <c r="H501" s="40"/>
      <c r="I501" s="42"/>
      <c r="J501" s="42"/>
      <c r="K501" s="63"/>
      <c r="L501" s="63"/>
      <c r="M501" s="63"/>
      <c r="Q501" s="44"/>
      <c r="R501" s="44"/>
      <c r="S501" s="44"/>
      <c r="T501" s="44"/>
      <c r="U501" s="44"/>
    </row>
    <row r="502">
      <c r="F502" s="62"/>
      <c r="H502" s="40"/>
      <c r="I502" s="42"/>
      <c r="J502" s="42"/>
      <c r="K502" s="63"/>
      <c r="L502" s="63"/>
      <c r="M502" s="63"/>
      <c r="Q502" s="44"/>
      <c r="R502" s="44"/>
      <c r="S502" s="44"/>
      <c r="T502" s="44"/>
      <c r="U502" s="44"/>
    </row>
    <row r="503">
      <c r="F503" s="62"/>
      <c r="H503" s="40"/>
      <c r="I503" s="42"/>
      <c r="J503" s="42"/>
      <c r="K503" s="63"/>
      <c r="L503" s="63"/>
      <c r="M503" s="63"/>
      <c r="Q503" s="44"/>
      <c r="R503" s="44"/>
      <c r="S503" s="44"/>
      <c r="T503" s="44"/>
      <c r="U503" s="44"/>
    </row>
    <row r="504">
      <c r="F504" s="62"/>
      <c r="H504" s="40"/>
      <c r="I504" s="42"/>
      <c r="J504" s="42"/>
      <c r="K504" s="63"/>
      <c r="L504" s="63"/>
      <c r="M504" s="63"/>
      <c r="Q504" s="44"/>
      <c r="R504" s="44"/>
      <c r="S504" s="44"/>
      <c r="T504" s="44"/>
      <c r="U504" s="44"/>
    </row>
    <row r="505">
      <c r="F505" s="62"/>
      <c r="H505" s="40"/>
      <c r="I505" s="42"/>
      <c r="J505" s="42"/>
      <c r="K505" s="63"/>
      <c r="L505" s="63"/>
      <c r="M505" s="63"/>
      <c r="Q505" s="44"/>
      <c r="R505" s="44"/>
      <c r="S505" s="44"/>
      <c r="T505" s="44"/>
      <c r="U505" s="44"/>
    </row>
    <row r="506">
      <c r="F506" s="62"/>
      <c r="H506" s="40"/>
      <c r="I506" s="42"/>
      <c r="J506" s="42"/>
      <c r="K506" s="63"/>
      <c r="L506" s="63"/>
      <c r="M506" s="63"/>
      <c r="Q506" s="44"/>
      <c r="R506" s="44"/>
      <c r="S506" s="44"/>
      <c r="T506" s="44"/>
      <c r="U506" s="44"/>
    </row>
    <row r="507">
      <c r="F507" s="62"/>
      <c r="H507" s="40"/>
      <c r="I507" s="42"/>
      <c r="J507" s="42"/>
      <c r="K507" s="63"/>
      <c r="L507" s="63"/>
      <c r="M507" s="63"/>
      <c r="Q507" s="44"/>
      <c r="R507" s="44"/>
      <c r="S507" s="44"/>
      <c r="T507" s="44"/>
      <c r="U507" s="44"/>
    </row>
    <row r="508">
      <c r="F508" s="62"/>
      <c r="H508" s="40"/>
      <c r="I508" s="42"/>
      <c r="J508" s="42"/>
      <c r="K508" s="63"/>
      <c r="L508" s="63"/>
      <c r="M508" s="63"/>
      <c r="Q508" s="44"/>
      <c r="R508" s="44"/>
      <c r="S508" s="44"/>
      <c r="T508" s="44"/>
      <c r="U508" s="44"/>
    </row>
    <row r="509">
      <c r="F509" s="62"/>
      <c r="H509" s="40"/>
      <c r="I509" s="42"/>
      <c r="J509" s="42"/>
      <c r="K509" s="63"/>
      <c r="L509" s="63"/>
      <c r="M509" s="63"/>
      <c r="Q509" s="44"/>
      <c r="R509" s="44"/>
      <c r="S509" s="44"/>
      <c r="T509" s="44"/>
      <c r="U509" s="44"/>
    </row>
    <row r="510">
      <c r="F510" s="62"/>
      <c r="H510" s="40"/>
      <c r="I510" s="42"/>
      <c r="J510" s="42"/>
      <c r="K510" s="63"/>
      <c r="L510" s="63"/>
      <c r="M510" s="63"/>
      <c r="Q510" s="44"/>
      <c r="R510" s="44"/>
      <c r="S510" s="44"/>
      <c r="T510" s="44"/>
      <c r="U510" s="44"/>
    </row>
    <row r="511">
      <c r="F511" s="62"/>
      <c r="H511" s="40"/>
      <c r="I511" s="42"/>
      <c r="J511" s="42"/>
      <c r="K511" s="63"/>
      <c r="L511" s="63"/>
      <c r="M511" s="63"/>
      <c r="Q511" s="44"/>
      <c r="R511" s="44"/>
      <c r="S511" s="44"/>
      <c r="T511" s="44"/>
      <c r="U511" s="44"/>
    </row>
    <row r="512">
      <c r="F512" s="62"/>
      <c r="H512" s="40"/>
      <c r="I512" s="42"/>
      <c r="J512" s="42"/>
      <c r="K512" s="63"/>
      <c r="L512" s="63"/>
      <c r="M512" s="63"/>
      <c r="Q512" s="44"/>
      <c r="R512" s="44"/>
      <c r="S512" s="44"/>
      <c r="T512" s="44"/>
      <c r="U512" s="44"/>
    </row>
    <row r="513">
      <c r="F513" s="62"/>
      <c r="H513" s="40"/>
      <c r="I513" s="42"/>
      <c r="J513" s="42"/>
      <c r="K513" s="63"/>
      <c r="L513" s="63"/>
      <c r="M513" s="63"/>
      <c r="Q513" s="44"/>
      <c r="R513" s="44"/>
      <c r="S513" s="44"/>
      <c r="T513" s="44"/>
      <c r="U513" s="44"/>
    </row>
    <row r="514">
      <c r="F514" s="62"/>
      <c r="H514" s="40"/>
      <c r="I514" s="42"/>
      <c r="J514" s="42"/>
      <c r="K514" s="63"/>
      <c r="L514" s="63"/>
      <c r="M514" s="63"/>
      <c r="Q514" s="44"/>
      <c r="R514" s="44"/>
      <c r="S514" s="44"/>
      <c r="T514" s="44"/>
      <c r="U514" s="44"/>
    </row>
    <row r="515">
      <c r="F515" s="62"/>
      <c r="H515" s="40"/>
      <c r="I515" s="42"/>
      <c r="J515" s="42"/>
      <c r="K515" s="63"/>
      <c r="L515" s="63"/>
      <c r="M515" s="63"/>
      <c r="Q515" s="44"/>
      <c r="R515" s="44"/>
      <c r="S515" s="44"/>
      <c r="T515" s="44"/>
      <c r="U515" s="44"/>
    </row>
    <row r="516">
      <c r="F516" s="62"/>
      <c r="H516" s="40"/>
      <c r="I516" s="42"/>
      <c r="J516" s="42"/>
      <c r="K516" s="63"/>
      <c r="L516" s="63"/>
      <c r="M516" s="63"/>
      <c r="Q516" s="44"/>
      <c r="R516" s="44"/>
      <c r="S516" s="44"/>
      <c r="T516" s="44"/>
      <c r="U516" s="44"/>
    </row>
    <row r="517">
      <c r="F517" s="62"/>
      <c r="H517" s="40"/>
      <c r="I517" s="42"/>
      <c r="J517" s="42"/>
      <c r="K517" s="63"/>
      <c r="L517" s="63"/>
      <c r="M517" s="63"/>
      <c r="Q517" s="44"/>
      <c r="R517" s="44"/>
      <c r="S517" s="44"/>
      <c r="T517" s="44"/>
      <c r="U517" s="44"/>
    </row>
    <row r="518">
      <c r="F518" s="62"/>
      <c r="H518" s="40"/>
      <c r="I518" s="42"/>
      <c r="J518" s="42"/>
      <c r="K518" s="63"/>
      <c r="L518" s="63"/>
      <c r="M518" s="63"/>
      <c r="Q518" s="44"/>
      <c r="R518" s="44"/>
      <c r="S518" s="44"/>
      <c r="T518" s="44"/>
      <c r="U518" s="44"/>
    </row>
    <row r="519">
      <c r="F519" s="62"/>
      <c r="H519" s="40"/>
      <c r="I519" s="42"/>
      <c r="J519" s="42"/>
      <c r="K519" s="63"/>
      <c r="L519" s="63"/>
      <c r="M519" s="63"/>
      <c r="Q519" s="44"/>
      <c r="R519" s="44"/>
      <c r="S519" s="44"/>
      <c r="T519" s="44"/>
      <c r="U519" s="44"/>
    </row>
    <row r="520">
      <c r="F520" s="62"/>
      <c r="H520" s="40"/>
      <c r="I520" s="42"/>
      <c r="J520" s="42"/>
      <c r="K520" s="63"/>
      <c r="L520" s="63"/>
      <c r="M520" s="63"/>
      <c r="Q520" s="44"/>
      <c r="R520" s="44"/>
      <c r="S520" s="44"/>
      <c r="T520" s="44"/>
      <c r="U520" s="44"/>
    </row>
    <row r="521">
      <c r="F521" s="62"/>
      <c r="H521" s="40"/>
      <c r="I521" s="42"/>
      <c r="J521" s="42"/>
      <c r="K521" s="63"/>
      <c r="L521" s="63"/>
      <c r="M521" s="63"/>
      <c r="Q521" s="44"/>
      <c r="R521" s="44"/>
      <c r="S521" s="44"/>
      <c r="T521" s="44"/>
      <c r="U521" s="44"/>
    </row>
    <row r="522">
      <c r="F522" s="62"/>
      <c r="H522" s="40"/>
      <c r="I522" s="42"/>
      <c r="J522" s="42"/>
      <c r="K522" s="63"/>
      <c r="L522" s="63"/>
      <c r="M522" s="63"/>
      <c r="Q522" s="44"/>
      <c r="R522" s="44"/>
      <c r="S522" s="44"/>
      <c r="T522" s="44"/>
      <c r="U522" s="44"/>
    </row>
    <row r="523">
      <c r="F523" s="62"/>
      <c r="H523" s="40"/>
      <c r="I523" s="42"/>
      <c r="J523" s="42"/>
      <c r="K523" s="63"/>
      <c r="L523" s="63"/>
      <c r="M523" s="63"/>
      <c r="Q523" s="44"/>
      <c r="R523" s="44"/>
      <c r="S523" s="44"/>
      <c r="T523" s="44"/>
      <c r="U523" s="44"/>
    </row>
    <row r="524">
      <c r="F524" s="62"/>
      <c r="H524" s="40"/>
      <c r="I524" s="42"/>
      <c r="J524" s="42"/>
      <c r="K524" s="63"/>
      <c r="L524" s="63"/>
      <c r="M524" s="63"/>
      <c r="Q524" s="44"/>
      <c r="R524" s="44"/>
      <c r="S524" s="44"/>
      <c r="T524" s="44"/>
      <c r="U524" s="44"/>
    </row>
    <row r="525">
      <c r="F525" s="62"/>
      <c r="H525" s="40"/>
      <c r="I525" s="42"/>
      <c r="J525" s="42"/>
      <c r="K525" s="63"/>
      <c r="L525" s="63"/>
      <c r="M525" s="63"/>
      <c r="Q525" s="44"/>
      <c r="R525" s="44"/>
      <c r="S525" s="44"/>
      <c r="T525" s="44"/>
      <c r="U525" s="44"/>
    </row>
    <row r="526">
      <c r="F526" s="62"/>
      <c r="H526" s="40"/>
      <c r="I526" s="42"/>
      <c r="J526" s="42"/>
      <c r="K526" s="63"/>
      <c r="L526" s="63"/>
      <c r="M526" s="63"/>
      <c r="Q526" s="44"/>
      <c r="R526" s="44"/>
      <c r="S526" s="44"/>
      <c r="T526" s="44"/>
      <c r="U526" s="44"/>
    </row>
    <row r="527">
      <c r="F527" s="62"/>
      <c r="H527" s="40"/>
      <c r="I527" s="42"/>
      <c r="J527" s="42"/>
      <c r="K527" s="63"/>
      <c r="L527" s="63"/>
      <c r="M527" s="63"/>
      <c r="Q527" s="44"/>
      <c r="R527" s="44"/>
      <c r="S527" s="44"/>
      <c r="T527" s="44"/>
      <c r="U527" s="44"/>
    </row>
    <row r="528">
      <c r="F528" s="62"/>
      <c r="H528" s="40"/>
      <c r="I528" s="42"/>
      <c r="J528" s="42"/>
      <c r="K528" s="63"/>
      <c r="L528" s="63"/>
      <c r="M528" s="63"/>
      <c r="Q528" s="44"/>
      <c r="R528" s="44"/>
      <c r="S528" s="44"/>
      <c r="T528" s="44"/>
      <c r="U528" s="44"/>
    </row>
    <row r="529">
      <c r="F529" s="62"/>
      <c r="H529" s="40"/>
      <c r="I529" s="42"/>
      <c r="J529" s="42"/>
      <c r="K529" s="63"/>
      <c r="L529" s="63"/>
      <c r="M529" s="63"/>
      <c r="Q529" s="44"/>
      <c r="R529" s="44"/>
      <c r="S529" s="44"/>
      <c r="T529" s="44"/>
      <c r="U529" s="44"/>
    </row>
    <row r="530">
      <c r="F530" s="62"/>
      <c r="H530" s="40"/>
      <c r="I530" s="42"/>
      <c r="J530" s="42"/>
      <c r="K530" s="63"/>
      <c r="L530" s="63"/>
      <c r="M530" s="63"/>
      <c r="Q530" s="44"/>
      <c r="R530" s="44"/>
      <c r="S530" s="44"/>
      <c r="T530" s="44"/>
      <c r="U530" s="44"/>
    </row>
    <row r="531">
      <c r="F531" s="62"/>
      <c r="H531" s="40"/>
      <c r="I531" s="42"/>
      <c r="J531" s="42"/>
      <c r="K531" s="63"/>
      <c r="L531" s="63"/>
      <c r="M531" s="63"/>
      <c r="Q531" s="44"/>
      <c r="R531" s="44"/>
      <c r="S531" s="44"/>
      <c r="T531" s="44"/>
      <c r="U531" s="44"/>
    </row>
    <row r="532">
      <c r="F532" s="62"/>
      <c r="H532" s="40"/>
      <c r="I532" s="42"/>
      <c r="J532" s="42"/>
      <c r="K532" s="63"/>
      <c r="L532" s="63"/>
      <c r="M532" s="63"/>
      <c r="Q532" s="44"/>
      <c r="R532" s="44"/>
      <c r="S532" s="44"/>
      <c r="T532" s="44"/>
      <c r="U532" s="44"/>
    </row>
    <row r="533">
      <c r="F533" s="62"/>
      <c r="H533" s="40"/>
      <c r="I533" s="42"/>
      <c r="J533" s="42"/>
      <c r="K533" s="63"/>
      <c r="L533" s="63"/>
      <c r="M533" s="63"/>
      <c r="Q533" s="44"/>
      <c r="R533" s="44"/>
      <c r="S533" s="44"/>
      <c r="T533" s="44"/>
      <c r="U533" s="44"/>
    </row>
    <row r="534">
      <c r="F534" s="62"/>
      <c r="H534" s="40"/>
      <c r="I534" s="42"/>
      <c r="J534" s="42"/>
      <c r="K534" s="63"/>
      <c r="L534" s="63"/>
      <c r="M534" s="63"/>
      <c r="Q534" s="44"/>
      <c r="R534" s="44"/>
      <c r="S534" s="44"/>
      <c r="T534" s="44"/>
      <c r="U534" s="44"/>
    </row>
    <row r="535">
      <c r="F535" s="62"/>
      <c r="H535" s="40"/>
      <c r="I535" s="42"/>
      <c r="J535" s="42"/>
      <c r="K535" s="63"/>
      <c r="L535" s="63"/>
      <c r="M535" s="63"/>
      <c r="Q535" s="44"/>
      <c r="R535" s="44"/>
      <c r="S535" s="44"/>
      <c r="T535" s="44"/>
      <c r="U535" s="44"/>
    </row>
    <row r="536">
      <c r="F536" s="62"/>
      <c r="H536" s="40"/>
      <c r="I536" s="42"/>
      <c r="J536" s="42"/>
      <c r="K536" s="63"/>
      <c r="L536" s="63"/>
      <c r="M536" s="63"/>
      <c r="Q536" s="44"/>
      <c r="R536" s="44"/>
      <c r="S536" s="44"/>
      <c r="T536" s="44"/>
      <c r="U536" s="44"/>
    </row>
    <row r="537">
      <c r="F537" s="62"/>
      <c r="H537" s="40"/>
      <c r="I537" s="42"/>
      <c r="J537" s="42"/>
      <c r="K537" s="63"/>
      <c r="L537" s="63"/>
      <c r="M537" s="63"/>
      <c r="Q537" s="44"/>
      <c r="R537" s="44"/>
      <c r="S537" s="44"/>
      <c r="T537" s="44"/>
      <c r="U537" s="44"/>
    </row>
    <row r="538">
      <c r="F538" s="62"/>
      <c r="H538" s="40"/>
      <c r="I538" s="42"/>
      <c r="J538" s="42"/>
      <c r="K538" s="63"/>
      <c r="L538" s="63"/>
      <c r="M538" s="63"/>
      <c r="Q538" s="44"/>
      <c r="R538" s="44"/>
      <c r="S538" s="44"/>
      <c r="T538" s="44"/>
      <c r="U538" s="44"/>
    </row>
    <row r="539">
      <c r="F539" s="62"/>
      <c r="H539" s="40"/>
      <c r="I539" s="42"/>
      <c r="J539" s="42"/>
      <c r="K539" s="63"/>
      <c r="L539" s="63"/>
      <c r="M539" s="63"/>
      <c r="Q539" s="44"/>
      <c r="R539" s="44"/>
      <c r="S539" s="44"/>
      <c r="T539" s="44"/>
      <c r="U539" s="44"/>
    </row>
    <row r="540">
      <c r="F540" s="62"/>
      <c r="H540" s="40"/>
      <c r="I540" s="42"/>
      <c r="J540" s="42"/>
      <c r="K540" s="63"/>
      <c r="L540" s="63"/>
      <c r="M540" s="63"/>
      <c r="Q540" s="44"/>
      <c r="R540" s="44"/>
      <c r="S540" s="44"/>
      <c r="T540" s="44"/>
      <c r="U540" s="44"/>
    </row>
    <row r="541">
      <c r="F541" s="62"/>
      <c r="H541" s="40"/>
      <c r="I541" s="42"/>
      <c r="J541" s="42"/>
      <c r="K541" s="63"/>
      <c r="L541" s="63"/>
      <c r="M541" s="63"/>
      <c r="Q541" s="44"/>
      <c r="R541" s="44"/>
      <c r="S541" s="44"/>
      <c r="T541" s="44"/>
      <c r="U541" s="44"/>
    </row>
    <row r="542">
      <c r="F542" s="62"/>
      <c r="H542" s="40"/>
      <c r="I542" s="42"/>
      <c r="J542" s="42"/>
      <c r="K542" s="63"/>
      <c r="L542" s="63"/>
      <c r="M542" s="63"/>
      <c r="Q542" s="44"/>
      <c r="R542" s="44"/>
      <c r="S542" s="44"/>
      <c r="T542" s="44"/>
      <c r="U542" s="44"/>
    </row>
    <row r="543">
      <c r="F543" s="62"/>
      <c r="H543" s="40"/>
      <c r="I543" s="42"/>
      <c r="J543" s="42"/>
      <c r="K543" s="63"/>
      <c r="L543" s="63"/>
      <c r="M543" s="63"/>
      <c r="Q543" s="44"/>
      <c r="R543" s="44"/>
      <c r="S543" s="44"/>
      <c r="T543" s="44"/>
      <c r="U543" s="44"/>
    </row>
    <row r="544">
      <c r="F544" s="62"/>
      <c r="H544" s="40"/>
      <c r="I544" s="42"/>
      <c r="J544" s="42"/>
      <c r="K544" s="63"/>
      <c r="L544" s="63"/>
      <c r="M544" s="63"/>
      <c r="Q544" s="44"/>
      <c r="R544" s="44"/>
      <c r="S544" s="44"/>
      <c r="T544" s="44"/>
      <c r="U544" s="44"/>
    </row>
    <row r="545">
      <c r="F545" s="62"/>
      <c r="H545" s="40"/>
      <c r="I545" s="42"/>
      <c r="J545" s="42"/>
      <c r="K545" s="63"/>
      <c r="L545" s="63"/>
      <c r="M545" s="63"/>
      <c r="Q545" s="44"/>
      <c r="R545" s="44"/>
      <c r="S545" s="44"/>
      <c r="T545" s="44"/>
      <c r="U545" s="44"/>
    </row>
    <row r="546">
      <c r="F546" s="62"/>
      <c r="H546" s="40"/>
      <c r="I546" s="42"/>
      <c r="J546" s="42"/>
      <c r="K546" s="63"/>
      <c r="L546" s="63"/>
      <c r="M546" s="63"/>
      <c r="Q546" s="44"/>
      <c r="R546" s="44"/>
      <c r="S546" s="44"/>
      <c r="T546" s="44"/>
      <c r="U546" s="44"/>
    </row>
    <row r="547">
      <c r="F547" s="62"/>
      <c r="H547" s="40"/>
      <c r="I547" s="42"/>
      <c r="J547" s="42"/>
      <c r="K547" s="63"/>
      <c r="L547" s="63"/>
      <c r="M547" s="63"/>
      <c r="Q547" s="44"/>
      <c r="R547" s="44"/>
      <c r="S547" s="44"/>
      <c r="T547" s="44"/>
      <c r="U547" s="44"/>
    </row>
    <row r="548">
      <c r="F548" s="62"/>
      <c r="H548" s="40"/>
      <c r="I548" s="42"/>
      <c r="J548" s="42"/>
      <c r="K548" s="63"/>
      <c r="L548" s="63"/>
      <c r="M548" s="63"/>
      <c r="Q548" s="44"/>
      <c r="R548" s="44"/>
      <c r="S548" s="44"/>
      <c r="T548" s="44"/>
      <c r="U548" s="44"/>
    </row>
    <row r="549">
      <c r="F549" s="62"/>
      <c r="H549" s="40"/>
      <c r="I549" s="42"/>
      <c r="J549" s="42"/>
      <c r="K549" s="63"/>
      <c r="L549" s="63"/>
      <c r="M549" s="63"/>
      <c r="Q549" s="44"/>
      <c r="R549" s="44"/>
      <c r="S549" s="44"/>
      <c r="T549" s="44"/>
      <c r="U549" s="44"/>
    </row>
    <row r="550">
      <c r="F550" s="62"/>
      <c r="H550" s="40"/>
      <c r="I550" s="42"/>
      <c r="J550" s="42"/>
      <c r="K550" s="63"/>
      <c r="L550" s="63"/>
      <c r="M550" s="63"/>
      <c r="Q550" s="44"/>
      <c r="R550" s="44"/>
      <c r="S550" s="44"/>
      <c r="T550" s="44"/>
      <c r="U550" s="44"/>
    </row>
    <row r="551">
      <c r="F551" s="62"/>
      <c r="H551" s="40"/>
      <c r="I551" s="42"/>
      <c r="J551" s="42"/>
      <c r="K551" s="63"/>
      <c r="L551" s="63"/>
      <c r="M551" s="63"/>
      <c r="Q551" s="44"/>
      <c r="R551" s="44"/>
      <c r="S551" s="44"/>
      <c r="T551" s="44"/>
      <c r="U551" s="44"/>
    </row>
    <row r="552">
      <c r="F552" s="62"/>
      <c r="H552" s="40"/>
      <c r="I552" s="42"/>
      <c r="J552" s="42"/>
      <c r="K552" s="63"/>
      <c r="L552" s="63"/>
      <c r="M552" s="63"/>
      <c r="Q552" s="44"/>
      <c r="R552" s="44"/>
      <c r="S552" s="44"/>
      <c r="T552" s="44"/>
      <c r="U552" s="44"/>
    </row>
    <row r="553">
      <c r="F553" s="62"/>
      <c r="H553" s="40"/>
      <c r="I553" s="42"/>
      <c r="J553" s="42"/>
      <c r="K553" s="63"/>
      <c r="L553" s="63"/>
      <c r="M553" s="63"/>
      <c r="Q553" s="44"/>
      <c r="R553" s="44"/>
      <c r="S553" s="44"/>
      <c r="T553" s="44"/>
      <c r="U553" s="44"/>
    </row>
    <row r="554">
      <c r="F554" s="62"/>
      <c r="H554" s="40"/>
      <c r="I554" s="42"/>
      <c r="J554" s="42"/>
      <c r="K554" s="63"/>
      <c r="L554" s="63"/>
      <c r="M554" s="63"/>
      <c r="Q554" s="44"/>
      <c r="R554" s="44"/>
      <c r="S554" s="44"/>
      <c r="T554" s="44"/>
      <c r="U554" s="44"/>
    </row>
    <row r="555">
      <c r="F555" s="62"/>
      <c r="H555" s="40"/>
      <c r="I555" s="42"/>
      <c r="J555" s="42"/>
      <c r="K555" s="63"/>
      <c r="L555" s="63"/>
      <c r="M555" s="63"/>
      <c r="Q555" s="44"/>
      <c r="R555" s="44"/>
      <c r="S555" s="44"/>
      <c r="T555" s="44"/>
      <c r="U555" s="44"/>
    </row>
    <row r="556">
      <c r="F556" s="62"/>
      <c r="H556" s="40"/>
      <c r="I556" s="42"/>
      <c r="J556" s="42"/>
      <c r="K556" s="63"/>
      <c r="L556" s="63"/>
      <c r="M556" s="63"/>
      <c r="Q556" s="44"/>
      <c r="R556" s="44"/>
      <c r="S556" s="44"/>
      <c r="T556" s="44"/>
      <c r="U556" s="44"/>
    </row>
    <row r="557">
      <c r="F557" s="62"/>
      <c r="H557" s="40"/>
      <c r="I557" s="42"/>
      <c r="J557" s="42"/>
      <c r="K557" s="63"/>
      <c r="L557" s="63"/>
      <c r="M557" s="63"/>
      <c r="Q557" s="44"/>
      <c r="R557" s="44"/>
      <c r="S557" s="44"/>
      <c r="T557" s="44"/>
      <c r="U557" s="44"/>
    </row>
    <row r="558">
      <c r="F558" s="62"/>
      <c r="H558" s="40"/>
      <c r="I558" s="42"/>
      <c r="J558" s="42"/>
      <c r="K558" s="63"/>
      <c r="L558" s="63"/>
      <c r="M558" s="63"/>
      <c r="Q558" s="44"/>
      <c r="R558" s="44"/>
      <c r="S558" s="44"/>
      <c r="T558" s="44"/>
      <c r="U558" s="44"/>
    </row>
    <row r="559">
      <c r="F559" s="62"/>
      <c r="H559" s="40"/>
      <c r="I559" s="42"/>
      <c r="J559" s="42"/>
      <c r="K559" s="63"/>
      <c r="L559" s="63"/>
      <c r="M559" s="63"/>
      <c r="Q559" s="44"/>
      <c r="R559" s="44"/>
      <c r="S559" s="44"/>
      <c r="T559" s="44"/>
      <c r="U559" s="44"/>
    </row>
    <row r="560">
      <c r="F560" s="62"/>
      <c r="H560" s="40"/>
      <c r="I560" s="42"/>
      <c r="J560" s="42"/>
      <c r="K560" s="63"/>
      <c r="L560" s="63"/>
      <c r="M560" s="63"/>
      <c r="Q560" s="44"/>
      <c r="R560" s="44"/>
      <c r="S560" s="44"/>
      <c r="T560" s="44"/>
      <c r="U560" s="44"/>
    </row>
    <row r="561">
      <c r="F561" s="62"/>
      <c r="H561" s="40"/>
      <c r="I561" s="42"/>
      <c r="J561" s="42"/>
      <c r="K561" s="63"/>
      <c r="L561" s="63"/>
      <c r="M561" s="63"/>
      <c r="Q561" s="44"/>
      <c r="R561" s="44"/>
      <c r="S561" s="44"/>
      <c r="T561" s="44"/>
      <c r="U561" s="44"/>
    </row>
    <row r="562">
      <c r="F562" s="62"/>
      <c r="H562" s="40"/>
      <c r="I562" s="42"/>
      <c r="J562" s="42"/>
      <c r="K562" s="63"/>
      <c r="L562" s="63"/>
      <c r="M562" s="63"/>
      <c r="Q562" s="44"/>
      <c r="R562" s="44"/>
      <c r="S562" s="44"/>
      <c r="T562" s="44"/>
      <c r="U562" s="44"/>
    </row>
    <row r="563">
      <c r="F563" s="62"/>
      <c r="H563" s="40"/>
      <c r="I563" s="42"/>
      <c r="J563" s="42"/>
      <c r="K563" s="63"/>
      <c r="L563" s="63"/>
      <c r="M563" s="63"/>
      <c r="Q563" s="44"/>
      <c r="R563" s="44"/>
      <c r="S563" s="44"/>
      <c r="T563" s="44"/>
      <c r="U563" s="44"/>
    </row>
    <row r="564">
      <c r="F564" s="62"/>
      <c r="H564" s="40"/>
      <c r="I564" s="42"/>
      <c r="J564" s="42"/>
      <c r="K564" s="63"/>
      <c r="L564" s="63"/>
      <c r="M564" s="63"/>
      <c r="Q564" s="44"/>
      <c r="R564" s="44"/>
      <c r="S564" s="44"/>
      <c r="T564" s="44"/>
      <c r="U564" s="44"/>
    </row>
    <row r="565">
      <c r="F565" s="62"/>
      <c r="H565" s="40"/>
      <c r="I565" s="42"/>
      <c r="J565" s="42"/>
      <c r="K565" s="63"/>
      <c r="L565" s="63"/>
      <c r="M565" s="63"/>
      <c r="Q565" s="44"/>
      <c r="R565" s="44"/>
      <c r="S565" s="44"/>
      <c r="T565" s="44"/>
      <c r="U565" s="44"/>
    </row>
    <row r="566">
      <c r="F566" s="62"/>
      <c r="H566" s="40"/>
      <c r="I566" s="42"/>
      <c r="J566" s="42"/>
      <c r="K566" s="63"/>
      <c r="L566" s="63"/>
      <c r="M566" s="63"/>
      <c r="Q566" s="44"/>
      <c r="R566" s="44"/>
      <c r="S566" s="44"/>
      <c r="T566" s="44"/>
      <c r="U566" s="44"/>
    </row>
    <row r="567">
      <c r="F567" s="62"/>
      <c r="H567" s="40"/>
      <c r="I567" s="42"/>
      <c r="J567" s="42"/>
      <c r="K567" s="63"/>
      <c r="L567" s="63"/>
      <c r="M567" s="63"/>
      <c r="Q567" s="44"/>
      <c r="R567" s="44"/>
      <c r="S567" s="44"/>
      <c r="T567" s="44"/>
      <c r="U567" s="44"/>
    </row>
    <row r="568">
      <c r="F568" s="62"/>
      <c r="H568" s="40"/>
      <c r="I568" s="42"/>
      <c r="J568" s="42"/>
      <c r="K568" s="63"/>
      <c r="L568" s="63"/>
      <c r="M568" s="63"/>
      <c r="Q568" s="44"/>
      <c r="R568" s="44"/>
      <c r="S568" s="44"/>
      <c r="T568" s="44"/>
      <c r="U568" s="44"/>
    </row>
    <row r="569">
      <c r="F569" s="62"/>
      <c r="H569" s="40"/>
      <c r="I569" s="42"/>
      <c r="J569" s="42"/>
      <c r="K569" s="63"/>
      <c r="L569" s="63"/>
      <c r="M569" s="63"/>
      <c r="Q569" s="44"/>
      <c r="R569" s="44"/>
      <c r="S569" s="44"/>
      <c r="T569" s="44"/>
      <c r="U569" s="44"/>
    </row>
    <row r="570">
      <c r="F570" s="62"/>
      <c r="H570" s="40"/>
      <c r="I570" s="42"/>
      <c r="J570" s="42"/>
      <c r="K570" s="63"/>
      <c r="L570" s="63"/>
      <c r="M570" s="63"/>
      <c r="Q570" s="44"/>
      <c r="R570" s="44"/>
      <c r="S570" s="44"/>
      <c r="T570" s="44"/>
      <c r="U570" s="44"/>
    </row>
    <row r="571">
      <c r="F571" s="62"/>
      <c r="H571" s="40"/>
      <c r="I571" s="42"/>
      <c r="J571" s="42"/>
      <c r="K571" s="63"/>
      <c r="L571" s="63"/>
      <c r="M571" s="63"/>
      <c r="Q571" s="44"/>
      <c r="R571" s="44"/>
      <c r="S571" s="44"/>
      <c r="T571" s="44"/>
      <c r="U571" s="44"/>
    </row>
    <row r="572">
      <c r="F572" s="62"/>
      <c r="H572" s="40"/>
      <c r="I572" s="42"/>
      <c r="J572" s="42"/>
      <c r="K572" s="63"/>
      <c r="L572" s="63"/>
      <c r="M572" s="63"/>
      <c r="Q572" s="44"/>
      <c r="R572" s="44"/>
      <c r="S572" s="44"/>
      <c r="T572" s="44"/>
      <c r="U572" s="44"/>
    </row>
    <row r="573">
      <c r="F573" s="62"/>
      <c r="H573" s="40"/>
      <c r="I573" s="42"/>
      <c r="J573" s="42"/>
      <c r="K573" s="63"/>
      <c r="L573" s="63"/>
      <c r="M573" s="63"/>
      <c r="Q573" s="44"/>
      <c r="R573" s="44"/>
      <c r="S573" s="44"/>
      <c r="T573" s="44"/>
      <c r="U573" s="44"/>
    </row>
    <row r="574">
      <c r="F574" s="62"/>
      <c r="H574" s="40"/>
      <c r="I574" s="42"/>
      <c r="J574" s="42"/>
      <c r="K574" s="63"/>
      <c r="L574" s="63"/>
      <c r="M574" s="63"/>
      <c r="Q574" s="44"/>
      <c r="R574" s="44"/>
      <c r="S574" s="44"/>
      <c r="T574" s="44"/>
      <c r="U574" s="44"/>
    </row>
    <row r="575">
      <c r="F575" s="62"/>
      <c r="H575" s="40"/>
      <c r="I575" s="42"/>
      <c r="J575" s="42"/>
      <c r="K575" s="63"/>
      <c r="L575" s="63"/>
      <c r="M575" s="63"/>
      <c r="Q575" s="44"/>
      <c r="R575" s="44"/>
      <c r="S575" s="44"/>
      <c r="T575" s="44"/>
      <c r="U575" s="44"/>
    </row>
    <row r="576">
      <c r="F576" s="62"/>
      <c r="H576" s="40"/>
      <c r="I576" s="42"/>
      <c r="J576" s="42"/>
      <c r="K576" s="63"/>
      <c r="L576" s="63"/>
      <c r="M576" s="63"/>
      <c r="Q576" s="44"/>
      <c r="R576" s="44"/>
      <c r="S576" s="44"/>
      <c r="T576" s="44"/>
      <c r="U576" s="44"/>
    </row>
    <row r="577">
      <c r="F577" s="62"/>
      <c r="H577" s="40"/>
      <c r="I577" s="42"/>
      <c r="J577" s="42"/>
      <c r="K577" s="63"/>
      <c r="L577" s="63"/>
      <c r="M577" s="63"/>
      <c r="Q577" s="44"/>
      <c r="R577" s="44"/>
      <c r="S577" s="44"/>
      <c r="T577" s="44"/>
      <c r="U577" s="44"/>
    </row>
    <row r="578">
      <c r="F578" s="62"/>
      <c r="H578" s="40"/>
      <c r="I578" s="42"/>
      <c r="J578" s="42"/>
      <c r="K578" s="63"/>
      <c r="L578" s="63"/>
      <c r="M578" s="63"/>
      <c r="Q578" s="44"/>
      <c r="R578" s="44"/>
      <c r="S578" s="44"/>
      <c r="T578" s="44"/>
      <c r="U578" s="44"/>
    </row>
    <row r="579">
      <c r="F579" s="62"/>
      <c r="H579" s="40"/>
      <c r="I579" s="42"/>
      <c r="J579" s="42"/>
      <c r="K579" s="63"/>
      <c r="L579" s="63"/>
      <c r="M579" s="63"/>
      <c r="Q579" s="44"/>
      <c r="R579" s="44"/>
      <c r="S579" s="44"/>
      <c r="T579" s="44"/>
      <c r="U579" s="44"/>
    </row>
    <row r="580">
      <c r="F580" s="62"/>
      <c r="H580" s="40"/>
      <c r="I580" s="42"/>
      <c r="J580" s="42"/>
      <c r="K580" s="63"/>
      <c r="L580" s="63"/>
      <c r="M580" s="63"/>
      <c r="Q580" s="44"/>
      <c r="R580" s="44"/>
      <c r="S580" s="44"/>
      <c r="T580" s="44"/>
      <c r="U580" s="44"/>
    </row>
    <row r="581">
      <c r="F581" s="62"/>
      <c r="H581" s="40"/>
      <c r="I581" s="42"/>
      <c r="J581" s="42"/>
      <c r="K581" s="63"/>
      <c r="L581" s="63"/>
      <c r="M581" s="63"/>
      <c r="Q581" s="44"/>
      <c r="R581" s="44"/>
      <c r="S581" s="44"/>
      <c r="T581" s="44"/>
      <c r="U581" s="44"/>
    </row>
    <row r="582">
      <c r="F582" s="62"/>
      <c r="H582" s="40"/>
      <c r="I582" s="42"/>
      <c r="J582" s="42"/>
      <c r="K582" s="63"/>
      <c r="L582" s="63"/>
      <c r="M582" s="63"/>
      <c r="Q582" s="44"/>
      <c r="R582" s="44"/>
      <c r="S582" s="44"/>
      <c r="T582" s="44"/>
      <c r="U582" s="44"/>
    </row>
    <row r="583">
      <c r="F583" s="62"/>
      <c r="H583" s="40"/>
      <c r="I583" s="42"/>
      <c r="J583" s="42"/>
      <c r="K583" s="63"/>
      <c r="L583" s="63"/>
      <c r="M583" s="63"/>
      <c r="Q583" s="44"/>
      <c r="R583" s="44"/>
      <c r="S583" s="44"/>
      <c r="T583" s="44"/>
      <c r="U583" s="44"/>
    </row>
    <row r="584">
      <c r="F584" s="62"/>
      <c r="H584" s="40"/>
      <c r="I584" s="42"/>
      <c r="J584" s="42"/>
      <c r="K584" s="63"/>
      <c r="L584" s="63"/>
      <c r="M584" s="63"/>
      <c r="Q584" s="44"/>
      <c r="R584" s="44"/>
      <c r="S584" s="44"/>
      <c r="T584" s="44"/>
      <c r="U584" s="44"/>
    </row>
    <row r="585">
      <c r="F585" s="62"/>
      <c r="H585" s="40"/>
      <c r="I585" s="42"/>
      <c r="J585" s="42"/>
      <c r="K585" s="63"/>
      <c r="L585" s="63"/>
      <c r="M585" s="63"/>
      <c r="Q585" s="44"/>
      <c r="R585" s="44"/>
      <c r="S585" s="44"/>
      <c r="T585" s="44"/>
      <c r="U585" s="44"/>
    </row>
    <row r="586">
      <c r="F586" s="62"/>
      <c r="H586" s="40"/>
      <c r="I586" s="42"/>
      <c r="J586" s="42"/>
      <c r="K586" s="63"/>
      <c r="L586" s="63"/>
      <c r="M586" s="63"/>
      <c r="Q586" s="44"/>
      <c r="R586" s="44"/>
      <c r="S586" s="44"/>
      <c r="T586" s="44"/>
      <c r="U586" s="44"/>
    </row>
    <row r="587">
      <c r="F587" s="62"/>
      <c r="H587" s="40"/>
      <c r="I587" s="42"/>
      <c r="J587" s="42"/>
      <c r="K587" s="63"/>
      <c r="L587" s="63"/>
      <c r="M587" s="63"/>
      <c r="Q587" s="44"/>
      <c r="R587" s="44"/>
      <c r="S587" s="44"/>
      <c r="T587" s="44"/>
      <c r="U587" s="44"/>
    </row>
    <row r="588">
      <c r="F588" s="62"/>
      <c r="H588" s="40"/>
      <c r="I588" s="42"/>
      <c r="J588" s="42"/>
      <c r="K588" s="63"/>
      <c r="L588" s="63"/>
      <c r="M588" s="63"/>
      <c r="Q588" s="44"/>
      <c r="R588" s="44"/>
      <c r="S588" s="44"/>
      <c r="T588" s="44"/>
      <c r="U588" s="44"/>
    </row>
    <row r="589">
      <c r="F589" s="62"/>
      <c r="H589" s="40"/>
      <c r="I589" s="42"/>
      <c r="J589" s="42"/>
      <c r="K589" s="63"/>
      <c r="L589" s="63"/>
      <c r="M589" s="63"/>
      <c r="Q589" s="44"/>
      <c r="R589" s="44"/>
      <c r="S589" s="44"/>
      <c r="T589" s="44"/>
      <c r="U589" s="44"/>
    </row>
    <row r="590">
      <c r="F590" s="62"/>
      <c r="H590" s="40"/>
      <c r="I590" s="42"/>
      <c r="J590" s="42"/>
      <c r="K590" s="63"/>
      <c r="L590" s="63"/>
      <c r="M590" s="63"/>
      <c r="Q590" s="44"/>
      <c r="R590" s="44"/>
      <c r="S590" s="44"/>
      <c r="T590" s="44"/>
      <c r="U590" s="44"/>
    </row>
    <row r="591">
      <c r="F591" s="62"/>
      <c r="H591" s="40"/>
      <c r="I591" s="42"/>
      <c r="J591" s="42"/>
      <c r="K591" s="63"/>
      <c r="L591" s="63"/>
      <c r="M591" s="63"/>
      <c r="Q591" s="44"/>
      <c r="R591" s="44"/>
      <c r="S591" s="44"/>
      <c r="T591" s="44"/>
      <c r="U591" s="44"/>
    </row>
    <row r="592">
      <c r="F592" s="62"/>
      <c r="H592" s="40"/>
      <c r="I592" s="42"/>
      <c r="J592" s="42"/>
      <c r="K592" s="63"/>
      <c r="L592" s="63"/>
      <c r="M592" s="63"/>
      <c r="Q592" s="44"/>
      <c r="R592" s="44"/>
      <c r="S592" s="44"/>
      <c r="T592" s="44"/>
      <c r="U592" s="44"/>
    </row>
    <row r="593">
      <c r="F593" s="62"/>
      <c r="H593" s="40"/>
      <c r="I593" s="42"/>
      <c r="J593" s="42"/>
      <c r="K593" s="63"/>
      <c r="L593" s="63"/>
      <c r="M593" s="63"/>
      <c r="Q593" s="44"/>
      <c r="R593" s="44"/>
      <c r="S593" s="44"/>
      <c r="T593" s="44"/>
      <c r="U593" s="44"/>
    </row>
    <row r="594">
      <c r="F594" s="62"/>
      <c r="H594" s="40"/>
      <c r="I594" s="42"/>
      <c r="J594" s="42"/>
      <c r="K594" s="63"/>
      <c r="L594" s="63"/>
      <c r="M594" s="63"/>
      <c r="Q594" s="44"/>
      <c r="R594" s="44"/>
      <c r="S594" s="44"/>
      <c r="T594" s="44"/>
      <c r="U594" s="44"/>
    </row>
    <row r="595">
      <c r="F595" s="62"/>
      <c r="H595" s="40"/>
      <c r="I595" s="42"/>
      <c r="J595" s="42"/>
      <c r="K595" s="63"/>
      <c r="L595" s="63"/>
      <c r="M595" s="63"/>
      <c r="Q595" s="44"/>
      <c r="R595" s="44"/>
      <c r="S595" s="44"/>
      <c r="T595" s="44"/>
      <c r="U595" s="44"/>
    </row>
    <row r="596">
      <c r="F596" s="62"/>
      <c r="H596" s="40"/>
      <c r="I596" s="42"/>
      <c r="J596" s="42"/>
      <c r="K596" s="63"/>
      <c r="L596" s="63"/>
      <c r="M596" s="63"/>
      <c r="Q596" s="44"/>
      <c r="R596" s="44"/>
      <c r="S596" s="44"/>
      <c r="T596" s="44"/>
      <c r="U596" s="44"/>
    </row>
    <row r="597">
      <c r="F597" s="62"/>
      <c r="H597" s="40"/>
      <c r="I597" s="42"/>
      <c r="J597" s="42"/>
      <c r="K597" s="63"/>
      <c r="L597" s="63"/>
      <c r="M597" s="63"/>
      <c r="Q597" s="44"/>
      <c r="R597" s="44"/>
      <c r="S597" s="44"/>
      <c r="T597" s="44"/>
      <c r="U597" s="44"/>
    </row>
    <row r="598">
      <c r="F598" s="62"/>
      <c r="H598" s="40"/>
      <c r="I598" s="42"/>
      <c r="J598" s="42"/>
      <c r="K598" s="63"/>
      <c r="L598" s="63"/>
      <c r="M598" s="63"/>
      <c r="Q598" s="44"/>
      <c r="R598" s="44"/>
      <c r="S598" s="44"/>
      <c r="T598" s="44"/>
      <c r="U598" s="44"/>
    </row>
    <row r="599">
      <c r="F599" s="62"/>
      <c r="H599" s="40"/>
      <c r="I599" s="42"/>
      <c r="J599" s="42"/>
      <c r="K599" s="63"/>
      <c r="L599" s="63"/>
      <c r="M599" s="63"/>
      <c r="Q599" s="44"/>
      <c r="R599" s="44"/>
      <c r="S599" s="44"/>
      <c r="T599" s="44"/>
      <c r="U599" s="44"/>
    </row>
    <row r="600">
      <c r="F600" s="62"/>
      <c r="H600" s="40"/>
      <c r="I600" s="42"/>
      <c r="J600" s="42"/>
      <c r="K600" s="63"/>
      <c r="L600" s="63"/>
      <c r="M600" s="63"/>
      <c r="Q600" s="44"/>
      <c r="R600" s="44"/>
      <c r="S600" s="44"/>
      <c r="T600" s="44"/>
      <c r="U600" s="44"/>
    </row>
    <row r="601">
      <c r="F601" s="62"/>
      <c r="H601" s="40"/>
      <c r="I601" s="42"/>
      <c r="J601" s="42"/>
      <c r="K601" s="63"/>
      <c r="L601" s="63"/>
      <c r="M601" s="63"/>
      <c r="Q601" s="44"/>
      <c r="R601" s="44"/>
      <c r="S601" s="44"/>
      <c r="T601" s="44"/>
      <c r="U601" s="44"/>
    </row>
    <row r="602">
      <c r="F602" s="62"/>
      <c r="H602" s="40"/>
      <c r="I602" s="42"/>
      <c r="J602" s="42"/>
      <c r="K602" s="63"/>
      <c r="L602" s="63"/>
      <c r="M602" s="63"/>
      <c r="Q602" s="44"/>
      <c r="R602" s="44"/>
      <c r="S602" s="44"/>
      <c r="T602" s="44"/>
      <c r="U602" s="44"/>
    </row>
    <row r="603">
      <c r="F603" s="62"/>
      <c r="H603" s="40"/>
      <c r="I603" s="42"/>
      <c r="J603" s="42"/>
      <c r="K603" s="63"/>
      <c r="L603" s="63"/>
      <c r="M603" s="63"/>
      <c r="Q603" s="44"/>
      <c r="R603" s="44"/>
      <c r="S603" s="44"/>
      <c r="T603" s="44"/>
      <c r="U603" s="44"/>
    </row>
    <row r="604">
      <c r="F604" s="62"/>
      <c r="H604" s="40"/>
      <c r="I604" s="42"/>
      <c r="J604" s="42"/>
      <c r="K604" s="63"/>
      <c r="L604" s="63"/>
      <c r="M604" s="63"/>
      <c r="Q604" s="44"/>
      <c r="R604" s="44"/>
      <c r="S604" s="44"/>
      <c r="T604" s="44"/>
      <c r="U604" s="44"/>
    </row>
    <row r="605">
      <c r="F605" s="62"/>
      <c r="H605" s="40"/>
      <c r="I605" s="42"/>
      <c r="J605" s="42"/>
      <c r="K605" s="63"/>
      <c r="L605" s="63"/>
      <c r="M605" s="63"/>
      <c r="Q605" s="44"/>
      <c r="R605" s="44"/>
      <c r="S605" s="44"/>
      <c r="T605" s="44"/>
      <c r="U605" s="44"/>
    </row>
    <row r="606">
      <c r="F606" s="62"/>
      <c r="H606" s="40"/>
      <c r="I606" s="42"/>
      <c r="J606" s="42"/>
      <c r="K606" s="63"/>
      <c r="L606" s="63"/>
      <c r="M606" s="63"/>
      <c r="Q606" s="44"/>
      <c r="R606" s="44"/>
      <c r="S606" s="44"/>
      <c r="T606" s="44"/>
      <c r="U606" s="44"/>
    </row>
    <row r="607">
      <c r="F607" s="62"/>
      <c r="H607" s="40"/>
      <c r="I607" s="42"/>
      <c r="J607" s="42"/>
      <c r="K607" s="63"/>
      <c r="L607" s="63"/>
      <c r="M607" s="63"/>
      <c r="Q607" s="44"/>
      <c r="R607" s="44"/>
      <c r="S607" s="44"/>
      <c r="T607" s="44"/>
      <c r="U607" s="44"/>
    </row>
    <row r="608">
      <c r="F608" s="62"/>
      <c r="H608" s="40"/>
      <c r="I608" s="42"/>
      <c r="J608" s="42"/>
      <c r="K608" s="63"/>
      <c r="L608" s="63"/>
      <c r="M608" s="63"/>
      <c r="Q608" s="44"/>
      <c r="R608" s="44"/>
      <c r="S608" s="44"/>
      <c r="T608" s="44"/>
      <c r="U608" s="44"/>
    </row>
    <row r="609">
      <c r="F609" s="62"/>
      <c r="H609" s="40"/>
      <c r="I609" s="42"/>
      <c r="J609" s="42"/>
      <c r="K609" s="63"/>
      <c r="L609" s="63"/>
      <c r="M609" s="63"/>
      <c r="Q609" s="44"/>
      <c r="R609" s="44"/>
      <c r="S609" s="44"/>
      <c r="T609" s="44"/>
      <c r="U609" s="44"/>
    </row>
    <row r="610">
      <c r="F610" s="62"/>
      <c r="H610" s="40"/>
      <c r="I610" s="42"/>
      <c r="J610" s="42"/>
      <c r="K610" s="63"/>
      <c r="L610" s="63"/>
      <c r="M610" s="63"/>
      <c r="Q610" s="44"/>
      <c r="R610" s="44"/>
      <c r="S610" s="44"/>
      <c r="T610" s="44"/>
      <c r="U610" s="44"/>
    </row>
    <row r="611">
      <c r="F611" s="62"/>
      <c r="H611" s="40"/>
      <c r="I611" s="42"/>
      <c r="J611" s="42"/>
      <c r="K611" s="63"/>
      <c r="L611" s="63"/>
      <c r="M611" s="63"/>
      <c r="Q611" s="44"/>
      <c r="R611" s="44"/>
      <c r="S611" s="44"/>
      <c r="T611" s="44"/>
      <c r="U611" s="44"/>
    </row>
    <row r="612">
      <c r="F612" s="62"/>
      <c r="H612" s="40"/>
      <c r="I612" s="42"/>
      <c r="J612" s="42"/>
      <c r="K612" s="63"/>
      <c r="L612" s="63"/>
      <c r="M612" s="63"/>
      <c r="Q612" s="44"/>
      <c r="R612" s="44"/>
      <c r="S612" s="44"/>
      <c r="T612" s="44"/>
      <c r="U612" s="44"/>
    </row>
    <row r="613">
      <c r="F613" s="62"/>
      <c r="H613" s="40"/>
      <c r="I613" s="42"/>
      <c r="J613" s="42"/>
      <c r="K613" s="63"/>
      <c r="L613" s="63"/>
      <c r="M613" s="63"/>
      <c r="Q613" s="44"/>
      <c r="R613" s="44"/>
      <c r="S613" s="44"/>
      <c r="T613" s="44"/>
      <c r="U613" s="44"/>
    </row>
    <row r="614">
      <c r="F614" s="62"/>
      <c r="H614" s="40"/>
      <c r="I614" s="42"/>
      <c r="J614" s="42"/>
      <c r="K614" s="63"/>
      <c r="L614" s="63"/>
      <c r="M614" s="63"/>
      <c r="Q614" s="44"/>
      <c r="R614" s="44"/>
      <c r="S614" s="44"/>
      <c r="T614" s="44"/>
      <c r="U614" s="44"/>
    </row>
    <row r="615">
      <c r="F615" s="62"/>
      <c r="H615" s="40"/>
      <c r="I615" s="42"/>
      <c r="J615" s="42"/>
      <c r="K615" s="63"/>
      <c r="L615" s="63"/>
      <c r="M615" s="63"/>
      <c r="Q615" s="44"/>
      <c r="R615" s="44"/>
      <c r="S615" s="44"/>
      <c r="T615" s="44"/>
      <c r="U615" s="44"/>
    </row>
    <row r="616">
      <c r="F616" s="62"/>
      <c r="H616" s="40"/>
      <c r="I616" s="42"/>
      <c r="J616" s="42"/>
      <c r="K616" s="63"/>
      <c r="L616" s="63"/>
      <c r="M616" s="63"/>
      <c r="Q616" s="44"/>
      <c r="R616" s="44"/>
      <c r="S616" s="44"/>
      <c r="T616" s="44"/>
      <c r="U616" s="44"/>
    </row>
    <row r="617">
      <c r="F617" s="62"/>
      <c r="H617" s="40"/>
      <c r="I617" s="42"/>
      <c r="J617" s="42"/>
      <c r="K617" s="63"/>
      <c r="L617" s="63"/>
      <c r="M617" s="63"/>
      <c r="Q617" s="44"/>
      <c r="R617" s="44"/>
      <c r="S617" s="44"/>
      <c r="T617" s="44"/>
      <c r="U617" s="44"/>
    </row>
    <row r="618">
      <c r="F618" s="62"/>
      <c r="H618" s="40"/>
      <c r="I618" s="42"/>
      <c r="J618" s="42"/>
      <c r="K618" s="63"/>
      <c r="L618" s="63"/>
      <c r="M618" s="63"/>
      <c r="Q618" s="44"/>
      <c r="R618" s="44"/>
      <c r="S618" s="44"/>
      <c r="T618" s="44"/>
      <c r="U618" s="44"/>
    </row>
    <row r="619">
      <c r="F619" s="62"/>
      <c r="H619" s="40"/>
      <c r="I619" s="42"/>
      <c r="J619" s="42"/>
      <c r="K619" s="63"/>
      <c r="L619" s="63"/>
      <c r="M619" s="63"/>
      <c r="Q619" s="44"/>
      <c r="R619" s="44"/>
      <c r="S619" s="44"/>
      <c r="T619" s="44"/>
      <c r="U619" s="44"/>
    </row>
    <row r="620">
      <c r="F620" s="62"/>
      <c r="H620" s="40"/>
      <c r="I620" s="42"/>
      <c r="J620" s="42"/>
      <c r="K620" s="63"/>
      <c r="L620" s="63"/>
      <c r="M620" s="63"/>
      <c r="Q620" s="44"/>
      <c r="R620" s="44"/>
      <c r="S620" s="44"/>
      <c r="T620" s="44"/>
      <c r="U620" s="44"/>
    </row>
    <row r="621">
      <c r="F621" s="62"/>
      <c r="H621" s="40"/>
      <c r="I621" s="42"/>
      <c r="J621" s="42"/>
      <c r="K621" s="63"/>
      <c r="L621" s="63"/>
      <c r="M621" s="63"/>
      <c r="Q621" s="44"/>
      <c r="R621" s="44"/>
      <c r="S621" s="44"/>
      <c r="T621" s="44"/>
      <c r="U621" s="44"/>
    </row>
    <row r="622">
      <c r="F622" s="62"/>
      <c r="H622" s="40"/>
      <c r="I622" s="42"/>
      <c r="J622" s="42"/>
      <c r="K622" s="63"/>
      <c r="L622" s="63"/>
      <c r="M622" s="63"/>
      <c r="Q622" s="44"/>
      <c r="R622" s="44"/>
      <c r="S622" s="44"/>
      <c r="T622" s="44"/>
      <c r="U622" s="44"/>
    </row>
    <row r="623">
      <c r="F623" s="62"/>
      <c r="H623" s="40"/>
      <c r="I623" s="42"/>
      <c r="J623" s="42"/>
      <c r="K623" s="63"/>
      <c r="L623" s="63"/>
      <c r="M623" s="63"/>
      <c r="Q623" s="44"/>
      <c r="R623" s="44"/>
      <c r="S623" s="44"/>
      <c r="T623" s="44"/>
      <c r="U623" s="44"/>
    </row>
    <row r="624">
      <c r="F624" s="62"/>
      <c r="H624" s="40"/>
      <c r="I624" s="42"/>
      <c r="J624" s="42"/>
      <c r="K624" s="63"/>
      <c r="L624" s="63"/>
      <c r="M624" s="63"/>
      <c r="Q624" s="44"/>
      <c r="R624" s="44"/>
      <c r="S624" s="44"/>
      <c r="T624" s="44"/>
      <c r="U624" s="44"/>
    </row>
    <row r="625">
      <c r="F625" s="62"/>
      <c r="H625" s="40"/>
      <c r="I625" s="42"/>
      <c r="J625" s="42"/>
      <c r="K625" s="63"/>
      <c r="L625" s="63"/>
      <c r="M625" s="63"/>
      <c r="Q625" s="44"/>
      <c r="R625" s="44"/>
      <c r="S625" s="44"/>
      <c r="T625" s="44"/>
      <c r="U625" s="44"/>
    </row>
    <row r="626">
      <c r="F626" s="62"/>
      <c r="H626" s="40"/>
      <c r="I626" s="42"/>
      <c r="J626" s="42"/>
      <c r="K626" s="63"/>
      <c r="L626" s="63"/>
      <c r="M626" s="63"/>
      <c r="Q626" s="44"/>
      <c r="R626" s="44"/>
      <c r="S626" s="44"/>
      <c r="T626" s="44"/>
      <c r="U626" s="44"/>
    </row>
    <row r="627">
      <c r="F627" s="62"/>
      <c r="H627" s="40"/>
      <c r="I627" s="42"/>
      <c r="J627" s="42"/>
      <c r="K627" s="63"/>
      <c r="L627" s="63"/>
      <c r="M627" s="63"/>
      <c r="Q627" s="44"/>
      <c r="R627" s="44"/>
      <c r="S627" s="44"/>
      <c r="T627" s="44"/>
      <c r="U627" s="44"/>
    </row>
    <row r="628">
      <c r="F628" s="62"/>
      <c r="H628" s="40"/>
      <c r="I628" s="42"/>
      <c r="J628" s="42"/>
      <c r="K628" s="63"/>
      <c r="L628" s="63"/>
      <c r="M628" s="63"/>
      <c r="Q628" s="44"/>
      <c r="R628" s="44"/>
      <c r="S628" s="44"/>
      <c r="T628" s="44"/>
      <c r="U628" s="44"/>
    </row>
    <row r="629">
      <c r="F629" s="62"/>
      <c r="H629" s="40"/>
      <c r="I629" s="42"/>
      <c r="J629" s="42"/>
      <c r="K629" s="63"/>
      <c r="L629" s="63"/>
      <c r="M629" s="63"/>
      <c r="Q629" s="44"/>
      <c r="R629" s="44"/>
      <c r="S629" s="44"/>
      <c r="T629" s="44"/>
      <c r="U629" s="44"/>
    </row>
    <row r="630">
      <c r="F630" s="62"/>
      <c r="H630" s="40"/>
      <c r="I630" s="42"/>
      <c r="J630" s="42"/>
      <c r="K630" s="63"/>
      <c r="L630" s="63"/>
      <c r="M630" s="63"/>
      <c r="Q630" s="44"/>
      <c r="R630" s="44"/>
      <c r="S630" s="44"/>
      <c r="T630" s="44"/>
      <c r="U630" s="44"/>
    </row>
    <row r="631">
      <c r="F631" s="62"/>
      <c r="H631" s="40"/>
      <c r="I631" s="42"/>
      <c r="J631" s="42"/>
      <c r="K631" s="63"/>
      <c r="L631" s="63"/>
      <c r="M631" s="63"/>
      <c r="Q631" s="44"/>
      <c r="R631" s="44"/>
      <c r="S631" s="44"/>
      <c r="T631" s="44"/>
      <c r="U631" s="44"/>
    </row>
    <row r="632">
      <c r="F632" s="62"/>
      <c r="H632" s="40"/>
      <c r="I632" s="42"/>
      <c r="J632" s="42"/>
      <c r="K632" s="63"/>
      <c r="L632" s="63"/>
      <c r="M632" s="63"/>
      <c r="Q632" s="44"/>
      <c r="R632" s="44"/>
      <c r="S632" s="44"/>
      <c r="T632" s="44"/>
      <c r="U632" s="44"/>
    </row>
    <row r="633">
      <c r="F633" s="62"/>
      <c r="H633" s="40"/>
      <c r="I633" s="42"/>
      <c r="J633" s="42"/>
      <c r="K633" s="63"/>
      <c r="L633" s="63"/>
      <c r="M633" s="63"/>
      <c r="Q633" s="44"/>
      <c r="R633" s="44"/>
      <c r="S633" s="44"/>
      <c r="T633" s="44"/>
      <c r="U633" s="44"/>
    </row>
    <row r="634">
      <c r="F634" s="62"/>
      <c r="H634" s="40"/>
      <c r="I634" s="42"/>
      <c r="J634" s="42"/>
      <c r="K634" s="63"/>
      <c r="L634" s="63"/>
      <c r="M634" s="63"/>
      <c r="Q634" s="44"/>
      <c r="R634" s="44"/>
      <c r="S634" s="44"/>
      <c r="T634" s="44"/>
      <c r="U634" s="44"/>
    </row>
    <row r="635">
      <c r="F635" s="62"/>
      <c r="H635" s="40"/>
      <c r="I635" s="42"/>
      <c r="J635" s="42"/>
      <c r="K635" s="63"/>
      <c r="L635" s="63"/>
      <c r="M635" s="63"/>
      <c r="Q635" s="44"/>
      <c r="R635" s="44"/>
      <c r="S635" s="44"/>
      <c r="T635" s="44"/>
      <c r="U635" s="44"/>
    </row>
    <row r="636">
      <c r="F636" s="62"/>
      <c r="H636" s="40"/>
      <c r="I636" s="42"/>
      <c r="J636" s="42"/>
      <c r="K636" s="63"/>
      <c r="L636" s="63"/>
      <c r="M636" s="63"/>
      <c r="Q636" s="44"/>
      <c r="R636" s="44"/>
      <c r="S636" s="44"/>
      <c r="T636" s="44"/>
      <c r="U636" s="44"/>
    </row>
    <row r="637">
      <c r="F637" s="62"/>
      <c r="H637" s="40"/>
      <c r="I637" s="42"/>
      <c r="J637" s="42"/>
      <c r="K637" s="63"/>
      <c r="L637" s="63"/>
      <c r="M637" s="63"/>
      <c r="Q637" s="44"/>
      <c r="R637" s="44"/>
      <c r="S637" s="44"/>
      <c r="T637" s="44"/>
      <c r="U637" s="44"/>
    </row>
    <row r="638">
      <c r="F638" s="62"/>
      <c r="H638" s="40"/>
      <c r="I638" s="42"/>
      <c r="J638" s="42"/>
      <c r="K638" s="63"/>
      <c r="L638" s="63"/>
      <c r="M638" s="63"/>
      <c r="Q638" s="44"/>
      <c r="R638" s="44"/>
      <c r="S638" s="44"/>
      <c r="T638" s="44"/>
      <c r="U638" s="44"/>
    </row>
    <row r="639">
      <c r="F639" s="62"/>
      <c r="H639" s="40"/>
      <c r="I639" s="42"/>
      <c r="J639" s="42"/>
      <c r="K639" s="63"/>
      <c r="L639" s="63"/>
      <c r="M639" s="63"/>
      <c r="Q639" s="44"/>
      <c r="R639" s="44"/>
      <c r="S639" s="44"/>
      <c r="T639" s="44"/>
      <c r="U639" s="44"/>
    </row>
    <row r="640">
      <c r="F640" s="62"/>
      <c r="H640" s="40"/>
      <c r="I640" s="42"/>
      <c r="J640" s="42"/>
      <c r="K640" s="63"/>
      <c r="L640" s="63"/>
      <c r="M640" s="63"/>
      <c r="Q640" s="44"/>
      <c r="R640" s="44"/>
      <c r="S640" s="44"/>
      <c r="T640" s="44"/>
      <c r="U640" s="44"/>
    </row>
    <row r="641">
      <c r="F641" s="62"/>
      <c r="H641" s="40"/>
      <c r="I641" s="42"/>
      <c r="J641" s="42"/>
      <c r="K641" s="63"/>
      <c r="L641" s="63"/>
      <c r="M641" s="63"/>
      <c r="Q641" s="44"/>
      <c r="R641" s="44"/>
      <c r="S641" s="44"/>
      <c r="T641" s="44"/>
      <c r="U641" s="44"/>
    </row>
    <row r="642">
      <c r="F642" s="62"/>
      <c r="H642" s="40"/>
      <c r="I642" s="42"/>
      <c r="J642" s="42"/>
      <c r="K642" s="63"/>
      <c r="L642" s="63"/>
      <c r="M642" s="63"/>
      <c r="Q642" s="44"/>
      <c r="R642" s="44"/>
      <c r="S642" s="44"/>
      <c r="T642" s="44"/>
      <c r="U642" s="44"/>
    </row>
    <row r="643">
      <c r="F643" s="62"/>
      <c r="H643" s="40"/>
      <c r="I643" s="42"/>
      <c r="J643" s="42"/>
      <c r="K643" s="63"/>
      <c r="L643" s="63"/>
      <c r="M643" s="63"/>
      <c r="Q643" s="44"/>
      <c r="R643" s="44"/>
      <c r="S643" s="44"/>
      <c r="T643" s="44"/>
      <c r="U643" s="44"/>
    </row>
    <row r="644">
      <c r="F644" s="62"/>
      <c r="H644" s="40"/>
      <c r="I644" s="42"/>
      <c r="J644" s="42"/>
      <c r="K644" s="63"/>
      <c r="L644" s="63"/>
      <c r="M644" s="63"/>
      <c r="Q644" s="44"/>
      <c r="R644" s="44"/>
      <c r="S644" s="44"/>
      <c r="T644" s="44"/>
      <c r="U644" s="44"/>
    </row>
    <row r="645">
      <c r="F645" s="62"/>
      <c r="H645" s="40"/>
      <c r="I645" s="42"/>
      <c r="J645" s="42"/>
      <c r="K645" s="63"/>
      <c r="L645" s="63"/>
      <c r="M645" s="63"/>
      <c r="Q645" s="44"/>
      <c r="R645" s="44"/>
      <c r="S645" s="44"/>
      <c r="T645" s="44"/>
      <c r="U645" s="44"/>
    </row>
    <row r="646">
      <c r="F646" s="62"/>
      <c r="H646" s="40"/>
      <c r="I646" s="42"/>
      <c r="J646" s="42"/>
      <c r="K646" s="63"/>
      <c r="L646" s="63"/>
      <c r="M646" s="63"/>
      <c r="Q646" s="44"/>
      <c r="R646" s="44"/>
      <c r="S646" s="44"/>
      <c r="T646" s="44"/>
      <c r="U646" s="44"/>
    </row>
    <row r="647">
      <c r="F647" s="62"/>
      <c r="H647" s="40"/>
      <c r="I647" s="42"/>
      <c r="J647" s="42"/>
      <c r="K647" s="63"/>
      <c r="L647" s="63"/>
      <c r="M647" s="63"/>
      <c r="Q647" s="44"/>
      <c r="R647" s="44"/>
      <c r="S647" s="44"/>
      <c r="T647" s="44"/>
      <c r="U647" s="44"/>
    </row>
    <row r="648">
      <c r="F648" s="62"/>
      <c r="H648" s="40"/>
      <c r="I648" s="42"/>
      <c r="J648" s="42"/>
      <c r="K648" s="63"/>
      <c r="L648" s="63"/>
      <c r="M648" s="63"/>
      <c r="Q648" s="44"/>
      <c r="R648" s="44"/>
      <c r="S648" s="44"/>
      <c r="T648" s="44"/>
      <c r="U648" s="44"/>
    </row>
    <row r="649">
      <c r="F649" s="62"/>
      <c r="H649" s="40"/>
      <c r="I649" s="42"/>
      <c r="J649" s="42"/>
      <c r="K649" s="63"/>
      <c r="L649" s="63"/>
      <c r="M649" s="63"/>
      <c r="Q649" s="44"/>
      <c r="R649" s="44"/>
      <c r="S649" s="44"/>
      <c r="T649" s="44"/>
      <c r="U649" s="44"/>
    </row>
    <row r="650">
      <c r="F650" s="62"/>
      <c r="H650" s="40"/>
      <c r="I650" s="42"/>
      <c r="J650" s="42"/>
      <c r="K650" s="63"/>
      <c r="L650" s="63"/>
      <c r="M650" s="63"/>
      <c r="Q650" s="44"/>
      <c r="R650" s="44"/>
      <c r="S650" s="44"/>
      <c r="T650" s="44"/>
      <c r="U650" s="44"/>
    </row>
    <row r="651">
      <c r="F651" s="62"/>
      <c r="H651" s="40"/>
      <c r="I651" s="42"/>
      <c r="J651" s="42"/>
      <c r="K651" s="63"/>
      <c r="L651" s="63"/>
      <c r="M651" s="63"/>
      <c r="Q651" s="44"/>
      <c r="R651" s="44"/>
      <c r="S651" s="44"/>
      <c r="T651" s="44"/>
      <c r="U651" s="44"/>
    </row>
    <row r="652">
      <c r="F652" s="62"/>
      <c r="H652" s="40"/>
      <c r="I652" s="42"/>
      <c r="J652" s="42"/>
      <c r="K652" s="63"/>
      <c r="L652" s="63"/>
      <c r="M652" s="63"/>
      <c r="Q652" s="44"/>
      <c r="R652" s="44"/>
      <c r="S652" s="44"/>
      <c r="T652" s="44"/>
      <c r="U652" s="44"/>
    </row>
    <row r="653">
      <c r="F653" s="62"/>
      <c r="H653" s="40"/>
      <c r="I653" s="42"/>
      <c r="J653" s="42"/>
      <c r="K653" s="63"/>
      <c r="L653" s="63"/>
      <c r="M653" s="63"/>
      <c r="Q653" s="44"/>
      <c r="R653" s="44"/>
      <c r="S653" s="44"/>
      <c r="T653" s="44"/>
      <c r="U653" s="44"/>
    </row>
    <row r="654">
      <c r="F654" s="62"/>
      <c r="H654" s="40"/>
      <c r="I654" s="42"/>
      <c r="J654" s="42"/>
      <c r="K654" s="63"/>
      <c r="L654" s="63"/>
      <c r="M654" s="63"/>
      <c r="Q654" s="44"/>
      <c r="R654" s="44"/>
      <c r="S654" s="44"/>
      <c r="T654" s="44"/>
      <c r="U654" s="44"/>
    </row>
    <row r="655">
      <c r="F655" s="62"/>
      <c r="H655" s="40"/>
      <c r="I655" s="42"/>
      <c r="J655" s="42"/>
      <c r="K655" s="63"/>
      <c r="L655" s="63"/>
      <c r="M655" s="63"/>
      <c r="Q655" s="44"/>
      <c r="R655" s="44"/>
      <c r="S655" s="44"/>
      <c r="T655" s="44"/>
      <c r="U655" s="44"/>
    </row>
    <row r="656">
      <c r="F656" s="62"/>
      <c r="H656" s="40"/>
      <c r="I656" s="42"/>
      <c r="J656" s="42"/>
      <c r="K656" s="63"/>
      <c r="L656" s="63"/>
      <c r="M656" s="63"/>
      <c r="Q656" s="44"/>
      <c r="R656" s="44"/>
      <c r="S656" s="44"/>
      <c r="T656" s="44"/>
      <c r="U656" s="44"/>
    </row>
    <row r="657">
      <c r="F657" s="62"/>
      <c r="H657" s="40"/>
      <c r="I657" s="42"/>
      <c r="J657" s="42"/>
      <c r="K657" s="63"/>
      <c r="L657" s="63"/>
      <c r="M657" s="63"/>
      <c r="Q657" s="44"/>
      <c r="R657" s="44"/>
      <c r="S657" s="44"/>
      <c r="T657" s="44"/>
      <c r="U657" s="44"/>
    </row>
    <row r="658">
      <c r="F658" s="62"/>
      <c r="H658" s="40"/>
      <c r="I658" s="42"/>
      <c r="J658" s="42"/>
      <c r="K658" s="63"/>
      <c r="L658" s="63"/>
      <c r="M658" s="63"/>
      <c r="Q658" s="44"/>
      <c r="R658" s="44"/>
      <c r="S658" s="44"/>
      <c r="T658" s="44"/>
      <c r="U658" s="44"/>
    </row>
    <row r="659">
      <c r="F659" s="62"/>
      <c r="H659" s="40"/>
      <c r="I659" s="42"/>
      <c r="J659" s="42"/>
      <c r="K659" s="63"/>
      <c r="L659" s="63"/>
      <c r="M659" s="63"/>
      <c r="Q659" s="44"/>
      <c r="R659" s="44"/>
      <c r="S659" s="44"/>
      <c r="T659" s="44"/>
      <c r="U659" s="44"/>
    </row>
    <row r="660">
      <c r="F660" s="62"/>
      <c r="H660" s="40"/>
      <c r="I660" s="42"/>
      <c r="J660" s="42"/>
      <c r="K660" s="63"/>
      <c r="L660" s="63"/>
      <c r="M660" s="63"/>
      <c r="Q660" s="44"/>
      <c r="R660" s="44"/>
      <c r="S660" s="44"/>
      <c r="T660" s="44"/>
      <c r="U660" s="44"/>
    </row>
    <row r="661">
      <c r="F661" s="62"/>
      <c r="H661" s="40"/>
      <c r="I661" s="42"/>
      <c r="J661" s="42"/>
      <c r="K661" s="63"/>
      <c r="L661" s="63"/>
      <c r="M661" s="63"/>
      <c r="Q661" s="44"/>
      <c r="R661" s="44"/>
      <c r="S661" s="44"/>
      <c r="T661" s="44"/>
      <c r="U661" s="44"/>
    </row>
    <row r="662">
      <c r="F662" s="62"/>
      <c r="H662" s="40"/>
      <c r="I662" s="42"/>
      <c r="J662" s="42"/>
      <c r="K662" s="63"/>
      <c r="L662" s="63"/>
      <c r="M662" s="63"/>
      <c r="Q662" s="44"/>
      <c r="R662" s="44"/>
      <c r="S662" s="44"/>
      <c r="T662" s="44"/>
      <c r="U662" s="44"/>
    </row>
    <row r="663">
      <c r="F663" s="62"/>
      <c r="H663" s="40"/>
      <c r="I663" s="42"/>
      <c r="J663" s="42"/>
      <c r="K663" s="63"/>
      <c r="L663" s="63"/>
      <c r="M663" s="63"/>
      <c r="Q663" s="44"/>
      <c r="R663" s="44"/>
      <c r="S663" s="44"/>
      <c r="T663" s="44"/>
      <c r="U663" s="44"/>
    </row>
    <row r="664">
      <c r="F664" s="62"/>
      <c r="H664" s="40"/>
      <c r="I664" s="42"/>
      <c r="J664" s="42"/>
      <c r="K664" s="63"/>
      <c r="L664" s="63"/>
      <c r="M664" s="63"/>
      <c r="Q664" s="44"/>
      <c r="R664" s="44"/>
      <c r="S664" s="44"/>
      <c r="T664" s="44"/>
      <c r="U664" s="44"/>
    </row>
    <row r="665">
      <c r="F665" s="62"/>
      <c r="H665" s="40"/>
      <c r="I665" s="42"/>
      <c r="J665" s="42"/>
      <c r="K665" s="63"/>
      <c r="L665" s="63"/>
      <c r="M665" s="63"/>
      <c r="Q665" s="44"/>
      <c r="R665" s="44"/>
      <c r="S665" s="44"/>
      <c r="T665" s="44"/>
      <c r="U665" s="44"/>
    </row>
    <row r="666">
      <c r="F666" s="62"/>
      <c r="H666" s="40"/>
      <c r="I666" s="42"/>
      <c r="J666" s="42"/>
      <c r="K666" s="63"/>
      <c r="L666" s="63"/>
      <c r="M666" s="63"/>
      <c r="Q666" s="44"/>
      <c r="R666" s="44"/>
      <c r="S666" s="44"/>
      <c r="T666" s="44"/>
      <c r="U666" s="44"/>
    </row>
    <row r="667">
      <c r="F667" s="62"/>
      <c r="H667" s="40"/>
      <c r="I667" s="42"/>
      <c r="J667" s="42"/>
      <c r="K667" s="63"/>
      <c r="L667" s="63"/>
      <c r="M667" s="63"/>
      <c r="Q667" s="44"/>
      <c r="R667" s="44"/>
      <c r="S667" s="44"/>
      <c r="T667" s="44"/>
      <c r="U667" s="44"/>
    </row>
    <row r="668">
      <c r="F668" s="62"/>
      <c r="H668" s="40"/>
      <c r="I668" s="42"/>
      <c r="J668" s="42"/>
      <c r="K668" s="63"/>
      <c r="L668" s="63"/>
      <c r="M668" s="63"/>
      <c r="Q668" s="44"/>
      <c r="R668" s="44"/>
      <c r="S668" s="44"/>
      <c r="T668" s="44"/>
      <c r="U668" s="44"/>
    </row>
    <row r="669">
      <c r="F669" s="62"/>
      <c r="H669" s="40"/>
      <c r="I669" s="42"/>
      <c r="J669" s="42"/>
      <c r="K669" s="63"/>
      <c r="L669" s="63"/>
      <c r="M669" s="63"/>
      <c r="Q669" s="44"/>
      <c r="R669" s="44"/>
      <c r="S669" s="44"/>
      <c r="T669" s="44"/>
      <c r="U669" s="44"/>
    </row>
    <row r="670">
      <c r="F670" s="62"/>
      <c r="H670" s="40"/>
      <c r="I670" s="42"/>
      <c r="J670" s="42"/>
      <c r="K670" s="63"/>
      <c r="L670" s="63"/>
      <c r="M670" s="63"/>
      <c r="Q670" s="44"/>
      <c r="R670" s="44"/>
      <c r="S670" s="44"/>
      <c r="T670" s="44"/>
      <c r="U670" s="44"/>
    </row>
    <row r="671">
      <c r="F671" s="62"/>
      <c r="H671" s="40"/>
      <c r="I671" s="42"/>
      <c r="J671" s="42"/>
      <c r="K671" s="63"/>
      <c r="L671" s="63"/>
      <c r="M671" s="63"/>
      <c r="Q671" s="44"/>
      <c r="R671" s="44"/>
      <c r="S671" s="44"/>
      <c r="T671" s="44"/>
      <c r="U671" s="44"/>
    </row>
    <row r="672">
      <c r="F672" s="62"/>
      <c r="H672" s="40"/>
      <c r="I672" s="42"/>
      <c r="J672" s="42"/>
      <c r="K672" s="63"/>
      <c r="L672" s="63"/>
      <c r="M672" s="63"/>
      <c r="Q672" s="44"/>
      <c r="R672" s="44"/>
      <c r="S672" s="44"/>
      <c r="T672" s="44"/>
      <c r="U672" s="44"/>
    </row>
    <row r="673">
      <c r="F673" s="62"/>
      <c r="H673" s="40"/>
      <c r="I673" s="42"/>
      <c r="J673" s="42"/>
      <c r="K673" s="63"/>
      <c r="L673" s="63"/>
      <c r="M673" s="63"/>
      <c r="Q673" s="44"/>
      <c r="R673" s="44"/>
      <c r="S673" s="44"/>
      <c r="T673" s="44"/>
      <c r="U673" s="44"/>
    </row>
    <row r="674">
      <c r="F674" s="62"/>
      <c r="H674" s="40"/>
      <c r="I674" s="42"/>
      <c r="J674" s="42"/>
      <c r="K674" s="63"/>
      <c r="L674" s="63"/>
      <c r="M674" s="63"/>
      <c r="Q674" s="44"/>
      <c r="R674" s="44"/>
      <c r="S674" s="44"/>
      <c r="T674" s="44"/>
      <c r="U674" s="44"/>
    </row>
    <row r="675">
      <c r="F675" s="62"/>
      <c r="H675" s="40"/>
      <c r="I675" s="42"/>
      <c r="J675" s="42"/>
      <c r="K675" s="63"/>
      <c r="L675" s="63"/>
      <c r="M675" s="63"/>
      <c r="Q675" s="44"/>
      <c r="R675" s="44"/>
      <c r="S675" s="44"/>
      <c r="T675" s="44"/>
      <c r="U675" s="44"/>
    </row>
    <row r="676">
      <c r="F676" s="62"/>
      <c r="H676" s="40"/>
      <c r="I676" s="42"/>
      <c r="J676" s="42"/>
      <c r="K676" s="63"/>
      <c r="L676" s="63"/>
      <c r="M676" s="63"/>
      <c r="Q676" s="44"/>
      <c r="R676" s="44"/>
      <c r="S676" s="44"/>
      <c r="T676" s="44"/>
      <c r="U676" s="44"/>
    </row>
    <row r="677">
      <c r="F677" s="62"/>
      <c r="H677" s="40"/>
      <c r="I677" s="42"/>
      <c r="J677" s="42"/>
      <c r="K677" s="63"/>
      <c r="L677" s="63"/>
      <c r="M677" s="63"/>
      <c r="Q677" s="44"/>
      <c r="R677" s="44"/>
      <c r="S677" s="44"/>
      <c r="T677" s="44"/>
      <c r="U677" s="44"/>
    </row>
    <row r="678">
      <c r="F678" s="62"/>
      <c r="H678" s="40"/>
      <c r="I678" s="42"/>
      <c r="J678" s="42"/>
      <c r="K678" s="63"/>
      <c r="L678" s="63"/>
      <c r="M678" s="63"/>
      <c r="Q678" s="44"/>
      <c r="R678" s="44"/>
      <c r="S678" s="44"/>
      <c r="T678" s="44"/>
      <c r="U678" s="44"/>
    </row>
    <row r="679">
      <c r="F679" s="62"/>
      <c r="H679" s="40"/>
      <c r="I679" s="42"/>
      <c r="J679" s="42"/>
      <c r="K679" s="63"/>
      <c r="L679" s="63"/>
      <c r="M679" s="63"/>
      <c r="Q679" s="44"/>
      <c r="R679" s="44"/>
      <c r="S679" s="44"/>
      <c r="T679" s="44"/>
      <c r="U679" s="44"/>
    </row>
    <row r="680">
      <c r="F680" s="62"/>
      <c r="H680" s="40"/>
      <c r="I680" s="42"/>
      <c r="J680" s="42"/>
      <c r="K680" s="63"/>
      <c r="L680" s="63"/>
      <c r="M680" s="63"/>
      <c r="Q680" s="44"/>
      <c r="R680" s="44"/>
      <c r="S680" s="44"/>
      <c r="T680" s="44"/>
      <c r="U680" s="44"/>
    </row>
    <row r="681">
      <c r="F681" s="62"/>
      <c r="H681" s="40"/>
      <c r="I681" s="42"/>
      <c r="J681" s="42"/>
      <c r="K681" s="63"/>
      <c r="L681" s="63"/>
      <c r="M681" s="63"/>
      <c r="Q681" s="44"/>
      <c r="R681" s="44"/>
      <c r="S681" s="44"/>
      <c r="T681" s="44"/>
      <c r="U681" s="44"/>
    </row>
    <row r="682">
      <c r="F682" s="62"/>
      <c r="H682" s="40"/>
      <c r="I682" s="42"/>
      <c r="J682" s="42"/>
      <c r="K682" s="63"/>
      <c r="L682" s="63"/>
      <c r="M682" s="63"/>
      <c r="Q682" s="44"/>
      <c r="R682" s="44"/>
      <c r="S682" s="44"/>
      <c r="T682" s="44"/>
      <c r="U682" s="44"/>
    </row>
    <row r="683">
      <c r="F683" s="62"/>
      <c r="H683" s="40"/>
      <c r="I683" s="42"/>
      <c r="J683" s="42"/>
      <c r="K683" s="63"/>
      <c r="L683" s="63"/>
      <c r="M683" s="63"/>
      <c r="Q683" s="44"/>
      <c r="R683" s="44"/>
      <c r="S683" s="44"/>
      <c r="T683" s="44"/>
      <c r="U683" s="44"/>
    </row>
    <row r="684">
      <c r="F684" s="62"/>
      <c r="H684" s="40"/>
      <c r="I684" s="42"/>
      <c r="J684" s="42"/>
      <c r="K684" s="63"/>
      <c r="L684" s="63"/>
      <c r="M684" s="63"/>
      <c r="Q684" s="44"/>
      <c r="R684" s="44"/>
      <c r="S684" s="44"/>
      <c r="T684" s="44"/>
      <c r="U684" s="44"/>
    </row>
    <row r="685">
      <c r="F685" s="62"/>
      <c r="H685" s="40"/>
      <c r="I685" s="42"/>
      <c r="J685" s="42"/>
      <c r="K685" s="63"/>
      <c r="L685" s="63"/>
      <c r="M685" s="63"/>
      <c r="Q685" s="44"/>
      <c r="R685" s="44"/>
      <c r="S685" s="44"/>
      <c r="T685" s="44"/>
      <c r="U685" s="44"/>
    </row>
    <row r="686">
      <c r="F686" s="62"/>
      <c r="H686" s="40"/>
      <c r="I686" s="42"/>
      <c r="J686" s="42"/>
      <c r="K686" s="63"/>
      <c r="L686" s="63"/>
      <c r="M686" s="63"/>
      <c r="Q686" s="44"/>
      <c r="R686" s="44"/>
      <c r="S686" s="44"/>
      <c r="T686" s="44"/>
      <c r="U686" s="44"/>
    </row>
    <row r="687">
      <c r="F687" s="62"/>
      <c r="H687" s="40"/>
      <c r="I687" s="42"/>
      <c r="J687" s="42"/>
      <c r="K687" s="63"/>
      <c r="L687" s="63"/>
      <c r="M687" s="63"/>
      <c r="Q687" s="44"/>
      <c r="R687" s="44"/>
      <c r="S687" s="44"/>
      <c r="T687" s="44"/>
      <c r="U687" s="44"/>
    </row>
    <row r="688">
      <c r="F688" s="62"/>
      <c r="H688" s="40"/>
      <c r="I688" s="42"/>
      <c r="J688" s="42"/>
      <c r="K688" s="63"/>
      <c r="L688" s="63"/>
      <c r="M688" s="63"/>
      <c r="Q688" s="44"/>
      <c r="R688" s="44"/>
      <c r="S688" s="44"/>
      <c r="T688" s="44"/>
      <c r="U688" s="44"/>
    </row>
    <row r="689">
      <c r="F689" s="62"/>
      <c r="H689" s="40"/>
      <c r="I689" s="42"/>
      <c r="J689" s="42"/>
      <c r="K689" s="63"/>
      <c r="L689" s="63"/>
      <c r="M689" s="63"/>
      <c r="Q689" s="44"/>
      <c r="R689" s="44"/>
      <c r="S689" s="44"/>
      <c r="T689" s="44"/>
      <c r="U689" s="44"/>
    </row>
    <row r="690">
      <c r="F690" s="62"/>
      <c r="H690" s="40"/>
      <c r="I690" s="42"/>
      <c r="J690" s="42"/>
      <c r="K690" s="63"/>
      <c r="L690" s="63"/>
      <c r="M690" s="63"/>
      <c r="Q690" s="44"/>
      <c r="R690" s="44"/>
      <c r="S690" s="44"/>
      <c r="T690" s="44"/>
      <c r="U690" s="44"/>
    </row>
    <row r="691">
      <c r="F691" s="62"/>
      <c r="H691" s="40"/>
      <c r="I691" s="42"/>
      <c r="J691" s="42"/>
      <c r="K691" s="63"/>
      <c r="L691" s="63"/>
      <c r="M691" s="63"/>
      <c r="Q691" s="44"/>
      <c r="R691" s="44"/>
      <c r="S691" s="44"/>
      <c r="T691" s="44"/>
      <c r="U691" s="44"/>
    </row>
    <row r="692">
      <c r="F692" s="62"/>
      <c r="H692" s="40"/>
      <c r="I692" s="42"/>
      <c r="J692" s="42"/>
      <c r="K692" s="63"/>
      <c r="L692" s="63"/>
      <c r="M692" s="63"/>
      <c r="Q692" s="44"/>
      <c r="R692" s="44"/>
      <c r="S692" s="44"/>
      <c r="T692" s="44"/>
      <c r="U692" s="44"/>
    </row>
    <row r="693">
      <c r="F693" s="62"/>
      <c r="H693" s="40"/>
      <c r="I693" s="42"/>
      <c r="J693" s="42"/>
      <c r="K693" s="63"/>
      <c r="L693" s="63"/>
      <c r="M693" s="63"/>
      <c r="Q693" s="44"/>
      <c r="R693" s="44"/>
      <c r="S693" s="44"/>
      <c r="T693" s="44"/>
      <c r="U693" s="44"/>
    </row>
    <row r="694">
      <c r="F694" s="62"/>
      <c r="H694" s="40"/>
      <c r="I694" s="42"/>
      <c r="J694" s="42"/>
      <c r="K694" s="63"/>
      <c r="L694" s="63"/>
      <c r="M694" s="63"/>
      <c r="Q694" s="44"/>
      <c r="R694" s="44"/>
      <c r="S694" s="44"/>
      <c r="T694" s="44"/>
      <c r="U694" s="44"/>
    </row>
    <row r="695">
      <c r="F695" s="62"/>
      <c r="H695" s="40"/>
      <c r="I695" s="42"/>
      <c r="J695" s="42"/>
      <c r="K695" s="63"/>
      <c r="L695" s="63"/>
      <c r="M695" s="63"/>
      <c r="Q695" s="44"/>
      <c r="R695" s="44"/>
      <c r="S695" s="44"/>
      <c r="T695" s="44"/>
      <c r="U695" s="44"/>
    </row>
    <row r="696">
      <c r="F696" s="62"/>
      <c r="H696" s="40"/>
      <c r="I696" s="42"/>
      <c r="J696" s="42"/>
      <c r="K696" s="63"/>
      <c r="L696" s="63"/>
      <c r="M696" s="63"/>
      <c r="Q696" s="44"/>
      <c r="R696" s="44"/>
      <c r="S696" s="44"/>
      <c r="T696" s="44"/>
      <c r="U696" s="44"/>
    </row>
    <row r="697">
      <c r="F697" s="62"/>
      <c r="H697" s="40"/>
      <c r="I697" s="42"/>
      <c r="J697" s="42"/>
      <c r="K697" s="63"/>
      <c r="L697" s="63"/>
      <c r="M697" s="63"/>
      <c r="Q697" s="44"/>
      <c r="R697" s="44"/>
      <c r="S697" s="44"/>
      <c r="T697" s="44"/>
      <c r="U697" s="44"/>
    </row>
    <row r="698">
      <c r="F698" s="62"/>
      <c r="H698" s="40"/>
      <c r="I698" s="42"/>
      <c r="J698" s="42"/>
      <c r="K698" s="63"/>
      <c r="L698" s="63"/>
      <c r="M698" s="63"/>
      <c r="Q698" s="44"/>
      <c r="R698" s="44"/>
      <c r="S698" s="44"/>
      <c r="T698" s="44"/>
      <c r="U698" s="44"/>
    </row>
    <row r="699">
      <c r="F699" s="62"/>
      <c r="H699" s="40"/>
      <c r="I699" s="42"/>
      <c r="J699" s="42"/>
      <c r="K699" s="63"/>
      <c r="L699" s="63"/>
      <c r="M699" s="63"/>
      <c r="Q699" s="44"/>
      <c r="R699" s="44"/>
      <c r="S699" s="44"/>
      <c r="T699" s="44"/>
      <c r="U699" s="44"/>
    </row>
    <row r="700">
      <c r="F700" s="62"/>
      <c r="H700" s="40"/>
      <c r="I700" s="42"/>
      <c r="J700" s="42"/>
      <c r="K700" s="63"/>
      <c r="L700" s="63"/>
      <c r="M700" s="63"/>
      <c r="Q700" s="44"/>
      <c r="R700" s="44"/>
      <c r="S700" s="44"/>
      <c r="T700" s="44"/>
      <c r="U700" s="44"/>
    </row>
    <row r="701">
      <c r="F701" s="62"/>
      <c r="H701" s="40"/>
      <c r="I701" s="42"/>
      <c r="J701" s="42"/>
      <c r="K701" s="63"/>
      <c r="L701" s="63"/>
      <c r="M701" s="63"/>
      <c r="Q701" s="44"/>
      <c r="R701" s="44"/>
      <c r="S701" s="44"/>
      <c r="T701" s="44"/>
      <c r="U701" s="44"/>
    </row>
    <row r="702">
      <c r="F702" s="62"/>
      <c r="H702" s="40"/>
      <c r="I702" s="42"/>
      <c r="J702" s="42"/>
      <c r="K702" s="63"/>
      <c r="L702" s="63"/>
      <c r="M702" s="63"/>
      <c r="Q702" s="44"/>
      <c r="R702" s="44"/>
      <c r="S702" s="44"/>
      <c r="T702" s="44"/>
      <c r="U702" s="44"/>
    </row>
    <row r="703">
      <c r="F703" s="62"/>
      <c r="H703" s="40"/>
      <c r="I703" s="42"/>
      <c r="J703" s="42"/>
      <c r="K703" s="63"/>
      <c r="L703" s="63"/>
      <c r="M703" s="63"/>
      <c r="Q703" s="44"/>
      <c r="R703" s="44"/>
      <c r="S703" s="44"/>
      <c r="T703" s="44"/>
      <c r="U703" s="44"/>
    </row>
    <row r="704">
      <c r="F704" s="62"/>
      <c r="H704" s="40"/>
      <c r="I704" s="42"/>
      <c r="J704" s="42"/>
      <c r="K704" s="63"/>
      <c r="L704" s="63"/>
      <c r="M704" s="63"/>
      <c r="Q704" s="44"/>
      <c r="R704" s="44"/>
      <c r="S704" s="44"/>
      <c r="T704" s="44"/>
      <c r="U704" s="44"/>
    </row>
    <row r="705">
      <c r="F705" s="62"/>
      <c r="H705" s="40"/>
      <c r="I705" s="42"/>
      <c r="J705" s="42"/>
      <c r="K705" s="63"/>
      <c r="L705" s="63"/>
      <c r="M705" s="63"/>
      <c r="Q705" s="44"/>
      <c r="R705" s="44"/>
      <c r="S705" s="44"/>
      <c r="T705" s="44"/>
      <c r="U705" s="44"/>
    </row>
    <row r="706">
      <c r="F706" s="62"/>
      <c r="H706" s="40"/>
      <c r="I706" s="42"/>
      <c r="J706" s="42"/>
      <c r="K706" s="63"/>
      <c r="L706" s="63"/>
      <c r="M706" s="63"/>
      <c r="Q706" s="44"/>
      <c r="R706" s="44"/>
      <c r="S706" s="44"/>
      <c r="T706" s="44"/>
      <c r="U706" s="44"/>
    </row>
    <row r="707">
      <c r="F707" s="62"/>
      <c r="H707" s="40"/>
      <c r="I707" s="42"/>
      <c r="J707" s="42"/>
      <c r="K707" s="63"/>
      <c r="L707" s="63"/>
      <c r="M707" s="63"/>
      <c r="Q707" s="44"/>
      <c r="R707" s="44"/>
      <c r="S707" s="44"/>
      <c r="T707" s="44"/>
      <c r="U707" s="44"/>
    </row>
    <row r="708">
      <c r="F708" s="62"/>
      <c r="H708" s="40"/>
      <c r="I708" s="42"/>
      <c r="J708" s="42"/>
      <c r="K708" s="63"/>
      <c r="L708" s="63"/>
      <c r="M708" s="63"/>
      <c r="Q708" s="44"/>
      <c r="R708" s="44"/>
      <c r="S708" s="44"/>
      <c r="T708" s="44"/>
      <c r="U708" s="44"/>
    </row>
    <row r="709">
      <c r="F709" s="62"/>
      <c r="H709" s="40"/>
      <c r="I709" s="42"/>
      <c r="J709" s="42"/>
      <c r="K709" s="63"/>
      <c r="L709" s="63"/>
      <c r="M709" s="63"/>
      <c r="Q709" s="44"/>
      <c r="R709" s="44"/>
      <c r="S709" s="44"/>
      <c r="T709" s="44"/>
      <c r="U709" s="44"/>
    </row>
    <row r="710">
      <c r="F710" s="62"/>
      <c r="H710" s="40"/>
      <c r="I710" s="42"/>
      <c r="J710" s="42"/>
      <c r="K710" s="63"/>
      <c r="L710" s="63"/>
      <c r="M710" s="63"/>
      <c r="Q710" s="44"/>
      <c r="R710" s="44"/>
      <c r="S710" s="44"/>
      <c r="T710" s="44"/>
      <c r="U710" s="44"/>
    </row>
    <row r="711">
      <c r="F711" s="62"/>
      <c r="H711" s="40"/>
      <c r="I711" s="42"/>
      <c r="J711" s="42"/>
      <c r="K711" s="63"/>
      <c r="L711" s="63"/>
      <c r="M711" s="63"/>
      <c r="Q711" s="44"/>
      <c r="R711" s="44"/>
      <c r="S711" s="44"/>
      <c r="T711" s="44"/>
      <c r="U711" s="44"/>
    </row>
    <row r="712">
      <c r="F712" s="62"/>
      <c r="H712" s="40"/>
      <c r="I712" s="42"/>
      <c r="J712" s="42"/>
      <c r="K712" s="63"/>
      <c r="L712" s="63"/>
      <c r="M712" s="63"/>
      <c r="Q712" s="44"/>
      <c r="R712" s="44"/>
      <c r="S712" s="44"/>
      <c r="T712" s="44"/>
      <c r="U712" s="44"/>
    </row>
    <row r="713">
      <c r="F713" s="62"/>
      <c r="H713" s="40"/>
      <c r="I713" s="42"/>
      <c r="J713" s="42"/>
      <c r="K713" s="63"/>
      <c r="L713" s="63"/>
      <c r="M713" s="63"/>
      <c r="Q713" s="44"/>
      <c r="R713" s="44"/>
      <c r="S713" s="44"/>
      <c r="T713" s="44"/>
      <c r="U713" s="44"/>
    </row>
    <row r="714">
      <c r="F714" s="62"/>
      <c r="H714" s="40"/>
      <c r="I714" s="42"/>
      <c r="J714" s="42"/>
      <c r="K714" s="63"/>
      <c r="L714" s="63"/>
      <c r="M714" s="63"/>
      <c r="Q714" s="44"/>
      <c r="R714" s="44"/>
      <c r="S714" s="44"/>
      <c r="T714" s="44"/>
      <c r="U714" s="44"/>
    </row>
    <row r="715">
      <c r="F715" s="62"/>
      <c r="H715" s="40"/>
      <c r="I715" s="42"/>
      <c r="J715" s="42"/>
      <c r="K715" s="63"/>
      <c r="L715" s="63"/>
      <c r="M715" s="63"/>
      <c r="Q715" s="44"/>
      <c r="R715" s="44"/>
      <c r="S715" s="44"/>
      <c r="T715" s="44"/>
      <c r="U715" s="44"/>
    </row>
    <row r="716">
      <c r="F716" s="62"/>
      <c r="H716" s="40"/>
      <c r="I716" s="42"/>
      <c r="J716" s="42"/>
      <c r="K716" s="63"/>
      <c r="L716" s="63"/>
      <c r="M716" s="63"/>
      <c r="Q716" s="44"/>
      <c r="R716" s="44"/>
      <c r="S716" s="44"/>
      <c r="T716" s="44"/>
      <c r="U716" s="44"/>
    </row>
    <row r="717">
      <c r="F717" s="62"/>
      <c r="H717" s="40"/>
      <c r="I717" s="42"/>
      <c r="J717" s="42"/>
      <c r="K717" s="63"/>
      <c r="L717" s="63"/>
      <c r="M717" s="63"/>
      <c r="Q717" s="44"/>
      <c r="R717" s="44"/>
      <c r="S717" s="44"/>
      <c r="T717" s="44"/>
      <c r="U717" s="44"/>
    </row>
    <row r="718">
      <c r="F718" s="62"/>
      <c r="H718" s="40"/>
      <c r="I718" s="42"/>
      <c r="J718" s="42"/>
      <c r="K718" s="63"/>
      <c r="L718" s="63"/>
      <c r="M718" s="63"/>
      <c r="Q718" s="44"/>
      <c r="R718" s="44"/>
      <c r="S718" s="44"/>
      <c r="T718" s="44"/>
      <c r="U718" s="44"/>
    </row>
    <row r="719">
      <c r="F719" s="62"/>
      <c r="H719" s="40"/>
      <c r="I719" s="42"/>
      <c r="J719" s="42"/>
      <c r="K719" s="63"/>
      <c r="L719" s="63"/>
      <c r="M719" s="63"/>
      <c r="Q719" s="44"/>
      <c r="R719" s="44"/>
      <c r="S719" s="44"/>
      <c r="T719" s="44"/>
      <c r="U719" s="44"/>
    </row>
    <row r="720">
      <c r="F720" s="62"/>
      <c r="H720" s="40"/>
      <c r="I720" s="42"/>
      <c r="J720" s="42"/>
      <c r="K720" s="63"/>
      <c r="L720" s="63"/>
      <c r="M720" s="63"/>
      <c r="Q720" s="44"/>
      <c r="R720" s="44"/>
      <c r="S720" s="44"/>
      <c r="T720" s="44"/>
      <c r="U720" s="44"/>
    </row>
    <row r="721">
      <c r="F721" s="62"/>
      <c r="H721" s="40"/>
      <c r="I721" s="42"/>
      <c r="J721" s="42"/>
      <c r="K721" s="63"/>
      <c r="L721" s="63"/>
      <c r="M721" s="63"/>
      <c r="Q721" s="44"/>
      <c r="R721" s="44"/>
      <c r="S721" s="44"/>
      <c r="T721" s="44"/>
      <c r="U721" s="44"/>
    </row>
    <row r="722">
      <c r="F722" s="62"/>
      <c r="H722" s="40"/>
      <c r="I722" s="42"/>
      <c r="J722" s="42"/>
      <c r="K722" s="63"/>
      <c r="L722" s="63"/>
      <c r="M722" s="63"/>
      <c r="Q722" s="44"/>
      <c r="R722" s="44"/>
      <c r="S722" s="44"/>
      <c r="T722" s="44"/>
      <c r="U722" s="44"/>
    </row>
    <row r="723">
      <c r="F723" s="62"/>
      <c r="H723" s="40"/>
      <c r="I723" s="42"/>
      <c r="J723" s="42"/>
      <c r="K723" s="63"/>
      <c r="L723" s="63"/>
      <c r="M723" s="63"/>
      <c r="Q723" s="44"/>
      <c r="R723" s="44"/>
      <c r="S723" s="44"/>
      <c r="T723" s="44"/>
      <c r="U723" s="44"/>
    </row>
    <row r="724">
      <c r="F724" s="62"/>
      <c r="H724" s="40"/>
      <c r="I724" s="42"/>
      <c r="J724" s="42"/>
      <c r="K724" s="63"/>
      <c r="L724" s="63"/>
      <c r="M724" s="63"/>
      <c r="Q724" s="44"/>
      <c r="R724" s="44"/>
      <c r="S724" s="44"/>
      <c r="T724" s="44"/>
      <c r="U724" s="44"/>
    </row>
    <row r="725">
      <c r="F725" s="62"/>
      <c r="H725" s="40"/>
      <c r="I725" s="42"/>
      <c r="J725" s="42"/>
      <c r="K725" s="63"/>
      <c r="L725" s="63"/>
      <c r="M725" s="63"/>
      <c r="Q725" s="44"/>
      <c r="R725" s="44"/>
      <c r="S725" s="44"/>
      <c r="T725" s="44"/>
      <c r="U725" s="44"/>
    </row>
    <row r="726">
      <c r="F726" s="62"/>
      <c r="H726" s="40"/>
      <c r="I726" s="42"/>
      <c r="J726" s="42"/>
      <c r="K726" s="63"/>
      <c r="L726" s="63"/>
      <c r="M726" s="63"/>
      <c r="Q726" s="44"/>
      <c r="R726" s="44"/>
      <c r="S726" s="44"/>
      <c r="T726" s="44"/>
      <c r="U726" s="44"/>
    </row>
    <row r="727">
      <c r="F727" s="62"/>
      <c r="H727" s="40"/>
      <c r="I727" s="42"/>
      <c r="J727" s="42"/>
      <c r="K727" s="63"/>
      <c r="L727" s="63"/>
      <c r="M727" s="63"/>
      <c r="Q727" s="44"/>
      <c r="R727" s="44"/>
      <c r="S727" s="44"/>
      <c r="T727" s="44"/>
      <c r="U727" s="44"/>
    </row>
    <row r="728">
      <c r="F728" s="62"/>
      <c r="H728" s="40"/>
      <c r="I728" s="42"/>
      <c r="J728" s="42"/>
      <c r="K728" s="63"/>
      <c r="L728" s="63"/>
      <c r="M728" s="63"/>
      <c r="Q728" s="44"/>
      <c r="R728" s="44"/>
      <c r="S728" s="44"/>
      <c r="T728" s="44"/>
      <c r="U728" s="44"/>
    </row>
    <row r="729">
      <c r="F729" s="62"/>
      <c r="H729" s="40"/>
      <c r="I729" s="42"/>
      <c r="J729" s="42"/>
      <c r="K729" s="63"/>
      <c r="L729" s="63"/>
      <c r="M729" s="63"/>
      <c r="Q729" s="44"/>
      <c r="R729" s="44"/>
      <c r="S729" s="44"/>
      <c r="T729" s="44"/>
      <c r="U729" s="44"/>
    </row>
    <row r="730">
      <c r="F730" s="62"/>
      <c r="H730" s="40"/>
      <c r="I730" s="42"/>
      <c r="J730" s="42"/>
      <c r="K730" s="63"/>
      <c r="L730" s="63"/>
      <c r="M730" s="63"/>
      <c r="Q730" s="44"/>
      <c r="R730" s="44"/>
      <c r="S730" s="44"/>
      <c r="T730" s="44"/>
      <c r="U730" s="44"/>
    </row>
    <row r="731">
      <c r="F731" s="62"/>
      <c r="H731" s="40"/>
      <c r="I731" s="42"/>
      <c r="J731" s="42"/>
      <c r="K731" s="63"/>
      <c r="L731" s="63"/>
      <c r="M731" s="63"/>
      <c r="Q731" s="44"/>
      <c r="R731" s="44"/>
      <c r="S731" s="44"/>
      <c r="T731" s="44"/>
      <c r="U731" s="44"/>
    </row>
    <row r="732">
      <c r="F732" s="62"/>
      <c r="H732" s="40"/>
      <c r="I732" s="42"/>
      <c r="J732" s="42"/>
      <c r="K732" s="63"/>
      <c r="L732" s="63"/>
      <c r="M732" s="63"/>
      <c r="Q732" s="44"/>
      <c r="R732" s="44"/>
      <c r="S732" s="44"/>
      <c r="T732" s="44"/>
      <c r="U732" s="44"/>
    </row>
    <row r="733">
      <c r="F733" s="62"/>
      <c r="H733" s="40"/>
      <c r="I733" s="42"/>
      <c r="J733" s="42"/>
      <c r="K733" s="63"/>
      <c r="L733" s="63"/>
      <c r="M733" s="63"/>
      <c r="Q733" s="44"/>
      <c r="R733" s="44"/>
      <c r="S733" s="44"/>
      <c r="T733" s="44"/>
      <c r="U733" s="44"/>
    </row>
    <row r="734">
      <c r="F734" s="62"/>
      <c r="H734" s="40"/>
      <c r="I734" s="42"/>
      <c r="J734" s="42"/>
      <c r="K734" s="63"/>
      <c r="L734" s="63"/>
      <c r="M734" s="63"/>
      <c r="Q734" s="44"/>
      <c r="R734" s="44"/>
      <c r="S734" s="44"/>
      <c r="T734" s="44"/>
      <c r="U734" s="44"/>
    </row>
    <row r="735">
      <c r="F735" s="62"/>
      <c r="H735" s="40"/>
      <c r="I735" s="42"/>
      <c r="J735" s="42"/>
      <c r="K735" s="63"/>
      <c r="L735" s="63"/>
      <c r="M735" s="63"/>
      <c r="Q735" s="44"/>
      <c r="R735" s="44"/>
      <c r="S735" s="44"/>
      <c r="T735" s="44"/>
      <c r="U735" s="44"/>
    </row>
    <row r="736">
      <c r="F736" s="62"/>
      <c r="H736" s="40"/>
      <c r="I736" s="42"/>
      <c r="J736" s="42"/>
      <c r="K736" s="63"/>
      <c r="L736" s="63"/>
      <c r="M736" s="63"/>
      <c r="Q736" s="44"/>
      <c r="R736" s="44"/>
      <c r="S736" s="44"/>
      <c r="T736" s="44"/>
      <c r="U736" s="44"/>
    </row>
    <row r="737">
      <c r="F737" s="62"/>
      <c r="H737" s="40"/>
      <c r="I737" s="42"/>
      <c r="J737" s="42"/>
      <c r="K737" s="63"/>
      <c r="L737" s="63"/>
      <c r="M737" s="63"/>
      <c r="Q737" s="44"/>
      <c r="R737" s="44"/>
      <c r="S737" s="44"/>
      <c r="T737" s="44"/>
      <c r="U737" s="44"/>
    </row>
    <row r="738">
      <c r="F738" s="62"/>
      <c r="H738" s="40"/>
      <c r="I738" s="42"/>
      <c r="J738" s="42"/>
      <c r="K738" s="63"/>
      <c r="L738" s="63"/>
      <c r="M738" s="63"/>
      <c r="Q738" s="44"/>
      <c r="R738" s="44"/>
      <c r="S738" s="44"/>
      <c r="T738" s="44"/>
      <c r="U738" s="44"/>
    </row>
    <row r="739">
      <c r="F739" s="62"/>
      <c r="H739" s="40"/>
      <c r="I739" s="42"/>
      <c r="J739" s="42"/>
      <c r="K739" s="63"/>
      <c r="L739" s="63"/>
      <c r="M739" s="63"/>
      <c r="Q739" s="44"/>
      <c r="R739" s="44"/>
      <c r="S739" s="44"/>
      <c r="T739" s="44"/>
      <c r="U739" s="44"/>
    </row>
    <row r="740">
      <c r="F740" s="62"/>
      <c r="H740" s="40"/>
      <c r="I740" s="42"/>
      <c r="J740" s="42"/>
      <c r="K740" s="63"/>
      <c r="L740" s="63"/>
      <c r="M740" s="63"/>
      <c r="Q740" s="44"/>
      <c r="R740" s="44"/>
      <c r="S740" s="44"/>
      <c r="T740" s="44"/>
      <c r="U740" s="44"/>
    </row>
    <row r="741">
      <c r="F741" s="62"/>
      <c r="H741" s="40"/>
      <c r="I741" s="42"/>
      <c r="J741" s="42"/>
      <c r="K741" s="63"/>
      <c r="L741" s="63"/>
      <c r="M741" s="63"/>
      <c r="Q741" s="44"/>
      <c r="R741" s="44"/>
      <c r="S741" s="44"/>
      <c r="T741" s="44"/>
      <c r="U741" s="44"/>
    </row>
    <row r="742">
      <c r="F742" s="62"/>
      <c r="H742" s="40"/>
      <c r="I742" s="42"/>
      <c r="J742" s="42"/>
      <c r="K742" s="63"/>
      <c r="L742" s="63"/>
      <c r="M742" s="63"/>
      <c r="Q742" s="44"/>
      <c r="R742" s="44"/>
      <c r="S742" s="44"/>
      <c r="T742" s="44"/>
      <c r="U742" s="44"/>
    </row>
    <row r="743">
      <c r="F743" s="62"/>
      <c r="H743" s="40"/>
      <c r="I743" s="42"/>
      <c r="J743" s="42"/>
      <c r="K743" s="63"/>
      <c r="L743" s="63"/>
      <c r="M743" s="63"/>
      <c r="Q743" s="44"/>
      <c r="R743" s="44"/>
      <c r="S743" s="44"/>
      <c r="T743" s="44"/>
      <c r="U743" s="44"/>
    </row>
    <row r="744">
      <c r="F744" s="62"/>
      <c r="H744" s="40"/>
      <c r="I744" s="42"/>
      <c r="J744" s="42"/>
      <c r="K744" s="63"/>
      <c r="L744" s="63"/>
      <c r="M744" s="63"/>
      <c r="Q744" s="44"/>
      <c r="R744" s="44"/>
      <c r="S744" s="44"/>
      <c r="T744" s="44"/>
      <c r="U744" s="44"/>
    </row>
    <row r="745">
      <c r="F745" s="62"/>
      <c r="H745" s="40"/>
      <c r="I745" s="42"/>
      <c r="J745" s="42"/>
      <c r="K745" s="63"/>
      <c r="L745" s="63"/>
      <c r="M745" s="63"/>
      <c r="Q745" s="44"/>
      <c r="R745" s="44"/>
      <c r="S745" s="44"/>
      <c r="T745" s="44"/>
      <c r="U745" s="44"/>
    </row>
    <row r="746">
      <c r="F746" s="62"/>
      <c r="H746" s="40"/>
      <c r="I746" s="42"/>
      <c r="J746" s="42"/>
      <c r="K746" s="63"/>
      <c r="L746" s="63"/>
      <c r="M746" s="63"/>
      <c r="Q746" s="44"/>
      <c r="R746" s="44"/>
      <c r="S746" s="44"/>
      <c r="T746" s="44"/>
      <c r="U746" s="44"/>
    </row>
    <row r="747">
      <c r="F747" s="62"/>
      <c r="H747" s="40"/>
      <c r="I747" s="42"/>
      <c r="J747" s="42"/>
      <c r="K747" s="63"/>
      <c r="L747" s="63"/>
      <c r="M747" s="63"/>
      <c r="Q747" s="44"/>
      <c r="R747" s="44"/>
      <c r="S747" s="44"/>
      <c r="T747" s="44"/>
      <c r="U747" s="44"/>
    </row>
    <row r="748">
      <c r="F748" s="62"/>
      <c r="H748" s="40"/>
      <c r="I748" s="42"/>
      <c r="J748" s="42"/>
      <c r="K748" s="63"/>
      <c r="L748" s="63"/>
      <c r="M748" s="63"/>
      <c r="Q748" s="44"/>
      <c r="R748" s="44"/>
      <c r="S748" s="44"/>
      <c r="T748" s="44"/>
      <c r="U748" s="44"/>
    </row>
    <row r="749">
      <c r="F749" s="62"/>
      <c r="H749" s="40"/>
      <c r="I749" s="42"/>
      <c r="J749" s="42"/>
      <c r="K749" s="63"/>
      <c r="L749" s="63"/>
      <c r="M749" s="63"/>
      <c r="Q749" s="44"/>
      <c r="R749" s="44"/>
      <c r="S749" s="44"/>
      <c r="T749" s="44"/>
      <c r="U749" s="44"/>
    </row>
    <row r="750">
      <c r="F750" s="62"/>
      <c r="H750" s="40"/>
      <c r="I750" s="42"/>
      <c r="J750" s="42"/>
      <c r="K750" s="63"/>
      <c r="L750" s="63"/>
      <c r="M750" s="63"/>
      <c r="Q750" s="44"/>
      <c r="R750" s="44"/>
      <c r="S750" s="44"/>
      <c r="T750" s="44"/>
      <c r="U750" s="44"/>
    </row>
    <row r="751">
      <c r="F751" s="62"/>
      <c r="H751" s="40"/>
      <c r="I751" s="42"/>
      <c r="J751" s="42"/>
      <c r="K751" s="63"/>
      <c r="L751" s="63"/>
      <c r="M751" s="63"/>
      <c r="Q751" s="44"/>
      <c r="R751" s="44"/>
      <c r="S751" s="44"/>
      <c r="T751" s="44"/>
      <c r="U751" s="44"/>
    </row>
    <row r="752">
      <c r="F752" s="62"/>
      <c r="H752" s="40"/>
      <c r="I752" s="42"/>
      <c r="J752" s="42"/>
      <c r="K752" s="63"/>
      <c r="L752" s="63"/>
      <c r="M752" s="63"/>
      <c r="Q752" s="44"/>
      <c r="R752" s="44"/>
      <c r="S752" s="44"/>
      <c r="T752" s="44"/>
      <c r="U752" s="44"/>
    </row>
    <row r="753">
      <c r="F753" s="62"/>
      <c r="H753" s="40"/>
      <c r="I753" s="42"/>
      <c r="J753" s="42"/>
      <c r="K753" s="63"/>
      <c r="L753" s="63"/>
      <c r="M753" s="63"/>
      <c r="Q753" s="44"/>
      <c r="R753" s="44"/>
      <c r="S753" s="44"/>
      <c r="T753" s="44"/>
      <c r="U753" s="44"/>
    </row>
    <row r="754">
      <c r="F754" s="62"/>
      <c r="H754" s="40"/>
      <c r="I754" s="42"/>
      <c r="J754" s="42"/>
      <c r="K754" s="63"/>
      <c r="L754" s="63"/>
      <c r="M754" s="63"/>
      <c r="Q754" s="44"/>
      <c r="R754" s="44"/>
      <c r="S754" s="44"/>
      <c r="T754" s="44"/>
      <c r="U754" s="44"/>
    </row>
    <row r="755">
      <c r="F755" s="62"/>
      <c r="H755" s="40"/>
      <c r="I755" s="42"/>
      <c r="J755" s="42"/>
      <c r="K755" s="63"/>
      <c r="L755" s="63"/>
      <c r="M755" s="63"/>
      <c r="Q755" s="44"/>
      <c r="R755" s="44"/>
      <c r="S755" s="44"/>
      <c r="T755" s="44"/>
      <c r="U755" s="44"/>
    </row>
    <row r="756">
      <c r="F756" s="62"/>
      <c r="H756" s="40"/>
      <c r="I756" s="42"/>
      <c r="J756" s="42"/>
      <c r="K756" s="63"/>
      <c r="L756" s="63"/>
      <c r="M756" s="63"/>
      <c r="Q756" s="44"/>
      <c r="R756" s="44"/>
      <c r="S756" s="44"/>
      <c r="T756" s="44"/>
      <c r="U756" s="44"/>
    </row>
    <row r="757">
      <c r="F757" s="62"/>
      <c r="H757" s="40"/>
      <c r="I757" s="42"/>
      <c r="J757" s="42"/>
      <c r="K757" s="63"/>
      <c r="L757" s="63"/>
      <c r="M757" s="63"/>
      <c r="Q757" s="44"/>
      <c r="R757" s="44"/>
      <c r="S757" s="44"/>
      <c r="T757" s="44"/>
      <c r="U757" s="44"/>
    </row>
    <row r="758">
      <c r="F758" s="62"/>
      <c r="H758" s="40"/>
      <c r="I758" s="42"/>
      <c r="J758" s="42"/>
      <c r="K758" s="63"/>
      <c r="L758" s="63"/>
      <c r="M758" s="63"/>
      <c r="Q758" s="44"/>
      <c r="R758" s="44"/>
      <c r="S758" s="44"/>
      <c r="T758" s="44"/>
      <c r="U758" s="44"/>
    </row>
    <row r="759">
      <c r="F759" s="62"/>
      <c r="H759" s="40"/>
      <c r="I759" s="42"/>
      <c r="J759" s="42"/>
      <c r="K759" s="63"/>
      <c r="L759" s="63"/>
      <c r="M759" s="63"/>
      <c r="Q759" s="44"/>
      <c r="R759" s="44"/>
      <c r="S759" s="44"/>
      <c r="T759" s="44"/>
      <c r="U759" s="44"/>
    </row>
    <row r="760">
      <c r="F760" s="62"/>
      <c r="H760" s="40"/>
      <c r="I760" s="42"/>
      <c r="J760" s="42"/>
      <c r="K760" s="63"/>
      <c r="L760" s="63"/>
      <c r="M760" s="63"/>
      <c r="Q760" s="44"/>
      <c r="R760" s="44"/>
      <c r="S760" s="44"/>
      <c r="T760" s="44"/>
      <c r="U760" s="44"/>
    </row>
    <row r="761">
      <c r="F761" s="62"/>
      <c r="H761" s="40"/>
      <c r="I761" s="42"/>
      <c r="J761" s="42"/>
      <c r="K761" s="63"/>
      <c r="L761" s="63"/>
      <c r="M761" s="63"/>
      <c r="Q761" s="44"/>
      <c r="R761" s="44"/>
      <c r="S761" s="44"/>
      <c r="T761" s="44"/>
      <c r="U761" s="44"/>
    </row>
    <row r="762">
      <c r="F762" s="62"/>
      <c r="H762" s="40"/>
      <c r="I762" s="42"/>
      <c r="J762" s="42"/>
      <c r="K762" s="63"/>
      <c r="L762" s="63"/>
      <c r="M762" s="63"/>
      <c r="Q762" s="44"/>
      <c r="R762" s="44"/>
      <c r="S762" s="44"/>
      <c r="T762" s="44"/>
      <c r="U762" s="44"/>
    </row>
    <row r="763">
      <c r="F763" s="62"/>
      <c r="H763" s="40"/>
      <c r="I763" s="42"/>
      <c r="J763" s="42"/>
      <c r="K763" s="63"/>
      <c r="L763" s="63"/>
      <c r="M763" s="63"/>
      <c r="Q763" s="44"/>
      <c r="R763" s="44"/>
      <c r="S763" s="44"/>
      <c r="T763" s="44"/>
      <c r="U763" s="44"/>
    </row>
    <row r="764">
      <c r="F764" s="62"/>
      <c r="H764" s="40"/>
      <c r="I764" s="42"/>
      <c r="J764" s="42"/>
      <c r="K764" s="63"/>
      <c r="L764" s="63"/>
      <c r="M764" s="63"/>
      <c r="Q764" s="44"/>
      <c r="R764" s="44"/>
      <c r="S764" s="44"/>
      <c r="T764" s="44"/>
      <c r="U764" s="44"/>
    </row>
    <row r="765">
      <c r="F765" s="62"/>
      <c r="H765" s="40"/>
      <c r="I765" s="42"/>
      <c r="J765" s="42"/>
      <c r="K765" s="63"/>
      <c r="L765" s="63"/>
      <c r="M765" s="63"/>
      <c r="Q765" s="44"/>
      <c r="R765" s="44"/>
      <c r="S765" s="44"/>
      <c r="T765" s="44"/>
      <c r="U765" s="44"/>
    </row>
    <row r="766">
      <c r="F766" s="62"/>
      <c r="H766" s="40"/>
      <c r="I766" s="42"/>
      <c r="J766" s="42"/>
      <c r="K766" s="63"/>
      <c r="L766" s="63"/>
      <c r="M766" s="63"/>
      <c r="Q766" s="44"/>
      <c r="R766" s="44"/>
      <c r="S766" s="44"/>
      <c r="T766" s="44"/>
      <c r="U766" s="44"/>
    </row>
    <row r="767">
      <c r="F767" s="62"/>
      <c r="H767" s="40"/>
      <c r="I767" s="42"/>
      <c r="J767" s="42"/>
      <c r="K767" s="63"/>
      <c r="L767" s="63"/>
      <c r="M767" s="63"/>
      <c r="Q767" s="44"/>
      <c r="R767" s="44"/>
      <c r="S767" s="44"/>
      <c r="T767" s="44"/>
      <c r="U767" s="44"/>
    </row>
    <row r="768">
      <c r="F768" s="62"/>
      <c r="H768" s="40"/>
      <c r="I768" s="42"/>
      <c r="J768" s="42"/>
      <c r="K768" s="63"/>
      <c r="L768" s="63"/>
      <c r="M768" s="63"/>
      <c r="Q768" s="44"/>
      <c r="R768" s="44"/>
      <c r="S768" s="44"/>
      <c r="T768" s="44"/>
      <c r="U768" s="44"/>
    </row>
    <row r="769">
      <c r="F769" s="62"/>
      <c r="H769" s="40"/>
      <c r="I769" s="42"/>
      <c r="J769" s="42"/>
      <c r="K769" s="63"/>
      <c r="L769" s="63"/>
      <c r="M769" s="63"/>
      <c r="Q769" s="44"/>
      <c r="R769" s="44"/>
      <c r="S769" s="44"/>
      <c r="T769" s="44"/>
      <c r="U769" s="44"/>
    </row>
    <row r="770">
      <c r="F770" s="62"/>
      <c r="H770" s="40"/>
      <c r="I770" s="42"/>
      <c r="J770" s="42"/>
      <c r="K770" s="63"/>
      <c r="L770" s="63"/>
      <c r="M770" s="63"/>
      <c r="Q770" s="44"/>
      <c r="R770" s="44"/>
      <c r="S770" s="44"/>
      <c r="T770" s="44"/>
      <c r="U770" s="44"/>
    </row>
    <row r="771">
      <c r="F771" s="62"/>
      <c r="H771" s="40"/>
      <c r="I771" s="42"/>
      <c r="J771" s="42"/>
      <c r="K771" s="63"/>
      <c r="L771" s="63"/>
      <c r="M771" s="63"/>
      <c r="Q771" s="44"/>
      <c r="R771" s="44"/>
      <c r="S771" s="44"/>
      <c r="T771" s="44"/>
      <c r="U771" s="44"/>
    </row>
    <row r="772">
      <c r="F772" s="62"/>
      <c r="H772" s="40"/>
      <c r="I772" s="42"/>
      <c r="J772" s="42"/>
      <c r="K772" s="63"/>
      <c r="L772" s="63"/>
      <c r="M772" s="63"/>
      <c r="Q772" s="44"/>
      <c r="R772" s="44"/>
      <c r="S772" s="44"/>
      <c r="T772" s="44"/>
      <c r="U772" s="44"/>
    </row>
    <row r="773">
      <c r="F773" s="62"/>
      <c r="H773" s="40"/>
      <c r="I773" s="42"/>
      <c r="J773" s="42"/>
      <c r="K773" s="63"/>
      <c r="L773" s="63"/>
      <c r="M773" s="63"/>
      <c r="Q773" s="44"/>
      <c r="R773" s="44"/>
      <c r="S773" s="44"/>
      <c r="T773" s="44"/>
      <c r="U773" s="44"/>
    </row>
    <row r="774">
      <c r="F774" s="62"/>
      <c r="H774" s="40"/>
      <c r="I774" s="42"/>
      <c r="J774" s="42"/>
      <c r="K774" s="63"/>
      <c r="L774" s="63"/>
      <c r="M774" s="63"/>
      <c r="Q774" s="44"/>
      <c r="R774" s="44"/>
      <c r="S774" s="44"/>
      <c r="T774" s="44"/>
      <c r="U774" s="44"/>
    </row>
    <row r="775">
      <c r="F775" s="62"/>
      <c r="H775" s="40"/>
      <c r="I775" s="42"/>
      <c r="J775" s="42"/>
      <c r="K775" s="63"/>
      <c r="L775" s="63"/>
      <c r="M775" s="63"/>
      <c r="Q775" s="44"/>
      <c r="R775" s="44"/>
      <c r="S775" s="44"/>
      <c r="T775" s="44"/>
      <c r="U775" s="44"/>
    </row>
    <row r="776">
      <c r="F776" s="62"/>
      <c r="H776" s="40"/>
      <c r="I776" s="42"/>
      <c r="J776" s="42"/>
      <c r="K776" s="63"/>
      <c r="L776" s="63"/>
      <c r="M776" s="63"/>
      <c r="Q776" s="44"/>
      <c r="R776" s="44"/>
      <c r="S776" s="44"/>
      <c r="T776" s="44"/>
      <c r="U776" s="44"/>
    </row>
    <row r="777">
      <c r="F777" s="62"/>
      <c r="H777" s="40"/>
      <c r="I777" s="42"/>
      <c r="J777" s="42"/>
      <c r="K777" s="63"/>
      <c r="L777" s="63"/>
      <c r="M777" s="63"/>
      <c r="Q777" s="44"/>
      <c r="R777" s="44"/>
      <c r="S777" s="44"/>
      <c r="T777" s="44"/>
      <c r="U777" s="44"/>
    </row>
    <row r="778">
      <c r="F778" s="62"/>
      <c r="H778" s="40"/>
      <c r="I778" s="42"/>
      <c r="J778" s="42"/>
      <c r="K778" s="63"/>
      <c r="L778" s="63"/>
      <c r="M778" s="63"/>
      <c r="Q778" s="44"/>
      <c r="R778" s="44"/>
      <c r="S778" s="44"/>
      <c r="T778" s="44"/>
      <c r="U778" s="44"/>
    </row>
    <row r="779">
      <c r="F779" s="62"/>
      <c r="H779" s="40"/>
      <c r="I779" s="42"/>
      <c r="J779" s="42"/>
      <c r="K779" s="63"/>
      <c r="L779" s="63"/>
      <c r="M779" s="63"/>
      <c r="Q779" s="44"/>
      <c r="R779" s="44"/>
      <c r="S779" s="44"/>
      <c r="T779" s="44"/>
      <c r="U779" s="44"/>
    </row>
    <row r="780">
      <c r="F780" s="62"/>
      <c r="H780" s="40"/>
      <c r="I780" s="42"/>
      <c r="J780" s="42"/>
      <c r="K780" s="63"/>
      <c r="L780" s="63"/>
      <c r="M780" s="63"/>
      <c r="Q780" s="44"/>
      <c r="R780" s="44"/>
      <c r="S780" s="44"/>
      <c r="T780" s="44"/>
      <c r="U780" s="44"/>
    </row>
    <row r="781">
      <c r="F781" s="62"/>
      <c r="H781" s="40"/>
      <c r="I781" s="42"/>
      <c r="J781" s="42"/>
      <c r="K781" s="63"/>
      <c r="L781" s="63"/>
      <c r="M781" s="63"/>
      <c r="Q781" s="44"/>
      <c r="R781" s="44"/>
      <c r="S781" s="44"/>
      <c r="T781" s="44"/>
      <c r="U781" s="44"/>
    </row>
    <row r="782">
      <c r="F782" s="62"/>
      <c r="H782" s="40"/>
      <c r="I782" s="42"/>
      <c r="J782" s="42"/>
      <c r="K782" s="63"/>
      <c r="L782" s="63"/>
      <c r="M782" s="63"/>
      <c r="Q782" s="44"/>
      <c r="R782" s="44"/>
      <c r="S782" s="44"/>
      <c r="T782" s="44"/>
      <c r="U782" s="44"/>
    </row>
    <row r="783">
      <c r="F783" s="62"/>
      <c r="H783" s="40"/>
      <c r="I783" s="42"/>
      <c r="J783" s="42"/>
      <c r="K783" s="63"/>
      <c r="L783" s="63"/>
      <c r="M783" s="63"/>
      <c r="Q783" s="44"/>
      <c r="R783" s="44"/>
      <c r="S783" s="44"/>
      <c r="T783" s="44"/>
      <c r="U783" s="44"/>
    </row>
    <row r="784">
      <c r="F784" s="62"/>
      <c r="H784" s="40"/>
      <c r="I784" s="42"/>
      <c r="J784" s="42"/>
      <c r="K784" s="63"/>
      <c r="L784" s="63"/>
      <c r="M784" s="63"/>
      <c r="Q784" s="44"/>
      <c r="R784" s="44"/>
      <c r="S784" s="44"/>
      <c r="T784" s="44"/>
      <c r="U784" s="44"/>
    </row>
    <row r="785">
      <c r="F785" s="62"/>
      <c r="H785" s="40"/>
      <c r="I785" s="42"/>
      <c r="J785" s="42"/>
      <c r="K785" s="63"/>
      <c r="L785" s="63"/>
      <c r="M785" s="63"/>
      <c r="Q785" s="44"/>
      <c r="R785" s="44"/>
      <c r="S785" s="44"/>
      <c r="T785" s="44"/>
      <c r="U785" s="44"/>
    </row>
    <row r="786">
      <c r="F786" s="62"/>
      <c r="H786" s="40"/>
      <c r="I786" s="42"/>
      <c r="J786" s="42"/>
      <c r="K786" s="63"/>
      <c r="L786" s="63"/>
      <c r="M786" s="63"/>
      <c r="Q786" s="44"/>
      <c r="R786" s="44"/>
      <c r="S786" s="44"/>
      <c r="T786" s="44"/>
      <c r="U786" s="44"/>
    </row>
    <row r="787">
      <c r="F787" s="62"/>
      <c r="H787" s="40"/>
      <c r="I787" s="42"/>
      <c r="J787" s="42"/>
      <c r="K787" s="63"/>
      <c r="L787" s="63"/>
      <c r="M787" s="63"/>
      <c r="Q787" s="44"/>
      <c r="R787" s="44"/>
      <c r="S787" s="44"/>
      <c r="T787" s="44"/>
      <c r="U787" s="44"/>
    </row>
    <row r="788">
      <c r="F788" s="62"/>
      <c r="H788" s="40"/>
      <c r="I788" s="42"/>
      <c r="J788" s="42"/>
      <c r="K788" s="63"/>
      <c r="L788" s="63"/>
      <c r="M788" s="63"/>
      <c r="Q788" s="44"/>
      <c r="R788" s="44"/>
      <c r="S788" s="44"/>
      <c r="T788" s="44"/>
      <c r="U788" s="44"/>
    </row>
    <row r="789">
      <c r="F789" s="62"/>
      <c r="H789" s="40"/>
      <c r="I789" s="42"/>
      <c r="J789" s="42"/>
      <c r="K789" s="63"/>
      <c r="L789" s="63"/>
      <c r="M789" s="63"/>
      <c r="Q789" s="44"/>
      <c r="R789" s="44"/>
      <c r="S789" s="44"/>
      <c r="T789" s="44"/>
      <c r="U789" s="44"/>
    </row>
    <row r="790">
      <c r="F790" s="62"/>
      <c r="H790" s="40"/>
      <c r="I790" s="42"/>
      <c r="J790" s="42"/>
      <c r="K790" s="63"/>
      <c r="L790" s="63"/>
      <c r="M790" s="63"/>
      <c r="Q790" s="44"/>
      <c r="R790" s="44"/>
      <c r="S790" s="44"/>
      <c r="T790" s="44"/>
      <c r="U790" s="44"/>
    </row>
    <row r="791">
      <c r="F791" s="62"/>
      <c r="H791" s="40"/>
      <c r="I791" s="42"/>
      <c r="J791" s="42"/>
      <c r="K791" s="63"/>
      <c r="L791" s="63"/>
      <c r="M791" s="63"/>
      <c r="Q791" s="44"/>
      <c r="R791" s="44"/>
      <c r="S791" s="44"/>
      <c r="T791" s="44"/>
      <c r="U791" s="44"/>
    </row>
    <row r="792">
      <c r="F792" s="62"/>
      <c r="H792" s="40"/>
      <c r="I792" s="42"/>
      <c r="J792" s="42"/>
      <c r="K792" s="63"/>
      <c r="L792" s="63"/>
      <c r="M792" s="63"/>
      <c r="Q792" s="44"/>
      <c r="R792" s="44"/>
      <c r="S792" s="44"/>
      <c r="T792" s="44"/>
      <c r="U792" s="44"/>
    </row>
    <row r="793">
      <c r="F793" s="62"/>
      <c r="H793" s="40"/>
      <c r="I793" s="42"/>
      <c r="J793" s="42"/>
      <c r="K793" s="63"/>
      <c r="L793" s="63"/>
      <c r="M793" s="63"/>
      <c r="Q793" s="44"/>
      <c r="R793" s="44"/>
      <c r="S793" s="44"/>
      <c r="T793" s="44"/>
      <c r="U793" s="44"/>
    </row>
    <row r="794">
      <c r="F794" s="62"/>
      <c r="H794" s="40"/>
      <c r="I794" s="42"/>
      <c r="J794" s="42"/>
      <c r="K794" s="63"/>
      <c r="L794" s="63"/>
      <c r="M794" s="63"/>
      <c r="Q794" s="44"/>
      <c r="R794" s="44"/>
      <c r="S794" s="44"/>
      <c r="T794" s="44"/>
      <c r="U794" s="44"/>
    </row>
    <row r="795">
      <c r="F795" s="62"/>
      <c r="H795" s="40"/>
      <c r="I795" s="42"/>
      <c r="J795" s="42"/>
      <c r="K795" s="63"/>
      <c r="L795" s="63"/>
      <c r="M795" s="63"/>
      <c r="Q795" s="44"/>
      <c r="R795" s="44"/>
      <c r="S795" s="44"/>
      <c r="T795" s="44"/>
      <c r="U795" s="44"/>
    </row>
    <row r="796">
      <c r="F796" s="62"/>
      <c r="H796" s="40"/>
      <c r="I796" s="42"/>
      <c r="J796" s="42"/>
      <c r="K796" s="63"/>
      <c r="L796" s="63"/>
      <c r="M796" s="63"/>
      <c r="Q796" s="44"/>
      <c r="R796" s="44"/>
      <c r="S796" s="44"/>
      <c r="T796" s="44"/>
      <c r="U796" s="44"/>
    </row>
    <row r="797">
      <c r="F797" s="62"/>
      <c r="H797" s="40"/>
      <c r="I797" s="42"/>
      <c r="J797" s="42"/>
      <c r="K797" s="63"/>
      <c r="L797" s="63"/>
      <c r="M797" s="63"/>
      <c r="Q797" s="44"/>
      <c r="R797" s="44"/>
      <c r="S797" s="44"/>
      <c r="T797" s="44"/>
      <c r="U797" s="44"/>
    </row>
    <row r="798">
      <c r="F798" s="62"/>
      <c r="H798" s="40"/>
      <c r="I798" s="42"/>
      <c r="J798" s="42"/>
      <c r="K798" s="63"/>
      <c r="L798" s="63"/>
      <c r="M798" s="63"/>
      <c r="Q798" s="44"/>
      <c r="R798" s="44"/>
      <c r="S798" s="44"/>
      <c r="T798" s="44"/>
      <c r="U798" s="44"/>
    </row>
    <row r="799">
      <c r="F799" s="62"/>
      <c r="H799" s="40"/>
      <c r="I799" s="42"/>
      <c r="J799" s="42"/>
      <c r="K799" s="63"/>
      <c r="L799" s="63"/>
      <c r="M799" s="63"/>
      <c r="Q799" s="44"/>
      <c r="R799" s="44"/>
      <c r="S799" s="44"/>
      <c r="T799" s="44"/>
      <c r="U799" s="44"/>
    </row>
    <row r="800">
      <c r="F800" s="62"/>
      <c r="H800" s="40"/>
      <c r="I800" s="42"/>
      <c r="J800" s="42"/>
      <c r="K800" s="63"/>
      <c r="L800" s="63"/>
      <c r="M800" s="63"/>
      <c r="Q800" s="44"/>
      <c r="R800" s="44"/>
      <c r="S800" s="44"/>
      <c r="T800" s="44"/>
      <c r="U800" s="44"/>
    </row>
    <row r="801">
      <c r="F801" s="62"/>
      <c r="H801" s="40"/>
      <c r="I801" s="42"/>
      <c r="J801" s="42"/>
      <c r="K801" s="63"/>
      <c r="L801" s="63"/>
      <c r="M801" s="63"/>
      <c r="Q801" s="44"/>
      <c r="R801" s="44"/>
      <c r="S801" s="44"/>
      <c r="T801" s="44"/>
      <c r="U801" s="44"/>
    </row>
    <row r="802">
      <c r="F802" s="62"/>
      <c r="H802" s="40"/>
      <c r="I802" s="42"/>
      <c r="J802" s="42"/>
      <c r="K802" s="63"/>
      <c r="L802" s="63"/>
      <c r="M802" s="63"/>
      <c r="Q802" s="44"/>
      <c r="R802" s="44"/>
      <c r="S802" s="44"/>
      <c r="T802" s="44"/>
      <c r="U802" s="44"/>
    </row>
    <row r="803">
      <c r="F803" s="62"/>
      <c r="H803" s="40"/>
      <c r="I803" s="42"/>
      <c r="J803" s="42"/>
      <c r="K803" s="63"/>
      <c r="L803" s="63"/>
      <c r="M803" s="63"/>
      <c r="Q803" s="44"/>
      <c r="R803" s="44"/>
      <c r="S803" s="44"/>
      <c r="T803" s="44"/>
      <c r="U803" s="44"/>
    </row>
    <row r="804">
      <c r="F804" s="62"/>
      <c r="H804" s="40"/>
      <c r="I804" s="42"/>
      <c r="J804" s="42"/>
      <c r="K804" s="63"/>
      <c r="L804" s="63"/>
      <c r="M804" s="63"/>
      <c r="Q804" s="44"/>
      <c r="R804" s="44"/>
      <c r="S804" s="44"/>
      <c r="T804" s="44"/>
      <c r="U804" s="44"/>
    </row>
    <row r="805">
      <c r="F805" s="62"/>
      <c r="H805" s="40"/>
      <c r="I805" s="42"/>
      <c r="J805" s="42"/>
      <c r="K805" s="63"/>
      <c r="L805" s="63"/>
      <c r="M805" s="63"/>
      <c r="Q805" s="44"/>
      <c r="R805" s="44"/>
      <c r="S805" s="44"/>
      <c r="T805" s="44"/>
      <c r="U805" s="44"/>
    </row>
    <row r="806">
      <c r="F806" s="62"/>
      <c r="H806" s="40"/>
      <c r="I806" s="42"/>
      <c r="J806" s="42"/>
      <c r="K806" s="63"/>
      <c r="L806" s="63"/>
      <c r="M806" s="63"/>
      <c r="Q806" s="44"/>
      <c r="R806" s="44"/>
      <c r="S806" s="44"/>
      <c r="T806" s="44"/>
      <c r="U806" s="44"/>
    </row>
    <row r="807">
      <c r="F807" s="62"/>
      <c r="H807" s="40"/>
      <c r="I807" s="42"/>
      <c r="J807" s="42"/>
      <c r="K807" s="63"/>
      <c r="L807" s="63"/>
      <c r="M807" s="63"/>
      <c r="Q807" s="44"/>
      <c r="R807" s="44"/>
      <c r="S807" s="44"/>
      <c r="T807" s="44"/>
      <c r="U807" s="44"/>
    </row>
    <row r="808">
      <c r="F808" s="62"/>
      <c r="H808" s="40"/>
      <c r="I808" s="42"/>
      <c r="J808" s="42"/>
      <c r="K808" s="63"/>
      <c r="L808" s="63"/>
      <c r="M808" s="63"/>
      <c r="Q808" s="44"/>
      <c r="R808" s="44"/>
      <c r="S808" s="44"/>
      <c r="T808" s="44"/>
      <c r="U808" s="44"/>
    </row>
    <row r="809">
      <c r="F809" s="62"/>
      <c r="H809" s="40"/>
      <c r="I809" s="42"/>
      <c r="J809" s="42"/>
      <c r="K809" s="63"/>
      <c r="L809" s="63"/>
      <c r="M809" s="63"/>
      <c r="Q809" s="44"/>
      <c r="R809" s="44"/>
      <c r="S809" s="44"/>
      <c r="T809" s="44"/>
      <c r="U809" s="44"/>
    </row>
    <row r="810">
      <c r="F810" s="62"/>
      <c r="H810" s="40"/>
      <c r="I810" s="42"/>
      <c r="J810" s="42"/>
      <c r="K810" s="63"/>
      <c r="L810" s="63"/>
      <c r="M810" s="63"/>
      <c r="Q810" s="44"/>
      <c r="R810" s="44"/>
      <c r="S810" s="44"/>
      <c r="T810" s="44"/>
      <c r="U810" s="44"/>
    </row>
    <row r="811">
      <c r="F811" s="62"/>
      <c r="H811" s="40"/>
      <c r="I811" s="42"/>
      <c r="J811" s="42"/>
      <c r="K811" s="63"/>
      <c r="L811" s="63"/>
      <c r="M811" s="63"/>
      <c r="Q811" s="44"/>
      <c r="R811" s="44"/>
      <c r="S811" s="44"/>
      <c r="T811" s="44"/>
      <c r="U811" s="44"/>
    </row>
    <row r="812">
      <c r="F812" s="62"/>
      <c r="H812" s="40"/>
      <c r="I812" s="42"/>
      <c r="J812" s="42"/>
      <c r="K812" s="63"/>
      <c r="L812" s="63"/>
      <c r="M812" s="63"/>
      <c r="Q812" s="44"/>
      <c r="R812" s="44"/>
      <c r="S812" s="44"/>
      <c r="T812" s="44"/>
      <c r="U812" s="44"/>
    </row>
    <row r="813">
      <c r="F813" s="62"/>
      <c r="H813" s="40"/>
      <c r="I813" s="42"/>
      <c r="J813" s="42"/>
      <c r="K813" s="63"/>
      <c r="L813" s="63"/>
      <c r="M813" s="63"/>
      <c r="Q813" s="44"/>
      <c r="R813" s="44"/>
      <c r="S813" s="44"/>
      <c r="T813" s="44"/>
      <c r="U813" s="44"/>
    </row>
    <row r="814">
      <c r="F814" s="62"/>
      <c r="H814" s="40"/>
      <c r="I814" s="42"/>
      <c r="J814" s="42"/>
      <c r="K814" s="63"/>
      <c r="L814" s="63"/>
      <c r="M814" s="63"/>
      <c r="Q814" s="44"/>
      <c r="R814" s="44"/>
      <c r="S814" s="44"/>
      <c r="T814" s="44"/>
      <c r="U814" s="44"/>
    </row>
    <row r="815">
      <c r="F815" s="62"/>
      <c r="H815" s="40"/>
      <c r="I815" s="42"/>
      <c r="J815" s="42"/>
      <c r="K815" s="63"/>
      <c r="L815" s="63"/>
      <c r="M815" s="63"/>
      <c r="Q815" s="44"/>
      <c r="R815" s="44"/>
      <c r="S815" s="44"/>
      <c r="T815" s="44"/>
      <c r="U815" s="44"/>
    </row>
    <row r="816">
      <c r="F816" s="62"/>
      <c r="H816" s="40"/>
      <c r="I816" s="42"/>
      <c r="J816" s="42"/>
      <c r="K816" s="63"/>
      <c r="L816" s="63"/>
      <c r="M816" s="63"/>
      <c r="Q816" s="44"/>
      <c r="R816" s="44"/>
      <c r="S816" s="44"/>
      <c r="T816" s="44"/>
      <c r="U816" s="44"/>
    </row>
    <row r="817">
      <c r="F817" s="62"/>
      <c r="H817" s="40"/>
      <c r="I817" s="42"/>
      <c r="J817" s="42"/>
      <c r="K817" s="63"/>
      <c r="L817" s="63"/>
      <c r="M817" s="63"/>
      <c r="Q817" s="44"/>
      <c r="R817" s="44"/>
      <c r="S817" s="44"/>
      <c r="T817" s="44"/>
      <c r="U817" s="44"/>
    </row>
    <row r="818">
      <c r="F818" s="62"/>
      <c r="H818" s="40"/>
      <c r="I818" s="42"/>
      <c r="J818" s="42"/>
      <c r="K818" s="63"/>
      <c r="L818" s="63"/>
      <c r="M818" s="63"/>
      <c r="Q818" s="44"/>
      <c r="R818" s="44"/>
      <c r="S818" s="44"/>
      <c r="T818" s="44"/>
      <c r="U818" s="44"/>
    </row>
    <row r="819">
      <c r="F819" s="62"/>
      <c r="H819" s="40"/>
      <c r="I819" s="42"/>
      <c r="J819" s="42"/>
      <c r="K819" s="63"/>
      <c r="L819" s="63"/>
      <c r="M819" s="63"/>
      <c r="Q819" s="44"/>
      <c r="R819" s="44"/>
      <c r="S819" s="44"/>
      <c r="T819" s="44"/>
      <c r="U819" s="44"/>
    </row>
    <row r="820">
      <c r="F820" s="62"/>
      <c r="H820" s="40"/>
      <c r="I820" s="42"/>
      <c r="J820" s="42"/>
      <c r="K820" s="63"/>
      <c r="L820" s="63"/>
      <c r="M820" s="63"/>
      <c r="Q820" s="44"/>
      <c r="R820" s="44"/>
      <c r="S820" s="44"/>
      <c r="T820" s="44"/>
      <c r="U820" s="44"/>
    </row>
    <row r="821">
      <c r="F821" s="62"/>
      <c r="H821" s="40"/>
      <c r="I821" s="42"/>
      <c r="J821" s="42"/>
      <c r="K821" s="63"/>
      <c r="L821" s="63"/>
      <c r="M821" s="63"/>
      <c r="Q821" s="44"/>
      <c r="R821" s="44"/>
      <c r="S821" s="44"/>
      <c r="T821" s="44"/>
      <c r="U821" s="44"/>
    </row>
    <row r="822">
      <c r="F822" s="62"/>
      <c r="H822" s="40"/>
      <c r="I822" s="42"/>
      <c r="J822" s="42"/>
      <c r="K822" s="63"/>
      <c r="L822" s="63"/>
      <c r="M822" s="63"/>
      <c r="Q822" s="44"/>
      <c r="R822" s="44"/>
      <c r="S822" s="44"/>
      <c r="T822" s="44"/>
      <c r="U822" s="44"/>
    </row>
    <row r="823">
      <c r="F823" s="62"/>
      <c r="H823" s="40"/>
      <c r="I823" s="42"/>
      <c r="J823" s="42"/>
      <c r="K823" s="63"/>
      <c r="L823" s="63"/>
      <c r="M823" s="63"/>
      <c r="Q823" s="44"/>
      <c r="R823" s="44"/>
      <c r="S823" s="44"/>
      <c r="T823" s="44"/>
      <c r="U823" s="44"/>
    </row>
    <row r="824">
      <c r="F824" s="62"/>
      <c r="H824" s="40"/>
      <c r="I824" s="42"/>
      <c r="J824" s="42"/>
      <c r="K824" s="63"/>
      <c r="L824" s="63"/>
      <c r="M824" s="63"/>
      <c r="Q824" s="44"/>
      <c r="R824" s="44"/>
      <c r="S824" s="44"/>
      <c r="T824" s="44"/>
      <c r="U824" s="44"/>
    </row>
    <row r="825">
      <c r="F825" s="62"/>
      <c r="H825" s="40"/>
      <c r="I825" s="42"/>
      <c r="J825" s="42"/>
      <c r="K825" s="63"/>
      <c r="L825" s="63"/>
      <c r="M825" s="63"/>
      <c r="Q825" s="44"/>
      <c r="R825" s="44"/>
      <c r="S825" s="44"/>
      <c r="T825" s="44"/>
      <c r="U825" s="44"/>
    </row>
    <row r="826">
      <c r="F826" s="62"/>
      <c r="H826" s="40"/>
      <c r="I826" s="42"/>
      <c r="J826" s="42"/>
      <c r="K826" s="63"/>
      <c r="L826" s="63"/>
      <c r="M826" s="63"/>
      <c r="Q826" s="44"/>
      <c r="R826" s="44"/>
      <c r="S826" s="44"/>
      <c r="T826" s="44"/>
      <c r="U826" s="44"/>
    </row>
    <row r="827">
      <c r="F827" s="62"/>
      <c r="H827" s="40"/>
      <c r="I827" s="42"/>
      <c r="J827" s="42"/>
      <c r="K827" s="63"/>
      <c r="L827" s="63"/>
      <c r="M827" s="63"/>
      <c r="Q827" s="44"/>
      <c r="R827" s="44"/>
      <c r="S827" s="44"/>
      <c r="T827" s="44"/>
      <c r="U827" s="44"/>
    </row>
    <row r="828">
      <c r="F828" s="62"/>
      <c r="H828" s="40"/>
      <c r="I828" s="42"/>
      <c r="J828" s="42"/>
      <c r="K828" s="63"/>
      <c r="L828" s="63"/>
      <c r="M828" s="63"/>
      <c r="Q828" s="44"/>
      <c r="R828" s="44"/>
      <c r="S828" s="44"/>
      <c r="T828" s="44"/>
      <c r="U828" s="44"/>
    </row>
    <row r="829">
      <c r="F829" s="62"/>
      <c r="H829" s="40"/>
      <c r="I829" s="42"/>
      <c r="J829" s="42"/>
      <c r="K829" s="63"/>
      <c r="L829" s="63"/>
      <c r="M829" s="63"/>
      <c r="Q829" s="44"/>
      <c r="R829" s="44"/>
      <c r="S829" s="44"/>
      <c r="T829" s="44"/>
      <c r="U829" s="44"/>
    </row>
    <row r="830">
      <c r="F830" s="62"/>
      <c r="H830" s="40"/>
      <c r="I830" s="42"/>
      <c r="J830" s="42"/>
      <c r="K830" s="63"/>
      <c r="L830" s="63"/>
      <c r="M830" s="63"/>
      <c r="Q830" s="44"/>
      <c r="R830" s="44"/>
      <c r="S830" s="44"/>
      <c r="T830" s="44"/>
      <c r="U830" s="44"/>
    </row>
    <row r="831">
      <c r="F831" s="62"/>
      <c r="H831" s="40"/>
      <c r="I831" s="42"/>
      <c r="J831" s="42"/>
      <c r="K831" s="63"/>
      <c r="L831" s="63"/>
      <c r="M831" s="63"/>
      <c r="Q831" s="44"/>
      <c r="R831" s="44"/>
      <c r="S831" s="44"/>
      <c r="T831" s="44"/>
      <c r="U831" s="44"/>
    </row>
    <row r="832">
      <c r="F832" s="62"/>
      <c r="H832" s="40"/>
      <c r="I832" s="42"/>
      <c r="J832" s="42"/>
      <c r="K832" s="63"/>
      <c r="L832" s="63"/>
      <c r="M832" s="63"/>
      <c r="Q832" s="44"/>
      <c r="R832" s="44"/>
      <c r="S832" s="44"/>
      <c r="T832" s="44"/>
      <c r="U832" s="44"/>
    </row>
    <row r="833">
      <c r="F833" s="62"/>
      <c r="H833" s="40"/>
      <c r="I833" s="42"/>
      <c r="J833" s="42"/>
      <c r="K833" s="63"/>
      <c r="L833" s="63"/>
      <c r="M833" s="63"/>
      <c r="Q833" s="44"/>
      <c r="R833" s="44"/>
      <c r="S833" s="44"/>
      <c r="T833" s="44"/>
      <c r="U833" s="44"/>
    </row>
    <row r="834">
      <c r="F834" s="62"/>
      <c r="H834" s="40"/>
      <c r="I834" s="42"/>
      <c r="J834" s="42"/>
      <c r="K834" s="63"/>
      <c r="L834" s="63"/>
      <c r="M834" s="63"/>
      <c r="Q834" s="44"/>
      <c r="R834" s="44"/>
      <c r="S834" s="44"/>
      <c r="T834" s="44"/>
      <c r="U834" s="44"/>
    </row>
    <row r="835">
      <c r="F835" s="62"/>
      <c r="H835" s="40"/>
      <c r="I835" s="42"/>
      <c r="J835" s="42"/>
      <c r="K835" s="63"/>
      <c r="L835" s="63"/>
      <c r="M835" s="63"/>
      <c r="Q835" s="44"/>
      <c r="R835" s="44"/>
      <c r="S835" s="44"/>
      <c r="T835" s="44"/>
      <c r="U835" s="44"/>
    </row>
    <row r="836">
      <c r="F836" s="62"/>
      <c r="H836" s="40"/>
      <c r="I836" s="42"/>
      <c r="J836" s="42"/>
      <c r="K836" s="63"/>
      <c r="L836" s="63"/>
      <c r="M836" s="63"/>
      <c r="Q836" s="44"/>
      <c r="R836" s="44"/>
      <c r="S836" s="44"/>
      <c r="T836" s="44"/>
      <c r="U836" s="44"/>
    </row>
    <row r="837">
      <c r="F837" s="62"/>
      <c r="H837" s="40"/>
      <c r="I837" s="42"/>
      <c r="J837" s="42"/>
      <c r="K837" s="63"/>
      <c r="L837" s="63"/>
      <c r="M837" s="63"/>
      <c r="Q837" s="44"/>
      <c r="R837" s="44"/>
      <c r="S837" s="44"/>
      <c r="T837" s="44"/>
      <c r="U837" s="44"/>
    </row>
    <row r="838">
      <c r="F838" s="62"/>
      <c r="H838" s="40"/>
      <c r="I838" s="42"/>
      <c r="J838" s="42"/>
      <c r="K838" s="63"/>
      <c r="L838" s="63"/>
      <c r="M838" s="63"/>
      <c r="Q838" s="44"/>
      <c r="R838" s="44"/>
      <c r="S838" s="44"/>
      <c r="T838" s="44"/>
      <c r="U838" s="44"/>
    </row>
    <row r="839">
      <c r="F839" s="62"/>
      <c r="H839" s="40"/>
      <c r="I839" s="42"/>
      <c r="J839" s="42"/>
      <c r="K839" s="63"/>
      <c r="L839" s="63"/>
      <c r="M839" s="63"/>
      <c r="Q839" s="44"/>
      <c r="R839" s="44"/>
      <c r="S839" s="44"/>
      <c r="T839" s="44"/>
      <c r="U839" s="44"/>
    </row>
    <row r="840">
      <c r="F840" s="62"/>
      <c r="H840" s="40"/>
      <c r="I840" s="42"/>
      <c r="J840" s="42"/>
      <c r="K840" s="63"/>
      <c r="L840" s="63"/>
      <c r="M840" s="63"/>
      <c r="Q840" s="44"/>
      <c r="R840" s="44"/>
      <c r="S840" s="44"/>
      <c r="T840" s="44"/>
      <c r="U840" s="44"/>
    </row>
    <row r="841">
      <c r="F841" s="62"/>
      <c r="H841" s="40"/>
      <c r="I841" s="42"/>
      <c r="J841" s="42"/>
      <c r="K841" s="63"/>
      <c r="L841" s="63"/>
      <c r="M841" s="63"/>
      <c r="Q841" s="44"/>
      <c r="R841" s="44"/>
      <c r="S841" s="44"/>
      <c r="T841" s="44"/>
      <c r="U841" s="44"/>
    </row>
    <row r="842">
      <c r="F842" s="62"/>
      <c r="H842" s="40"/>
      <c r="I842" s="42"/>
      <c r="J842" s="42"/>
      <c r="K842" s="63"/>
      <c r="L842" s="63"/>
      <c r="M842" s="63"/>
      <c r="Q842" s="44"/>
      <c r="R842" s="44"/>
      <c r="S842" s="44"/>
      <c r="T842" s="44"/>
      <c r="U842" s="44"/>
    </row>
    <row r="843">
      <c r="F843" s="62"/>
      <c r="H843" s="40"/>
      <c r="I843" s="42"/>
      <c r="J843" s="42"/>
      <c r="K843" s="63"/>
      <c r="L843" s="63"/>
      <c r="M843" s="63"/>
      <c r="Q843" s="44"/>
      <c r="R843" s="44"/>
      <c r="S843" s="44"/>
      <c r="T843" s="44"/>
      <c r="U843" s="44"/>
    </row>
    <row r="844">
      <c r="F844" s="62"/>
      <c r="H844" s="40"/>
      <c r="I844" s="42"/>
      <c r="J844" s="42"/>
      <c r="K844" s="63"/>
      <c r="L844" s="63"/>
      <c r="M844" s="63"/>
      <c r="Q844" s="44"/>
      <c r="R844" s="44"/>
      <c r="S844" s="44"/>
      <c r="T844" s="44"/>
      <c r="U844" s="44"/>
    </row>
    <row r="845">
      <c r="F845" s="62"/>
      <c r="H845" s="40"/>
      <c r="I845" s="42"/>
      <c r="J845" s="42"/>
      <c r="K845" s="63"/>
      <c r="L845" s="63"/>
      <c r="M845" s="63"/>
      <c r="Q845" s="44"/>
      <c r="R845" s="44"/>
      <c r="S845" s="44"/>
      <c r="T845" s="44"/>
      <c r="U845" s="44"/>
    </row>
    <row r="846">
      <c r="F846" s="62"/>
      <c r="H846" s="40"/>
      <c r="I846" s="42"/>
      <c r="J846" s="42"/>
      <c r="K846" s="63"/>
      <c r="L846" s="63"/>
      <c r="M846" s="63"/>
      <c r="Q846" s="44"/>
      <c r="R846" s="44"/>
      <c r="S846" s="44"/>
      <c r="T846" s="44"/>
      <c r="U846" s="44"/>
    </row>
    <row r="847">
      <c r="F847" s="62"/>
      <c r="H847" s="40"/>
      <c r="I847" s="42"/>
      <c r="J847" s="42"/>
      <c r="K847" s="63"/>
      <c r="L847" s="63"/>
      <c r="M847" s="63"/>
      <c r="Q847" s="44"/>
      <c r="R847" s="44"/>
      <c r="S847" s="44"/>
      <c r="T847" s="44"/>
      <c r="U847" s="44"/>
    </row>
    <row r="848">
      <c r="F848" s="62"/>
      <c r="H848" s="40"/>
      <c r="I848" s="42"/>
      <c r="J848" s="42"/>
      <c r="K848" s="63"/>
      <c r="L848" s="63"/>
      <c r="M848" s="63"/>
      <c r="Q848" s="44"/>
      <c r="R848" s="44"/>
      <c r="S848" s="44"/>
      <c r="T848" s="44"/>
      <c r="U848" s="44"/>
    </row>
    <row r="849">
      <c r="F849" s="62"/>
      <c r="H849" s="40"/>
      <c r="I849" s="42"/>
      <c r="J849" s="42"/>
      <c r="K849" s="63"/>
      <c r="L849" s="63"/>
      <c r="M849" s="63"/>
      <c r="Q849" s="44"/>
      <c r="R849" s="44"/>
      <c r="S849" s="44"/>
      <c r="T849" s="44"/>
      <c r="U849" s="44"/>
    </row>
    <row r="850">
      <c r="F850" s="62"/>
      <c r="H850" s="40"/>
      <c r="I850" s="42"/>
      <c r="J850" s="42"/>
      <c r="K850" s="63"/>
      <c r="L850" s="63"/>
      <c r="M850" s="63"/>
      <c r="Q850" s="44"/>
      <c r="R850" s="44"/>
      <c r="S850" s="44"/>
      <c r="T850" s="44"/>
      <c r="U850" s="44"/>
    </row>
    <row r="851">
      <c r="F851" s="62"/>
      <c r="H851" s="40"/>
      <c r="I851" s="42"/>
      <c r="J851" s="42"/>
      <c r="K851" s="63"/>
      <c r="L851" s="63"/>
      <c r="M851" s="63"/>
      <c r="Q851" s="44"/>
      <c r="R851" s="44"/>
      <c r="S851" s="44"/>
      <c r="T851" s="44"/>
      <c r="U851" s="44"/>
    </row>
    <row r="852">
      <c r="F852" s="62"/>
      <c r="H852" s="40"/>
      <c r="I852" s="42"/>
      <c r="J852" s="42"/>
      <c r="K852" s="63"/>
      <c r="L852" s="63"/>
      <c r="M852" s="63"/>
      <c r="Q852" s="44"/>
      <c r="R852" s="44"/>
      <c r="S852" s="44"/>
      <c r="T852" s="44"/>
      <c r="U852" s="44"/>
    </row>
    <row r="853">
      <c r="F853" s="62"/>
      <c r="H853" s="40"/>
      <c r="I853" s="42"/>
      <c r="J853" s="42"/>
      <c r="K853" s="63"/>
      <c r="L853" s="63"/>
      <c r="M853" s="63"/>
      <c r="Q853" s="44"/>
      <c r="R853" s="44"/>
      <c r="S853" s="44"/>
      <c r="T853" s="44"/>
      <c r="U853" s="44"/>
    </row>
    <row r="854">
      <c r="F854" s="62"/>
      <c r="H854" s="40"/>
      <c r="I854" s="42"/>
      <c r="J854" s="42"/>
      <c r="K854" s="63"/>
      <c r="L854" s="63"/>
      <c r="M854" s="63"/>
      <c r="Q854" s="44"/>
      <c r="R854" s="44"/>
      <c r="S854" s="44"/>
      <c r="T854" s="44"/>
      <c r="U854" s="44"/>
    </row>
    <row r="855">
      <c r="F855" s="62"/>
      <c r="H855" s="40"/>
      <c r="I855" s="42"/>
      <c r="J855" s="42"/>
      <c r="K855" s="63"/>
      <c r="L855" s="63"/>
      <c r="M855" s="63"/>
      <c r="Q855" s="44"/>
      <c r="R855" s="44"/>
      <c r="S855" s="44"/>
      <c r="T855" s="44"/>
      <c r="U855" s="44"/>
    </row>
    <row r="856">
      <c r="F856" s="62"/>
      <c r="H856" s="40"/>
      <c r="I856" s="42"/>
      <c r="J856" s="42"/>
      <c r="K856" s="63"/>
      <c r="L856" s="63"/>
      <c r="M856" s="63"/>
      <c r="Q856" s="44"/>
      <c r="R856" s="44"/>
      <c r="S856" s="44"/>
      <c r="T856" s="44"/>
      <c r="U856" s="44"/>
    </row>
    <row r="857">
      <c r="F857" s="62"/>
      <c r="H857" s="40"/>
      <c r="I857" s="42"/>
      <c r="J857" s="42"/>
      <c r="K857" s="63"/>
      <c r="L857" s="63"/>
      <c r="M857" s="63"/>
      <c r="Q857" s="44"/>
      <c r="R857" s="44"/>
      <c r="S857" s="44"/>
      <c r="T857" s="44"/>
      <c r="U857" s="44"/>
    </row>
    <row r="858">
      <c r="F858" s="62"/>
      <c r="H858" s="40"/>
      <c r="I858" s="42"/>
      <c r="J858" s="42"/>
      <c r="K858" s="63"/>
      <c r="L858" s="63"/>
      <c r="M858" s="63"/>
      <c r="Q858" s="44"/>
      <c r="R858" s="44"/>
      <c r="S858" s="44"/>
      <c r="T858" s="44"/>
      <c r="U858" s="44"/>
    </row>
    <row r="859">
      <c r="F859" s="62"/>
      <c r="H859" s="40"/>
      <c r="I859" s="42"/>
      <c r="J859" s="42"/>
      <c r="K859" s="63"/>
      <c r="L859" s="63"/>
      <c r="M859" s="63"/>
      <c r="Q859" s="44"/>
      <c r="R859" s="44"/>
      <c r="S859" s="44"/>
      <c r="T859" s="44"/>
      <c r="U859" s="44"/>
    </row>
    <row r="860">
      <c r="F860" s="62"/>
      <c r="H860" s="40"/>
      <c r="I860" s="42"/>
      <c r="J860" s="42"/>
      <c r="K860" s="63"/>
      <c r="L860" s="63"/>
      <c r="M860" s="63"/>
      <c r="Q860" s="44"/>
      <c r="R860" s="44"/>
      <c r="S860" s="44"/>
      <c r="T860" s="44"/>
      <c r="U860" s="44"/>
    </row>
    <row r="861">
      <c r="F861" s="62"/>
      <c r="H861" s="40"/>
      <c r="I861" s="42"/>
      <c r="J861" s="42"/>
      <c r="K861" s="63"/>
      <c r="L861" s="63"/>
      <c r="M861" s="63"/>
      <c r="Q861" s="44"/>
      <c r="R861" s="44"/>
      <c r="S861" s="44"/>
      <c r="T861" s="44"/>
      <c r="U861" s="44"/>
    </row>
    <row r="862">
      <c r="F862" s="62"/>
      <c r="H862" s="40"/>
      <c r="I862" s="42"/>
      <c r="J862" s="42"/>
      <c r="K862" s="63"/>
      <c r="L862" s="63"/>
      <c r="M862" s="63"/>
      <c r="Q862" s="44"/>
      <c r="R862" s="44"/>
      <c r="S862" s="44"/>
      <c r="T862" s="44"/>
      <c r="U862" s="44"/>
    </row>
    <row r="863">
      <c r="F863" s="62"/>
      <c r="H863" s="40"/>
      <c r="I863" s="42"/>
      <c r="J863" s="42"/>
      <c r="K863" s="63"/>
      <c r="L863" s="63"/>
      <c r="M863" s="63"/>
      <c r="Q863" s="44"/>
      <c r="R863" s="44"/>
      <c r="S863" s="44"/>
      <c r="T863" s="44"/>
      <c r="U863" s="44"/>
    </row>
    <row r="864">
      <c r="F864" s="62"/>
      <c r="H864" s="40"/>
      <c r="I864" s="42"/>
      <c r="J864" s="42"/>
      <c r="K864" s="63"/>
      <c r="L864" s="63"/>
      <c r="M864" s="63"/>
      <c r="Q864" s="44"/>
      <c r="R864" s="44"/>
      <c r="S864" s="44"/>
      <c r="T864" s="44"/>
      <c r="U864" s="44"/>
    </row>
    <row r="865">
      <c r="F865" s="62"/>
      <c r="H865" s="40"/>
      <c r="I865" s="42"/>
      <c r="J865" s="42"/>
      <c r="K865" s="63"/>
      <c r="L865" s="63"/>
      <c r="M865" s="63"/>
      <c r="Q865" s="44"/>
      <c r="R865" s="44"/>
      <c r="S865" s="44"/>
      <c r="T865" s="44"/>
      <c r="U865" s="44"/>
    </row>
    <row r="866">
      <c r="F866" s="62"/>
      <c r="H866" s="40"/>
      <c r="I866" s="42"/>
      <c r="J866" s="42"/>
      <c r="K866" s="63"/>
      <c r="L866" s="63"/>
      <c r="M866" s="63"/>
      <c r="Q866" s="44"/>
      <c r="R866" s="44"/>
      <c r="S866" s="44"/>
      <c r="T866" s="44"/>
      <c r="U866" s="44"/>
    </row>
    <row r="867">
      <c r="F867" s="62"/>
      <c r="H867" s="40"/>
      <c r="I867" s="42"/>
      <c r="J867" s="42"/>
      <c r="K867" s="63"/>
      <c r="L867" s="63"/>
      <c r="M867" s="63"/>
      <c r="Q867" s="44"/>
      <c r="R867" s="44"/>
      <c r="S867" s="44"/>
      <c r="T867" s="44"/>
      <c r="U867" s="44"/>
    </row>
    <row r="868">
      <c r="F868" s="62"/>
      <c r="H868" s="40"/>
      <c r="I868" s="42"/>
      <c r="J868" s="42"/>
      <c r="K868" s="63"/>
      <c r="L868" s="63"/>
      <c r="M868" s="63"/>
      <c r="Q868" s="44"/>
      <c r="R868" s="44"/>
      <c r="S868" s="44"/>
      <c r="T868" s="44"/>
      <c r="U868" s="44"/>
    </row>
    <row r="869">
      <c r="F869" s="62"/>
      <c r="H869" s="40"/>
      <c r="I869" s="42"/>
      <c r="J869" s="42"/>
      <c r="K869" s="63"/>
      <c r="L869" s="63"/>
      <c r="M869" s="63"/>
      <c r="Q869" s="44"/>
      <c r="R869" s="44"/>
      <c r="S869" s="44"/>
      <c r="T869" s="44"/>
      <c r="U869" s="44"/>
    </row>
    <row r="870">
      <c r="F870" s="62"/>
      <c r="H870" s="40"/>
      <c r="I870" s="42"/>
      <c r="J870" s="42"/>
      <c r="K870" s="63"/>
      <c r="L870" s="63"/>
      <c r="M870" s="63"/>
      <c r="Q870" s="44"/>
      <c r="R870" s="44"/>
      <c r="S870" s="44"/>
      <c r="T870" s="44"/>
      <c r="U870" s="44"/>
    </row>
    <row r="871">
      <c r="F871" s="62"/>
      <c r="H871" s="40"/>
      <c r="I871" s="42"/>
      <c r="J871" s="42"/>
      <c r="K871" s="63"/>
      <c r="L871" s="63"/>
      <c r="M871" s="63"/>
      <c r="Q871" s="44"/>
      <c r="R871" s="44"/>
      <c r="S871" s="44"/>
      <c r="T871" s="44"/>
      <c r="U871" s="44"/>
    </row>
    <row r="872">
      <c r="F872" s="62"/>
      <c r="H872" s="40"/>
      <c r="I872" s="42"/>
      <c r="J872" s="42"/>
      <c r="K872" s="63"/>
      <c r="L872" s="63"/>
      <c r="M872" s="63"/>
      <c r="Q872" s="44"/>
      <c r="R872" s="44"/>
      <c r="S872" s="44"/>
      <c r="T872" s="44"/>
      <c r="U872" s="44"/>
    </row>
    <row r="873">
      <c r="F873" s="62"/>
      <c r="H873" s="40"/>
      <c r="I873" s="42"/>
      <c r="J873" s="42"/>
      <c r="K873" s="63"/>
      <c r="L873" s="63"/>
      <c r="M873" s="63"/>
      <c r="Q873" s="44"/>
      <c r="R873" s="44"/>
      <c r="S873" s="44"/>
      <c r="T873" s="44"/>
      <c r="U873" s="44"/>
    </row>
    <row r="874">
      <c r="F874" s="62"/>
      <c r="H874" s="40"/>
      <c r="I874" s="42"/>
      <c r="J874" s="42"/>
      <c r="K874" s="63"/>
      <c r="L874" s="63"/>
      <c r="M874" s="63"/>
      <c r="Q874" s="44"/>
      <c r="R874" s="44"/>
      <c r="S874" s="44"/>
      <c r="T874" s="44"/>
      <c r="U874" s="44"/>
    </row>
    <row r="875">
      <c r="F875" s="62"/>
      <c r="H875" s="40"/>
      <c r="I875" s="42"/>
      <c r="J875" s="42"/>
      <c r="K875" s="63"/>
      <c r="L875" s="63"/>
      <c r="M875" s="63"/>
      <c r="Q875" s="44"/>
      <c r="R875" s="44"/>
      <c r="S875" s="44"/>
      <c r="T875" s="44"/>
      <c r="U875" s="44"/>
    </row>
    <row r="876">
      <c r="F876" s="62"/>
      <c r="H876" s="40"/>
      <c r="I876" s="42"/>
      <c r="J876" s="42"/>
      <c r="K876" s="63"/>
      <c r="L876" s="63"/>
      <c r="M876" s="63"/>
      <c r="Q876" s="44"/>
      <c r="R876" s="44"/>
      <c r="S876" s="44"/>
      <c r="T876" s="44"/>
      <c r="U876" s="44"/>
    </row>
    <row r="877">
      <c r="F877" s="62"/>
      <c r="H877" s="40"/>
      <c r="I877" s="42"/>
      <c r="J877" s="42"/>
      <c r="K877" s="63"/>
      <c r="L877" s="63"/>
      <c r="M877" s="63"/>
      <c r="Q877" s="44"/>
      <c r="R877" s="44"/>
      <c r="S877" s="44"/>
      <c r="T877" s="44"/>
      <c r="U877" s="44"/>
    </row>
    <row r="878">
      <c r="F878" s="62"/>
      <c r="H878" s="40"/>
      <c r="I878" s="42"/>
      <c r="J878" s="42"/>
      <c r="K878" s="63"/>
      <c r="L878" s="63"/>
      <c r="M878" s="63"/>
      <c r="Q878" s="44"/>
      <c r="R878" s="44"/>
      <c r="S878" s="44"/>
      <c r="T878" s="44"/>
      <c r="U878" s="44"/>
    </row>
    <row r="879">
      <c r="F879" s="62"/>
      <c r="H879" s="40"/>
      <c r="I879" s="42"/>
      <c r="J879" s="42"/>
      <c r="K879" s="63"/>
      <c r="L879" s="63"/>
      <c r="M879" s="63"/>
      <c r="Q879" s="44"/>
      <c r="R879" s="44"/>
      <c r="S879" s="44"/>
      <c r="T879" s="44"/>
      <c r="U879" s="44"/>
    </row>
    <row r="880">
      <c r="F880" s="62"/>
      <c r="H880" s="40"/>
      <c r="I880" s="42"/>
      <c r="J880" s="42"/>
      <c r="K880" s="63"/>
      <c r="L880" s="63"/>
      <c r="M880" s="63"/>
      <c r="Q880" s="44"/>
      <c r="R880" s="44"/>
      <c r="S880" s="44"/>
      <c r="T880" s="44"/>
      <c r="U880" s="44"/>
    </row>
    <row r="881">
      <c r="F881" s="62"/>
      <c r="H881" s="40"/>
      <c r="I881" s="42"/>
      <c r="J881" s="42"/>
      <c r="K881" s="63"/>
      <c r="L881" s="63"/>
      <c r="M881" s="63"/>
      <c r="Q881" s="44"/>
      <c r="R881" s="44"/>
      <c r="S881" s="44"/>
      <c r="T881" s="44"/>
      <c r="U881" s="44"/>
    </row>
    <row r="882">
      <c r="F882" s="62"/>
      <c r="H882" s="40"/>
      <c r="I882" s="42"/>
      <c r="J882" s="42"/>
      <c r="K882" s="63"/>
      <c r="L882" s="63"/>
      <c r="M882" s="63"/>
      <c r="Q882" s="44"/>
      <c r="R882" s="44"/>
      <c r="S882" s="44"/>
      <c r="T882" s="44"/>
      <c r="U882" s="44"/>
    </row>
    <row r="883">
      <c r="F883" s="62"/>
      <c r="H883" s="40"/>
      <c r="I883" s="42"/>
      <c r="J883" s="42"/>
      <c r="K883" s="63"/>
      <c r="L883" s="63"/>
      <c r="M883" s="63"/>
      <c r="Q883" s="44"/>
      <c r="R883" s="44"/>
      <c r="S883" s="44"/>
      <c r="T883" s="44"/>
      <c r="U883" s="44"/>
    </row>
    <row r="884">
      <c r="F884" s="62"/>
      <c r="H884" s="40"/>
      <c r="I884" s="42"/>
      <c r="J884" s="42"/>
      <c r="K884" s="63"/>
      <c r="L884" s="63"/>
      <c r="M884" s="63"/>
      <c r="Q884" s="44"/>
      <c r="R884" s="44"/>
      <c r="S884" s="44"/>
      <c r="T884" s="44"/>
      <c r="U884" s="44"/>
    </row>
    <row r="885">
      <c r="F885" s="62"/>
      <c r="H885" s="40"/>
      <c r="I885" s="42"/>
      <c r="J885" s="42"/>
      <c r="K885" s="63"/>
      <c r="L885" s="63"/>
      <c r="M885" s="63"/>
      <c r="Q885" s="44"/>
      <c r="R885" s="44"/>
      <c r="S885" s="44"/>
      <c r="T885" s="44"/>
      <c r="U885" s="44"/>
    </row>
    <row r="886">
      <c r="F886" s="62"/>
      <c r="H886" s="40"/>
      <c r="I886" s="42"/>
      <c r="J886" s="42"/>
      <c r="K886" s="63"/>
      <c r="L886" s="63"/>
      <c r="M886" s="63"/>
      <c r="Q886" s="44"/>
      <c r="R886" s="44"/>
      <c r="S886" s="44"/>
      <c r="T886" s="44"/>
      <c r="U886" s="44"/>
    </row>
    <row r="887">
      <c r="F887" s="62"/>
      <c r="H887" s="40"/>
      <c r="I887" s="42"/>
      <c r="J887" s="42"/>
      <c r="K887" s="63"/>
      <c r="L887" s="63"/>
      <c r="M887" s="63"/>
      <c r="Q887" s="44"/>
      <c r="R887" s="44"/>
      <c r="S887" s="44"/>
      <c r="T887" s="44"/>
      <c r="U887" s="44"/>
    </row>
    <row r="888">
      <c r="F888" s="62"/>
      <c r="H888" s="40"/>
      <c r="I888" s="42"/>
      <c r="J888" s="42"/>
      <c r="K888" s="63"/>
      <c r="L888" s="63"/>
      <c r="M888" s="63"/>
      <c r="Q888" s="44"/>
      <c r="R888" s="44"/>
      <c r="S888" s="44"/>
      <c r="T888" s="44"/>
      <c r="U888" s="44"/>
    </row>
    <row r="889">
      <c r="F889" s="62"/>
      <c r="H889" s="40"/>
      <c r="I889" s="42"/>
      <c r="J889" s="42"/>
      <c r="K889" s="63"/>
      <c r="L889" s="63"/>
      <c r="M889" s="63"/>
      <c r="Q889" s="44"/>
      <c r="R889" s="44"/>
      <c r="S889" s="44"/>
      <c r="T889" s="44"/>
      <c r="U889" s="44"/>
    </row>
    <row r="890">
      <c r="F890" s="62"/>
      <c r="H890" s="40"/>
      <c r="I890" s="42"/>
      <c r="J890" s="42"/>
      <c r="K890" s="63"/>
      <c r="L890" s="63"/>
      <c r="M890" s="63"/>
      <c r="Q890" s="44"/>
      <c r="R890" s="44"/>
      <c r="S890" s="44"/>
      <c r="T890" s="44"/>
      <c r="U890" s="44"/>
    </row>
    <row r="891">
      <c r="F891" s="62"/>
      <c r="H891" s="40"/>
      <c r="I891" s="42"/>
      <c r="J891" s="42"/>
      <c r="K891" s="63"/>
      <c r="L891" s="63"/>
      <c r="M891" s="63"/>
      <c r="Q891" s="44"/>
      <c r="R891" s="44"/>
      <c r="S891" s="44"/>
      <c r="T891" s="44"/>
      <c r="U891" s="44"/>
    </row>
    <row r="892">
      <c r="F892" s="62"/>
      <c r="H892" s="40"/>
      <c r="I892" s="42"/>
      <c r="J892" s="42"/>
      <c r="K892" s="63"/>
      <c r="L892" s="63"/>
      <c r="M892" s="63"/>
      <c r="Q892" s="44"/>
      <c r="R892" s="44"/>
      <c r="S892" s="44"/>
      <c r="T892" s="44"/>
      <c r="U892" s="44"/>
    </row>
    <row r="893">
      <c r="F893" s="62"/>
      <c r="H893" s="40"/>
      <c r="I893" s="42"/>
      <c r="J893" s="42"/>
      <c r="K893" s="63"/>
      <c r="L893" s="63"/>
      <c r="M893" s="63"/>
      <c r="Q893" s="44"/>
      <c r="R893" s="44"/>
      <c r="S893" s="44"/>
      <c r="T893" s="44"/>
      <c r="U893" s="44"/>
    </row>
    <row r="894">
      <c r="F894" s="62"/>
      <c r="H894" s="40"/>
      <c r="I894" s="42"/>
      <c r="J894" s="42"/>
      <c r="K894" s="63"/>
      <c r="L894" s="63"/>
      <c r="M894" s="63"/>
      <c r="Q894" s="44"/>
      <c r="R894" s="44"/>
      <c r="S894" s="44"/>
      <c r="T894" s="44"/>
      <c r="U894" s="44"/>
    </row>
    <row r="895">
      <c r="F895" s="62"/>
      <c r="H895" s="40"/>
      <c r="I895" s="42"/>
      <c r="J895" s="42"/>
      <c r="K895" s="63"/>
      <c r="L895" s="63"/>
      <c r="M895" s="63"/>
      <c r="Q895" s="44"/>
      <c r="R895" s="44"/>
      <c r="S895" s="44"/>
      <c r="T895" s="44"/>
      <c r="U895" s="44"/>
    </row>
    <row r="896">
      <c r="F896" s="62"/>
      <c r="H896" s="40"/>
      <c r="I896" s="42"/>
      <c r="J896" s="42"/>
      <c r="K896" s="63"/>
      <c r="L896" s="63"/>
      <c r="M896" s="63"/>
      <c r="Q896" s="44"/>
      <c r="R896" s="44"/>
      <c r="S896" s="44"/>
      <c r="T896" s="44"/>
      <c r="U896" s="44"/>
    </row>
    <row r="897">
      <c r="F897" s="62"/>
      <c r="H897" s="40"/>
      <c r="I897" s="42"/>
      <c r="J897" s="42"/>
      <c r="K897" s="63"/>
      <c r="L897" s="63"/>
      <c r="M897" s="63"/>
      <c r="Q897" s="44"/>
      <c r="R897" s="44"/>
      <c r="S897" s="44"/>
      <c r="T897" s="44"/>
      <c r="U897" s="44"/>
    </row>
    <row r="898">
      <c r="F898" s="62"/>
      <c r="H898" s="40"/>
      <c r="I898" s="42"/>
      <c r="J898" s="42"/>
      <c r="K898" s="63"/>
      <c r="L898" s="63"/>
      <c r="M898" s="63"/>
      <c r="Q898" s="44"/>
      <c r="R898" s="44"/>
      <c r="S898" s="44"/>
      <c r="T898" s="44"/>
      <c r="U898" s="44"/>
    </row>
    <row r="899">
      <c r="F899" s="62"/>
      <c r="H899" s="40"/>
      <c r="I899" s="42"/>
      <c r="J899" s="42"/>
      <c r="K899" s="63"/>
      <c r="L899" s="63"/>
      <c r="M899" s="63"/>
      <c r="Q899" s="44"/>
      <c r="R899" s="44"/>
      <c r="S899" s="44"/>
      <c r="T899" s="44"/>
      <c r="U899" s="44"/>
    </row>
    <row r="900">
      <c r="F900" s="62"/>
      <c r="H900" s="40"/>
      <c r="I900" s="42"/>
      <c r="J900" s="42"/>
      <c r="K900" s="63"/>
      <c r="L900" s="63"/>
      <c r="M900" s="63"/>
      <c r="Q900" s="44"/>
      <c r="R900" s="44"/>
      <c r="S900" s="44"/>
      <c r="T900" s="44"/>
      <c r="U900" s="44"/>
    </row>
    <row r="901">
      <c r="F901" s="62"/>
      <c r="H901" s="40"/>
      <c r="I901" s="42"/>
      <c r="J901" s="42"/>
      <c r="K901" s="63"/>
      <c r="L901" s="63"/>
      <c r="M901" s="63"/>
      <c r="Q901" s="44"/>
      <c r="R901" s="44"/>
      <c r="S901" s="44"/>
      <c r="T901" s="44"/>
      <c r="U901" s="44"/>
    </row>
    <row r="902">
      <c r="F902" s="62"/>
      <c r="H902" s="40"/>
      <c r="I902" s="42"/>
      <c r="J902" s="42"/>
      <c r="K902" s="63"/>
      <c r="L902" s="63"/>
      <c r="M902" s="63"/>
      <c r="Q902" s="44"/>
      <c r="R902" s="44"/>
      <c r="S902" s="44"/>
      <c r="T902" s="44"/>
      <c r="U902" s="44"/>
    </row>
    <row r="903">
      <c r="F903" s="62"/>
      <c r="H903" s="40"/>
      <c r="I903" s="42"/>
      <c r="J903" s="42"/>
      <c r="K903" s="63"/>
      <c r="L903" s="63"/>
      <c r="M903" s="63"/>
      <c r="Q903" s="44"/>
      <c r="R903" s="44"/>
      <c r="S903" s="44"/>
      <c r="T903" s="44"/>
      <c r="U903" s="44"/>
    </row>
    <row r="904">
      <c r="F904" s="62"/>
      <c r="H904" s="40"/>
      <c r="I904" s="42"/>
      <c r="J904" s="42"/>
      <c r="K904" s="63"/>
      <c r="L904" s="63"/>
      <c r="M904" s="63"/>
      <c r="Q904" s="44"/>
      <c r="R904" s="44"/>
      <c r="S904" s="44"/>
      <c r="T904" s="44"/>
      <c r="U904" s="44"/>
    </row>
    <row r="905">
      <c r="F905" s="62"/>
      <c r="H905" s="40"/>
      <c r="I905" s="42"/>
      <c r="J905" s="42"/>
      <c r="K905" s="63"/>
      <c r="L905" s="63"/>
      <c r="M905" s="63"/>
      <c r="Q905" s="44"/>
      <c r="R905" s="44"/>
      <c r="S905" s="44"/>
      <c r="T905" s="44"/>
      <c r="U905" s="44"/>
    </row>
    <row r="906">
      <c r="F906" s="62"/>
      <c r="H906" s="40"/>
      <c r="I906" s="42"/>
      <c r="J906" s="42"/>
      <c r="K906" s="63"/>
      <c r="L906" s="63"/>
      <c r="M906" s="63"/>
      <c r="Q906" s="44"/>
      <c r="R906" s="44"/>
      <c r="S906" s="44"/>
      <c r="T906" s="44"/>
      <c r="U906" s="44"/>
    </row>
    <row r="907">
      <c r="F907" s="62"/>
      <c r="H907" s="40"/>
      <c r="I907" s="42"/>
      <c r="J907" s="42"/>
      <c r="K907" s="63"/>
      <c r="L907" s="63"/>
      <c r="M907" s="63"/>
      <c r="Q907" s="44"/>
      <c r="R907" s="44"/>
      <c r="S907" s="44"/>
      <c r="T907" s="44"/>
      <c r="U907" s="44"/>
    </row>
    <row r="908">
      <c r="F908" s="62"/>
      <c r="H908" s="40"/>
      <c r="I908" s="42"/>
      <c r="J908" s="42"/>
      <c r="K908" s="63"/>
      <c r="L908" s="63"/>
      <c r="M908" s="63"/>
      <c r="Q908" s="44"/>
      <c r="R908" s="44"/>
      <c r="S908" s="44"/>
      <c r="T908" s="44"/>
      <c r="U908" s="44"/>
    </row>
    <row r="909">
      <c r="F909" s="62"/>
      <c r="H909" s="40"/>
      <c r="I909" s="42"/>
      <c r="J909" s="42"/>
      <c r="K909" s="63"/>
      <c r="L909" s="63"/>
      <c r="M909" s="63"/>
      <c r="Q909" s="44"/>
      <c r="R909" s="44"/>
      <c r="S909" s="44"/>
      <c r="T909" s="44"/>
      <c r="U909" s="44"/>
    </row>
    <row r="910">
      <c r="F910" s="62"/>
      <c r="H910" s="40"/>
      <c r="I910" s="42"/>
      <c r="J910" s="42"/>
      <c r="K910" s="63"/>
      <c r="L910" s="63"/>
      <c r="M910" s="63"/>
      <c r="Q910" s="44"/>
      <c r="R910" s="44"/>
      <c r="S910" s="44"/>
      <c r="T910" s="44"/>
      <c r="U910" s="44"/>
    </row>
    <row r="911">
      <c r="F911" s="62"/>
      <c r="H911" s="40"/>
      <c r="I911" s="42"/>
      <c r="J911" s="42"/>
      <c r="K911" s="63"/>
      <c r="L911" s="63"/>
      <c r="M911" s="63"/>
      <c r="Q911" s="44"/>
      <c r="R911" s="44"/>
      <c r="S911" s="44"/>
      <c r="T911" s="44"/>
      <c r="U911" s="44"/>
    </row>
    <row r="912">
      <c r="F912" s="62"/>
      <c r="H912" s="40"/>
      <c r="I912" s="42"/>
      <c r="J912" s="42"/>
      <c r="K912" s="63"/>
      <c r="L912" s="63"/>
      <c r="M912" s="63"/>
      <c r="Q912" s="44"/>
      <c r="R912" s="44"/>
      <c r="S912" s="44"/>
      <c r="T912" s="44"/>
      <c r="U912" s="44"/>
    </row>
    <row r="913">
      <c r="F913" s="62"/>
      <c r="H913" s="40"/>
      <c r="I913" s="42"/>
      <c r="J913" s="42"/>
      <c r="K913" s="63"/>
      <c r="L913" s="63"/>
      <c r="M913" s="63"/>
      <c r="Q913" s="44"/>
      <c r="R913" s="44"/>
      <c r="S913" s="44"/>
      <c r="T913" s="44"/>
      <c r="U913" s="44"/>
    </row>
    <row r="914">
      <c r="F914" s="62"/>
      <c r="H914" s="40"/>
      <c r="I914" s="42"/>
      <c r="J914" s="42"/>
      <c r="K914" s="63"/>
      <c r="L914" s="63"/>
      <c r="M914" s="63"/>
      <c r="Q914" s="44"/>
      <c r="R914" s="44"/>
      <c r="S914" s="44"/>
      <c r="T914" s="44"/>
      <c r="U914" s="44"/>
    </row>
    <row r="915">
      <c r="F915" s="62"/>
      <c r="H915" s="40"/>
      <c r="I915" s="42"/>
      <c r="J915" s="42"/>
      <c r="K915" s="63"/>
      <c r="L915" s="63"/>
      <c r="M915" s="63"/>
      <c r="Q915" s="44"/>
      <c r="R915" s="44"/>
      <c r="S915" s="44"/>
      <c r="T915" s="44"/>
      <c r="U915" s="44"/>
    </row>
    <row r="916">
      <c r="F916" s="62"/>
      <c r="H916" s="40"/>
      <c r="I916" s="42"/>
      <c r="J916" s="42"/>
      <c r="K916" s="63"/>
      <c r="L916" s="63"/>
      <c r="M916" s="63"/>
      <c r="Q916" s="44"/>
      <c r="R916" s="44"/>
      <c r="S916" s="44"/>
      <c r="T916" s="44"/>
      <c r="U916" s="44"/>
    </row>
    <row r="917">
      <c r="F917" s="62"/>
      <c r="H917" s="40"/>
      <c r="I917" s="42"/>
      <c r="J917" s="42"/>
      <c r="K917" s="63"/>
      <c r="L917" s="63"/>
      <c r="M917" s="63"/>
      <c r="Q917" s="44"/>
      <c r="R917" s="44"/>
      <c r="S917" s="44"/>
      <c r="T917" s="44"/>
      <c r="U917" s="44"/>
    </row>
    <row r="918">
      <c r="F918" s="62"/>
      <c r="H918" s="40"/>
      <c r="I918" s="42"/>
      <c r="J918" s="42"/>
      <c r="K918" s="63"/>
      <c r="L918" s="63"/>
      <c r="M918" s="63"/>
      <c r="Q918" s="44"/>
      <c r="R918" s="44"/>
      <c r="S918" s="44"/>
      <c r="T918" s="44"/>
      <c r="U918" s="44"/>
    </row>
    <row r="919">
      <c r="F919" s="62"/>
      <c r="H919" s="40"/>
      <c r="I919" s="42"/>
      <c r="J919" s="42"/>
      <c r="K919" s="63"/>
      <c r="L919" s="63"/>
      <c r="M919" s="63"/>
      <c r="Q919" s="44"/>
      <c r="R919" s="44"/>
      <c r="S919" s="44"/>
      <c r="T919" s="44"/>
      <c r="U919" s="44"/>
    </row>
    <row r="920">
      <c r="F920" s="62"/>
      <c r="H920" s="40"/>
      <c r="I920" s="42"/>
      <c r="J920" s="42"/>
      <c r="K920" s="63"/>
      <c r="L920" s="63"/>
      <c r="M920" s="63"/>
      <c r="Q920" s="44"/>
      <c r="R920" s="44"/>
      <c r="S920" s="44"/>
      <c r="T920" s="44"/>
      <c r="U920" s="44"/>
    </row>
    <row r="921">
      <c r="F921" s="62"/>
      <c r="H921" s="40"/>
      <c r="I921" s="42"/>
      <c r="J921" s="42"/>
      <c r="K921" s="63"/>
      <c r="L921" s="63"/>
      <c r="M921" s="63"/>
      <c r="Q921" s="44"/>
      <c r="R921" s="44"/>
      <c r="S921" s="44"/>
      <c r="T921" s="44"/>
      <c r="U921" s="44"/>
    </row>
    <row r="922">
      <c r="F922" s="62"/>
      <c r="H922" s="40"/>
      <c r="I922" s="42"/>
      <c r="J922" s="42"/>
      <c r="K922" s="63"/>
      <c r="L922" s="63"/>
      <c r="M922" s="63"/>
      <c r="Q922" s="44"/>
      <c r="R922" s="44"/>
      <c r="S922" s="44"/>
      <c r="T922" s="44"/>
      <c r="U922" s="44"/>
    </row>
    <row r="923">
      <c r="F923" s="62"/>
      <c r="H923" s="40"/>
      <c r="I923" s="42"/>
      <c r="J923" s="42"/>
      <c r="K923" s="63"/>
      <c r="L923" s="63"/>
      <c r="M923" s="63"/>
      <c r="Q923" s="44"/>
      <c r="R923" s="44"/>
      <c r="S923" s="44"/>
      <c r="T923" s="44"/>
      <c r="U923" s="44"/>
    </row>
    <row r="924">
      <c r="F924" s="62"/>
      <c r="H924" s="40"/>
      <c r="I924" s="42"/>
      <c r="J924" s="42"/>
      <c r="K924" s="63"/>
      <c r="L924" s="63"/>
      <c r="M924" s="63"/>
      <c r="Q924" s="44"/>
      <c r="R924" s="44"/>
      <c r="S924" s="44"/>
      <c r="T924" s="44"/>
      <c r="U924" s="44"/>
    </row>
    <row r="925">
      <c r="F925" s="62"/>
      <c r="H925" s="40"/>
      <c r="I925" s="42"/>
      <c r="J925" s="42"/>
      <c r="K925" s="63"/>
      <c r="L925" s="63"/>
      <c r="M925" s="63"/>
      <c r="Q925" s="44"/>
      <c r="R925" s="44"/>
      <c r="S925" s="44"/>
      <c r="T925" s="44"/>
      <c r="U925" s="44"/>
    </row>
    <row r="926">
      <c r="F926" s="62"/>
      <c r="H926" s="40"/>
      <c r="I926" s="42"/>
      <c r="J926" s="42"/>
      <c r="K926" s="63"/>
      <c r="L926" s="63"/>
      <c r="M926" s="63"/>
      <c r="Q926" s="44"/>
      <c r="R926" s="44"/>
      <c r="S926" s="44"/>
      <c r="T926" s="44"/>
      <c r="U926" s="44"/>
    </row>
    <row r="927">
      <c r="F927" s="62"/>
      <c r="H927" s="40"/>
      <c r="I927" s="42"/>
      <c r="J927" s="42"/>
      <c r="K927" s="63"/>
      <c r="L927" s="63"/>
      <c r="M927" s="63"/>
      <c r="Q927" s="44"/>
      <c r="R927" s="44"/>
      <c r="S927" s="44"/>
      <c r="T927" s="44"/>
      <c r="U927" s="44"/>
    </row>
    <row r="928">
      <c r="F928" s="62"/>
      <c r="H928" s="40"/>
      <c r="I928" s="42"/>
      <c r="J928" s="42"/>
      <c r="K928" s="63"/>
      <c r="L928" s="63"/>
      <c r="M928" s="63"/>
      <c r="Q928" s="44"/>
      <c r="R928" s="44"/>
      <c r="S928" s="44"/>
      <c r="T928" s="44"/>
      <c r="U928" s="44"/>
    </row>
    <row r="929">
      <c r="F929" s="62"/>
      <c r="H929" s="40"/>
      <c r="I929" s="42"/>
      <c r="J929" s="42"/>
      <c r="K929" s="63"/>
      <c r="L929" s="63"/>
      <c r="M929" s="63"/>
      <c r="Q929" s="44"/>
      <c r="R929" s="44"/>
      <c r="S929" s="44"/>
      <c r="T929" s="44"/>
      <c r="U929" s="44"/>
    </row>
    <row r="930">
      <c r="F930" s="62"/>
      <c r="H930" s="40"/>
      <c r="I930" s="42"/>
      <c r="J930" s="42"/>
      <c r="K930" s="63"/>
      <c r="L930" s="63"/>
      <c r="M930" s="63"/>
      <c r="Q930" s="44"/>
      <c r="R930" s="44"/>
      <c r="S930" s="44"/>
      <c r="T930" s="44"/>
      <c r="U930" s="44"/>
    </row>
    <row r="931">
      <c r="F931" s="62"/>
      <c r="H931" s="40"/>
      <c r="I931" s="42"/>
      <c r="J931" s="42"/>
      <c r="K931" s="63"/>
      <c r="L931" s="63"/>
      <c r="M931" s="63"/>
      <c r="Q931" s="44"/>
      <c r="R931" s="44"/>
      <c r="S931" s="44"/>
      <c r="T931" s="44"/>
      <c r="U931" s="44"/>
    </row>
    <row r="932">
      <c r="F932" s="62"/>
      <c r="H932" s="40"/>
      <c r="I932" s="42"/>
      <c r="J932" s="42"/>
      <c r="K932" s="63"/>
      <c r="L932" s="63"/>
      <c r="M932" s="63"/>
      <c r="Q932" s="44"/>
      <c r="R932" s="44"/>
      <c r="S932" s="44"/>
      <c r="T932" s="44"/>
      <c r="U932" s="44"/>
    </row>
    <row r="933">
      <c r="F933" s="62"/>
      <c r="H933" s="40"/>
      <c r="I933" s="42"/>
      <c r="J933" s="42"/>
      <c r="K933" s="63"/>
      <c r="L933" s="63"/>
      <c r="M933" s="63"/>
      <c r="Q933" s="44"/>
      <c r="R933" s="44"/>
      <c r="S933" s="44"/>
      <c r="T933" s="44"/>
      <c r="U933" s="44"/>
    </row>
    <row r="934">
      <c r="F934" s="62"/>
      <c r="H934" s="40"/>
      <c r="I934" s="42"/>
      <c r="J934" s="42"/>
      <c r="K934" s="63"/>
      <c r="L934" s="63"/>
      <c r="M934" s="63"/>
      <c r="Q934" s="44"/>
      <c r="R934" s="44"/>
      <c r="S934" s="44"/>
      <c r="T934" s="44"/>
      <c r="U934" s="44"/>
    </row>
    <row r="935">
      <c r="F935" s="62"/>
      <c r="H935" s="40"/>
      <c r="I935" s="42"/>
      <c r="J935" s="42"/>
      <c r="K935" s="63"/>
      <c r="L935" s="63"/>
      <c r="M935" s="63"/>
      <c r="Q935" s="44"/>
      <c r="R935" s="44"/>
      <c r="S935" s="44"/>
      <c r="T935" s="44"/>
      <c r="U935" s="44"/>
    </row>
    <row r="936">
      <c r="F936" s="62"/>
      <c r="H936" s="40"/>
      <c r="I936" s="42"/>
      <c r="J936" s="42"/>
      <c r="K936" s="63"/>
      <c r="L936" s="63"/>
      <c r="M936" s="63"/>
      <c r="Q936" s="44"/>
      <c r="R936" s="44"/>
      <c r="S936" s="44"/>
      <c r="T936" s="44"/>
      <c r="U936" s="44"/>
    </row>
    <row r="937">
      <c r="F937" s="62"/>
      <c r="H937" s="40"/>
      <c r="I937" s="42"/>
      <c r="J937" s="42"/>
      <c r="K937" s="63"/>
      <c r="L937" s="63"/>
      <c r="M937" s="63"/>
      <c r="Q937" s="44"/>
      <c r="R937" s="44"/>
      <c r="S937" s="44"/>
      <c r="T937" s="44"/>
      <c r="U937" s="44"/>
    </row>
    <row r="938">
      <c r="F938" s="62"/>
      <c r="H938" s="40"/>
      <c r="I938" s="42"/>
      <c r="J938" s="42"/>
      <c r="K938" s="63"/>
      <c r="L938" s="63"/>
      <c r="M938" s="63"/>
      <c r="Q938" s="44"/>
      <c r="R938" s="44"/>
      <c r="S938" s="44"/>
      <c r="T938" s="44"/>
      <c r="U938" s="44"/>
    </row>
    <row r="939">
      <c r="F939" s="62"/>
      <c r="H939" s="40"/>
      <c r="I939" s="42"/>
      <c r="J939" s="42"/>
      <c r="K939" s="63"/>
      <c r="L939" s="63"/>
      <c r="M939" s="63"/>
      <c r="Q939" s="44"/>
      <c r="R939" s="44"/>
      <c r="S939" s="44"/>
      <c r="T939" s="44"/>
      <c r="U939" s="44"/>
    </row>
    <row r="940">
      <c r="F940" s="62"/>
      <c r="H940" s="40"/>
      <c r="I940" s="42"/>
      <c r="J940" s="42"/>
      <c r="K940" s="63"/>
      <c r="L940" s="63"/>
      <c r="M940" s="63"/>
      <c r="Q940" s="44"/>
      <c r="R940" s="44"/>
      <c r="S940" s="44"/>
      <c r="T940" s="44"/>
      <c r="U940" s="44"/>
    </row>
    <row r="941">
      <c r="F941" s="62"/>
      <c r="H941" s="40"/>
      <c r="I941" s="42"/>
      <c r="J941" s="42"/>
      <c r="K941" s="63"/>
      <c r="L941" s="63"/>
      <c r="M941" s="63"/>
      <c r="Q941" s="44"/>
      <c r="R941" s="44"/>
      <c r="S941" s="44"/>
      <c r="T941" s="44"/>
      <c r="U941" s="44"/>
    </row>
    <row r="942">
      <c r="F942" s="62"/>
      <c r="H942" s="40"/>
      <c r="I942" s="42"/>
      <c r="J942" s="42"/>
      <c r="K942" s="63"/>
      <c r="L942" s="63"/>
      <c r="M942" s="63"/>
      <c r="Q942" s="44"/>
      <c r="R942" s="44"/>
      <c r="S942" s="44"/>
      <c r="T942" s="44"/>
      <c r="U942" s="44"/>
    </row>
    <row r="943">
      <c r="F943" s="62"/>
      <c r="H943" s="40"/>
      <c r="I943" s="42"/>
      <c r="J943" s="42"/>
      <c r="K943" s="63"/>
      <c r="L943" s="63"/>
      <c r="M943" s="63"/>
      <c r="Q943" s="44"/>
      <c r="R943" s="44"/>
      <c r="S943" s="44"/>
      <c r="T943" s="44"/>
      <c r="U943" s="44"/>
    </row>
    <row r="944">
      <c r="F944" s="62"/>
      <c r="H944" s="40"/>
      <c r="I944" s="42"/>
      <c r="J944" s="42"/>
      <c r="K944" s="63"/>
      <c r="L944" s="63"/>
      <c r="M944" s="63"/>
      <c r="Q944" s="44"/>
      <c r="R944" s="44"/>
      <c r="S944" s="44"/>
      <c r="T944" s="44"/>
      <c r="U944" s="44"/>
    </row>
    <row r="945">
      <c r="F945" s="62"/>
      <c r="H945" s="40"/>
      <c r="I945" s="42"/>
      <c r="J945" s="42"/>
      <c r="K945" s="63"/>
      <c r="L945" s="63"/>
      <c r="M945" s="63"/>
      <c r="Q945" s="44"/>
      <c r="R945" s="44"/>
      <c r="S945" s="44"/>
      <c r="T945" s="44"/>
      <c r="U945" s="44"/>
    </row>
    <row r="946">
      <c r="F946" s="62"/>
      <c r="H946" s="40"/>
      <c r="I946" s="42"/>
      <c r="J946" s="42"/>
      <c r="K946" s="63"/>
      <c r="L946" s="63"/>
      <c r="M946" s="63"/>
      <c r="Q946" s="44"/>
      <c r="R946" s="44"/>
      <c r="S946" s="44"/>
      <c r="T946" s="44"/>
      <c r="U946" s="44"/>
    </row>
    <row r="947">
      <c r="F947" s="62"/>
      <c r="H947" s="40"/>
      <c r="I947" s="42"/>
      <c r="J947" s="42"/>
      <c r="K947" s="63"/>
      <c r="L947" s="63"/>
      <c r="M947" s="63"/>
      <c r="Q947" s="44"/>
      <c r="R947" s="44"/>
      <c r="S947" s="44"/>
      <c r="T947" s="44"/>
      <c r="U947" s="44"/>
    </row>
    <row r="948">
      <c r="F948" s="62"/>
      <c r="H948" s="40"/>
      <c r="I948" s="42"/>
      <c r="J948" s="42"/>
      <c r="K948" s="63"/>
      <c r="L948" s="63"/>
      <c r="M948" s="63"/>
      <c r="Q948" s="44"/>
      <c r="R948" s="44"/>
      <c r="S948" s="44"/>
      <c r="T948" s="44"/>
      <c r="U948" s="44"/>
    </row>
    <row r="949">
      <c r="F949" s="62"/>
      <c r="H949" s="40"/>
      <c r="I949" s="42"/>
      <c r="J949" s="42"/>
      <c r="K949" s="63"/>
      <c r="L949" s="63"/>
      <c r="M949" s="63"/>
      <c r="Q949" s="44"/>
      <c r="R949" s="44"/>
      <c r="S949" s="44"/>
      <c r="T949" s="44"/>
      <c r="U949" s="44"/>
    </row>
    <row r="950">
      <c r="F950" s="62"/>
      <c r="H950" s="40"/>
      <c r="I950" s="42"/>
      <c r="J950" s="42"/>
      <c r="K950" s="63"/>
      <c r="L950" s="63"/>
      <c r="M950" s="63"/>
      <c r="Q950" s="44"/>
      <c r="R950" s="44"/>
      <c r="S950" s="44"/>
      <c r="T950" s="44"/>
      <c r="U950" s="44"/>
    </row>
    <row r="951">
      <c r="F951" s="62"/>
      <c r="H951" s="40"/>
      <c r="I951" s="42"/>
      <c r="J951" s="42"/>
      <c r="K951" s="63"/>
      <c r="L951" s="63"/>
      <c r="M951" s="63"/>
      <c r="Q951" s="44"/>
      <c r="R951" s="44"/>
      <c r="S951" s="44"/>
      <c r="T951" s="44"/>
      <c r="U951" s="44"/>
    </row>
    <row r="952">
      <c r="F952" s="62"/>
      <c r="H952" s="40"/>
      <c r="I952" s="42"/>
      <c r="J952" s="42"/>
      <c r="K952" s="63"/>
      <c r="L952" s="63"/>
      <c r="M952" s="63"/>
      <c r="Q952" s="44"/>
      <c r="R952" s="44"/>
      <c r="S952" s="44"/>
      <c r="T952" s="44"/>
      <c r="U952" s="44"/>
    </row>
    <row r="953">
      <c r="F953" s="62"/>
      <c r="H953" s="40"/>
      <c r="I953" s="42"/>
      <c r="J953" s="42"/>
      <c r="K953" s="63"/>
      <c r="L953" s="63"/>
      <c r="M953" s="63"/>
      <c r="Q953" s="44"/>
      <c r="R953" s="44"/>
      <c r="S953" s="44"/>
      <c r="T953" s="44"/>
      <c r="U953" s="44"/>
    </row>
    <row r="954">
      <c r="F954" s="62"/>
      <c r="H954" s="40"/>
      <c r="I954" s="42"/>
      <c r="J954" s="42"/>
      <c r="K954" s="63"/>
      <c r="L954" s="63"/>
      <c r="M954" s="63"/>
      <c r="Q954" s="44"/>
      <c r="R954" s="44"/>
      <c r="S954" s="44"/>
      <c r="T954" s="44"/>
      <c r="U954" s="44"/>
    </row>
    <row r="955">
      <c r="F955" s="62"/>
      <c r="H955" s="40"/>
      <c r="I955" s="42"/>
      <c r="J955" s="42"/>
      <c r="K955" s="63"/>
      <c r="L955" s="63"/>
      <c r="M955" s="63"/>
      <c r="Q955" s="44"/>
      <c r="R955" s="44"/>
      <c r="S955" s="44"/>
      <c r="T955" s="44"/>
      <c r="U955" s="44"/>
    </row>
    <row r="956">
      <c r="F956" s="62"/>
      <c r="H956" s="40"/>
      <c r="I956" s="42"/>
      <c r="J956" s="42"/>
      <c r="K956" s="63"/>
      <c r="L956" s="63"/>
      <c r="M956" s="63"/>
      <c r="Q956" s="44"/>
      <c r="R956" s="44"/>
      <c r="S956" s="44"/>
      <c r="T956" s="44"/>
      <c r="U956" s="44"/>
    </row>
    <row r="957">
      <c r="F957" s="62"/>
      <c r="H957" s="40"/>
      <c r="I957" s="42"/>
      <c r="J957" s="42"/>
      <c r="K957" s="63"/>
      <c r="L957" s="63"/>
      <c r="M957" s="63"/>
      <c r="Q957" s="44"/>
      <c r="R957" s="44"/>
      <c r="S957" s="44"/>
      <c r="T957" s="44"/>
      <c r="U957" s="44"/>
    </row>
    <row r="958">
      <c r="F958" s="62"/>
      <c r="H958" s="40"/>
      <c r="I958" s="42"/>
      <c r="J958" s="42"/>
      <c r="K958" s="63"/>
      <c r="L958" s="63"/>
      <c r="M958" s="63"/>
      <c r="Q958" s="44"/>
      <c r="R958" s="44"/>
      <c r="S958" s="44"/>
      <c r="T958" s="44"/>
      <c r="U958" s="44"/>
    </row>
    <row r="959">
      <c r="F959" s="62"/>
      <c r="H959" s="40"/>
      <c r="I959" s="42"/>
      <c r="J959" s="42"/>
      <c r="K959" s="63"/>
      <c r="L959" s="63"/>
      <c r="M959" s="63"/>
      <c r="Q959" s="44"/>
      <c r="R959" s="44"/>
      <c r="S959" s="44"/>
      <c r="T959" s="44"/>
      <c r="U959" s="44"/>
    </row>
    <row r="960">
      <c r="F960" s="62"/>
      <c r="H960" s="40"/>
      <c r="I960" s="42"/>
      <c r="J960" s="42"/>
      <c r="K960" s="63"/>
      <c r="L960" s="63"/>
      <c r="M960" s="63"/>
      <c r="Q960" s="44"/>
      <c r="R960" s="44"/>
      <c r="S960" s="44"/>
      <c r="T960" s="44"/>
      <c r="U960" s="44"/>
    </row>
    <row r="961">
      <c r="F961" s="62"/>
      <c r="H961" s="40"/>
      <c r="I961" s="42"/>
      <c r="J961" s="42"/>
      <c r="K961" s="63"/>
      <c r="L961" s="63"/>
      <c r="M961" s="63"/>
      <c r="Q961" s="44"/>
      <c r="R961" s="44"/>
      <c r="S961" s="44"/>
      <c r="T961" s="44"/>
      <c r="U961" s="44"/>
    </row>
    <row r="962">
      <c r="F962" s="62"/>
      <c r="H962" s="40"/>
      <c r="I962" s="42"/>
      <c r="J962" s="42"/>
      <c r="K962" s="63"/>
      <c r="L962" s="63"/>
      <c r="M962" s="63"/>
      <c r="Q962" s="44"/>
      <c r="R962" s="44"/>
      <c r="S962" s="44"/>
      <c r="T962" s="44"/>
      <c r="U962" s="44"/>
    </row>
    <row r="963">
      <c r="F963" s="62"/>
      <c r="H963" s="40"/>
      <c r="I963" s="42"/>
      <c r="J963" s="42"/>
      <c r="K963" s="63"/>
      <c r="L963" s="63"/>
      <c r="M963" s="63"/>
      <c r="Q963" s="44"/>
      <c r="R963" s="44"/>
      <c r="S963" s="44"/>
      <c r="T963" s="44"/>
      <c r="U963" s="44"/>
    </row>
    <row r="964">
      <c r="F964" s="62"/>
      <c r="H964" s="40"/>
      <c r="I964" s="42"/>
      <c r="J964" s="42"/>
      <c r="K964" s="63"/>
      <c r="L964" s="63"/>
      <c r="M964" s="63"/>
      <c r="Q964" s="44"/>
      <c r="R964" s="44"/>
      <c r="S964" s="44"/>
      <c r="T964" s="44"/>
      <c r="U964" s="44"/>
    </row>
    <row r="965">
      <c r="F965" s="62"/>
      <c r="H965" s="40"/>
      <c r="I965" s="42"/>
      <c r="J965" s="42"/>
      <c r="K965" s="63"/>
      <c r="L965" s="63"/>
      <c r="M965" s="63"/>
      <c r="Q965" s="44"/>
      <c r="R965" s="44"/>
      <c r="S965" s="44"/>
      <c r="T965" s="44"/>
      <c r="U965" s="44"/>
    </row>
    <row r="966">
      <c r="F966" s="62"/>
      <c r="H966" s="40"/>
      <c r="I966" s="42"/>
      <c r="J966" s="42"/>
      <c r="K966" s="63"/>
      <c r="L966" s="63"/>
      <c r="M966" s="63"/>
      <c r="Q966" s="44"/>
      <c r="R966" s="44"/>
      <c r="S966" s="44"/>
      <c r="T966" s="44"/>
      <c r="U966" s="44"/>
    </row>
    <row r="967">
      <c r="F967" s="62"/>
      <c r="H967" s="40"/>
      <c r="I967" s="42"/>
      <c r="J967" s="42"/>
      <c r="K967" s="63"/>
      <c r="L967" s="63"/>
      <c r="M967" s="63"/>
      <c r="Q967" s="44"/>
      <c r="R967" s="44"/>
      <c r="S967" s="44"/>
      <c r="T967" s="44"/>
      <c r="U967" s="44"/>
    </row>
    <row r="968">
      <c r="F968" s="62"/>
      <c r="H968" s="40"/>
      <c r="I968" s="42"/>
      <c r="J968" s="42"/>
      <c r="K968" s="63"/>
      <c r="L968" s="63"/>
      <c r="M968" s="63"/>
      <c r="Q968" s="44"/>
      <c r="R968" s="44"/>
      <c r="S968" s="44"/>
      <c r="T968" s="44"/>
      <c r="U968" s="44"/>
    </row>
    <row r="969">
      <c r="F969" s="62"/>
      <c r="H969" s="40"/>
      <c r="I969" s="42"/>
      <c r="J969" s="42"/>
      <c r="K969" s="63"/>
      <c r="L969" s="63"/>
      <c r="M969" s="63"/>
      <c r="Q969" s="44"/>
      <c r="R969" s="44"/>
      <c r="S969" s="44"/>
      <c r="T969" s="44"/>
      <c r="U969" s="44"/>
    </row>
    <row r="970">
      <c r="F970" s="62"/>
      <c r="H970" s="40"/>
      <c r="I970" s="42"/>
      <c r="J970" s="42"/>
      <c r="K970" s="63"/>
      <c r="L970" s="63"/>
      <c r="M970" s="63"/>
      <c r="Q970" s="44"/>
      <c r="R970" s="44"/>
      <c r="S970" s="44"/>
      <c r="T970" s="44"/>
      <c r="U970" s="44"/>
    </row>
    <row r="971">
      <c r="F971" s="62"/>
      <c r="H971" s="40"/>
      <c r="I971" s="42"/>
      <c r="J971" s="42"/>
      <c r="K971" s="63"/>
      <c r="L971" s="63"/>
      <c r="M971" s="63"/>
      <c r="Q971" s="44"/>
      <c r="R971" s="44"/>
      <c r="S971" s="44"/>
      <c r="T971" s="44"/>
      <c r="U971" s="44"/>
    </row>
    <row r="972">
      <c r="F972" s="62"/>
      <c r="H972" s="40"/>
      <c r="I972" s="42"/>
      <c r="J972" s="42"/>
      <c r="K972" s="63"/>
      <c r="L972" s="63"/>
      <c r="M972" s="63"/>
      <c r="Q972" s="44"/>
      <c r="R972" s="44"/>
      <c r="S972" s="44"/>
      <c r="T972" s="44"/>
      <c r="U972" s="44"/>
    </row>
    <row r="973">
      <c r="F973" s="62"/>
      <c r="H973" s="40"/>
      <c r="I973" s="42"/>
      <c r="J973" s="42"/>
      <c r="K973" s="63"/>
      <c r="L973" s="63"/>
      <c r="M973" s="63"/>
      <c r="Q973" s="44"/>
      <c r="R973" s="44"/>
      <c r="S973" s="44"/>
      <c r="T973" s="44"/>
      <c r="U973" s="44"/>
    </row>
    <row r="974">
      <c r="F974" s="62"/>
      <c r="H974" s="40"/>
      <c r="I974" s="42"/>
      <c r="J974" s="42"/>
      <c r="K974" s="63"/>
      <c r="L974" s="63"/>
      <c r="M974" s="63"/>
      <c r="Q974" s="44"/>
      <c r="R974" s="44"/>
      <c r="S974" s="44"/>
      <c r="T974" s="44"/>
      <c r="U974" s="44"/>
    </row>
    <row r="975">
      <c r="F975" s="62"/>
      <c r="H975" s="40"/>
      <c r="I975" s="42"/>
      <c r="J975" s="42"/>
      <c r="K975" s="63"/>
      <c r="L975" s="63"/>
      <c r="M975" s="63"/>
      <c r="Q975" s="44"/>
      <c r="R975" s="44"/>
      <c r="S975" s="44"/>
      <c r="T975" s="44"/>
      <c r="U975" s="44"/>
    </row>
    <row r="976">
      <c r="F976" s="62"/>
      <c r="H976" s="40"/>
      <c r="I976" s="42"/>
      <c r="J976" s="42"/>
      <c r="K976" s="63"/>
      <c r="L976" s="63"/>
      <c r="M976" s="63"/>
      <c r="Q976" s="44"/>
      <c r="R976" s="44"/>
      <c r="S976" s="44"/>
      <c r="T976" s="44"/>
      <c r="U976" s="44"/>
    </row>
    <row r="977">
      <c r="F977" s="62"/>
      <c r="H977" s="40"/>
      <c r="I977" s="42"/>
      <c r="J977" s="42"/>
      <c r="K977" s="63"/>
      <c r="L977" s="63"/>
      <c r="M977" s="63"/>
      <c r="Q977" s="44"/>
      <c r="R977" s="44"/>
      <c r="S977" s="44"/>
      <c r="T977" s="44"/>
      <c r="U977" s="44"/>
    </row>
    <row r="978">
      <c r="F978" s="62"/>
      <c r="H978" s="40"/>
      <c r="I978" s="42"/>
      <c r="J978" s="42"/>
      <c r="K978" s="63"/>
      <c r="L978" s="63"/>
      <c r="M978" s="63"/>
      <c r="Q978" s="44"/>
      <c r="R978" s="44"/>
      <c r="S978" s="44"/>
      <c r="T978" s="44"/>
      <c r="U978" s="44"/>
    </row>
    <row r="979">
      <c r="F979" s="62"/>
      <c r="H979" s="40"/>
      <c r="I979" s="42"/>
      <c r="J979" s="42"/>
      <c r="K979" s="63"/>
      <c r="L979" s="63"/>
      <c r="M979" s="63"/>
      <c r="Q979" s="44"/>
      <c r="R979" s="44"/>
      <c r="S979" s="44"/>
      <c r="T979" s="44"/>
      <c r="U979" s="44"/>
    </row>
    <row r="980">
      <c r="F980" s="62"/>
      <c r="H980" s="40"/>
      <c r="I980" s="42"/>
      <c r="J980" s="42"/>
      <c r="K980" s="63"/>
      <c r="L980" s="63"/>
      <c r="M980" s="63"/>
      <c r="Q980" s="44"/>
      <c r="R980" s="44"/>
      <c r="S980" s="44"/>
      <c r="T980" s="44"/>
      <c r="U980" s="44"/>
    </row>
    <row r="981">
      <c r="F981" s="62"/>
      <c r="H981" s="40"/>
      <c r="I981" s="42"/>
      <c r="J981" s="42"/>
      <c r="K981" s="63"/>
      <c r="L981" s="63"/>
      <c r="M981" s="63"/>
      <c r="Q981" s="44"/>
      <c r="R981" s="44"/>
      <c r="S981" s="44"/>
      <c r="T981" s="44"/>
      <c r="U981" s="44"/>
    </row>
    <row r="982">
      <c r="F982" s="62"/>
      <c r="H982" s="40"/>
      <c r="I982" s="42"/>
      <c r="J982" s="42"/>
      <c r="K982" s="63"/>
      <c r="L982" s="63"/>
      <c r="M982" s="63"/>
      <c r="Q982" s="44"/>
      <c r="R982" s="44"/>
      <c r="S982" s="44"/>
      <c r="T982" s="44"/>
      <c r="U982" s="44"/>
    </row>
    <row r="983">
      <c r="F983" s="62"/>
      <c r="H983" s="40"/>
      <c r="I983" s="42"/>
      <c r="J983" s="42"/>
      <c r="K983" s="63"/>
      <c r="L983" s="63"/>
      <c r="M983" s="63"/>
      <c r="Q983" s="44"/>
      <c r="R983" s="44"/>
      <c r="S983" s="44"/>
      <c r="T983" s="44"/>
      <c r="U983" s="44"/>
    </row>
    <row r="984">
      <c r="F984" s="62"/>
      <c r="H984" s="40"/>
      <c r="I984" s="42"/>
      <c r="J984" s="42"/>
      <c r="K984" s="63"/>
      <c r="L984" s="63"/>
      <c r="M984" s="63"/>
      <c r="Q984" s="44"/>
      <c r="R984" s="44"/>
      <c r="S984" s="44"/>
      <c r="T984" s="44"/>
      <c r="U984" s="44"/>
    </row>
    <row r="985">
      <c r="F985" s="62"/>
      <c r="H985" s="40"/>
      <c r="I985" s="42"/>
      <c r="J985" s="42"/>
      <c r="K985" s="63"/>
      <c r="L985" s="63"/>
      <c r="M985" s="63"/>
      <c r="Q985" s="44"/>
      <c r="R985" s="44"/>
      <c r="S985" s="44"/>
      <c r="T985" s="44"/>
      <c r="U985" s="44"/>
    </row>
    <row r="986">
      <c r="F986" s="62"/>
      <c r="H986" s="40"/>
      <c r="I986" s="42"/>
      <c r="J986" s="42"/>
      <c r="K986" s="63"/>
      <c r="L986" s="63"/>
      <c r="M986" s="63"/>
      <c r="Q986" s="44"/>
      <c r="R986" s="44"/>
      <c r="S986" s="44"/>
      <c r="T986" s="44"/>
      <c r="U986" s="44"/>
    </row>
    <row r="987">
      <c r="F987" s="62"/>
      <c r="H987" s="40"/>
      <c r="I987" s="42"/>
      <c r="J987" s="42"/>
      <c r="K987" s="63"/>
      <c r="L987" s="63"/>
      <c r="M987" s="63"/>
      <c r="Q987" s="44"/>
      <c r="R987" s="44"/>
      <c r="S987" s="44"/>
      <c r="T987" s="44"/>
      <c r="U987" s="44"/>
    </row>
    <row r="988">
      <c r="F988" s="62"/>
      <c r="H988" s="40"/>
      <c r="I988" s="42"/>
      <c r="J988" s="42"/>
      <c r="K988" s="63"/>
      <c r="L988" s="63"/>
      <c r="M988" s="63"/>
      <c r="Q988" s="44"/>
      <c r="R988" s="44"/>
      <c r="S988" s="44"/>
      <c r="T988" s="44"/>
      <c r="U988" s="44"/>
    </row>
    <row r="989">
      <c r="F989" s="62"/>
      <c r="H989" s="40"/>
      <c r="I989" s="42"/>
      <c r="J989" s="42"/>
      <c r="K989" s="63"/>
      <c r="L989" s="63"/>
      <c r="M989" s="63"/>
      <c r="Q989" s="44"/>
      <c r="R989" s="44"/>
      <c r="S989" s="44"/>
      <c r="T989" s="44"/>
      <c r="U989" s="44"/>
    </row>
    <row r="990">
      <c r="F990" s="62"/>
      <c r="H990" s="40"/>
      <c r="I990" s="42"/>
      <c r="J990" s="42"/>
      <c r="K990" s="63"/>
      <c r="L990" s="63"/>
      <c r="M990" s="63"/>
      <c r="Q990" s="44"/>
      <c r="R990" s="44"/>
      <c r="S990" s="44"/>
      <c r="T990" s="44"/>
      <c r="U990" s="44"/>
    </row>
    <row r="991">
      <c r="F991" s="62"/>
      <c r="H991" s="40"/>
      <c r="I991" s="42"/>
      <c r="J991" s="42"/>
      <c r="K991" s="63"/>
      <c r="L991" s="63"/>
      <c r="M991" s="63"/>
      <c r="Q991" s="44"/>
      <c r="R991" s="44"/>
      <c r="S991" s="44"/>
      <c r="T991" s="44"/>
      <c r="U991" s="44"/>
    </row>
    <row r="992">
      <c r="F992" s="62"/>
      <c r="H992" s="40"/>
      <c r="I992" s="42"/>
      <c r="J992" s="42"/>
      <c r="K992" s="63"/>
      <c r="L992" s="63"/>
      <c r="M992" s="63"/>
      <c r="Q992" s="44"/>
      <c r="R992" s="44"/>
      <c r="S992" s="44"/>
      <c r="T992" s="44"/>
      <c r="U992" s="44"/>
    </row>
    <row r="993">
      <c r="F993" s="62"/>
      <c r="H993" s="40"/>
      <c r="I993" s="42"/>
      <c r="J993" s="42"/>
      <c r="K993" s="63"/>
      <c r="L993" s="63"/>
      <c r="M993" s="63"/>
      <c r="Q993" s="44"/>
      <c r="R993" s="44"/>
      <c r="S993" s="44"/>
      <c r="T993" s="44"/>
      <c r="U993" s="44"/>
    </row>
    <row r="994">
      <c r="F994" s="62"/>
      <c r="H994" s="40"/>
      <c r="I994" s="42"/>
      <c r="J994" s="42"/>
      <c r="K994" s="63"/>
      <c r="L994" s="63"/>
      <c r="M994" s="63"/>
      <c r="Q994" s="44"/>
      <c r="R994" s="44"/>
      <c r="S994" s="44"/>
      <c r="T994" s="44"/>
      <c r="U994" s="44"/>
    </row>
    <row r="995">
      <c r="F995" s="62"/>
      <c r="H995" s="40"/>
      <c r="I995" s="42"/>
      <c r="J995" s="42"/>
      <c r="K995" s="63"/>
      <c r="L995" s="63"/>
      <c r="M995" s="63"/>
      <c r="Q995" s="44"/>
      <c r="R995" s="44"/>
      <c r="S995" s="44"/>
      <c r="T995" s="44"/>
      <c r="U995" s="44"/>
    </row>
    <row r="996">
      <c r="F996" s="62"/>
      <c r="H996" s="40"/>
      <c r="I996" s="42"/>
      <c r="J996" s="42"/>
      <c r="K996" s="63"/>
      <c r="L996" s="63"/>
      <c r="M996" s="63"/>
      <c r="Q996" s="44"/>
      <c r="R996" s="44"/>
      <c r="S996" s="44"/>
      <c r="T996" s="44"/>
      <c r="U996" s="44"/>
    </row>
    <row r="997">
      <c r="F997" s="62"/>
      <c r="H997" s="40"/>
      <c r="I997" s="42"/>
      <c r="J997" s="42"/>
      <c r="K997" s="63"/>
      <c r="L997" s="63"/>
      <c r="M997" s="63"/>
      <c r="Q997" s="44"/>
      <c r="R997" s="44"/>
      <c r="S997" s="44"/>
      <c r="T997" s="44"/>
      <c r="U997" s="44"/>
    </row>
    <row r="998">
      <c r="F998" s="62"/>
      <c r="H998" s="40"/>
      <c r="I998" s="42"/>
      <c r="J998" s="42"/>
      <c r="K998" s="63"/>
      <c r="L998" s="63"/>
      <c r="M998" s="63"/>
      <c r="Q998" s="44"/>
      <c r="R998" s="44"/>
      <c r="S998" s="44"/>
      <c r="T998" s="44"/>
      <c r="U998" s="44"/>
    </row>
    <row r="999">
      <c r="F999" s="62"/>
      <c r="H999" s="40"/>
      <c r="I999" s="42"/>
      <c r="J999" s="42"/>
      <c r="K999" s="63"/>
      <c r="L999" s="63"/>
      <c r="M999" s="63"/>
      <c r="Q999" s="44"/>
      <c r="R999" s="44"/>
      <c r="S999" s="44"/>
      <c r="T999" s="44"/>
      <c r="U999" s="44"/>
    </row>
    <row r="1000">
      <c r="F1000" s="62"/>
      <c r="H1000" s="40"/>
      <c r="I1000" s="42"/>
      <c r="J1000" s="42"/>
      <c r="K1000" s="63"/>
      <c r="L1000" s="63"/>
      <c r="M1000" s="63"/>
      <c r="Q1000" s="44"/>
      <c r="R1000" s="44"/>
      <c r="S1000" s="44"/>
      <c r="T1000" s="44"/>
      <c r="U1000" s="44"/>
    </row>
    <row r="1001">
      <c r="F1001" s="62"/>
      <c r="H1001" s="40"/>
      <c r="I1001" s="42"/>
      <c r="J1001" s="42"/>
      <c r="K1001" s="63"/>
      <c r="L1001" s="63"/>
      <c r="M1001" s="63"/>
      <c r="Q1001" s="44"/>
      <c r="R1001" s="44"/>
      <c r="S1001" s="44"/>
      <c r="T1001" s="44"/>
      <c r="U1001" s="44"/>
    </row>
    <row r="1002">
      <c r="F1002" s="62"/>
      <c r="H1002" s="40"/>
      <c r="I1002" s="42"/>
      <c r="J1002" s="42"/>
      <c r="K1002" s="63"/>
      <c r="L1002" s="63"/>
      <c r="M1002" s="63"/>
      <c r="Q1002" s="44"/>
      <c r="R1002" s="44"/>
      <c r="S1002" s="44"/>
      <c r="T1002" s="44"/>
      <c r="U1002" s="44"/>
    </row>
    <row r="1003">
      <c r="F1003" s="62"/>
      <c r="H1003" s="40"/>
      <c r="I1003" s="42"/>
      <c r="J1003" s="42"/>
      <c r="K1003" s="63"/>
      <c r="L1003" s="63"/>
      <c r="M1003" s="63"/>
      <c r="Q1003" s="44"/>
      <c r="R1003" s="44"/>
      <c r="S1003" s="44"/>
      <c r="T1003" s="44"/>
      <c r="U1003" s="44"/>
    </row>
    <row r="1004">
      <c r="F1004" s="62"/>
      <c r="H1004" s="40"/>
      <c r="I1004" s="42"/>
      <c r="J1004" s="42"/>
      <c r="K1004" s="63"/>
      <c r="L1004" s="63"/>
      <c r="M1004" s="63"/>
      <c r="Q1004" s="44"/>
      <c r="R1004" s="44"/>
      <c r="S1004" s="44"/>
      <c r="T1004" s="44"/>
      <c r="U1004" s="44"/>
    </row>
    <row r="1005">
      <c r="F1005" s="62"/>
      <c r="H1005" s="40"/>
      <c r="I1005" s="42"/>
      <c r="J1005" s="42"/>
      <c r="K1005" s="63"/>
      <c r="L1005" s="63"/>
      <c r="M1005" s="63"/>
      <c r="Q1005" s="44"/>
      <c r="R1005" s="44"/>
      <c r="S1005" s="44"/>
      <c r="T1005" s="44"/>
      <c r="U1005" s="44"/>
    </row>
    <row r="1006">
      <c r="F1006" s="62"/>
      <c r="H1006" s="40"/>
      <c r="I1006" s="42"/>
      <c r="J1006" s="42"/>
      <c r="K1006" s="63"/>
      <c r="L1006" s="63"/>
      <c r="M1006" s="63"/>
      <c r="Q1006" s="44"/>
      <c r="R1006" s="44"/>
      <c r="S1006" s="44"/>
      <c r="T1006" s="44"/>
      <c r="U1006" s="44"/>
    </row>
    <row r="1007">
      <c r="F1007" s="62"/>
      <c r="H1007" s="40"/>
      <c r="I1007" s="42"/>
      <c r="J1007" s="42"/>
      <c r="K1007" s="63"/>
      <c r="L1007" s="63"/>
      <c r="M1007" s="63"/>
      <c r="Q1007" s="44"/>
      <c r="R1007" s="44"/>
      <c r="S1007" s="44"/>
      <c r="T1007" s="44"/>
      <c r="U1007" s="44"/>
    </row>
    <row r="1008">
      <c r="F1008" s="62"/>
      <c r="H1008" s="40"/>
      <c r="I1008" s="42"/>
      <c r="J1008" s="42"/>
      <c r="K1008" s="63"/>
      <c r="L1008" s="63"/>
      <c r="M1008" s="63"/>
      <c r="Q1008" s="44"/>
      <c r="R1008" s="44"/>
      <c r="S1008" s="44"/>
      <c r="T1008" s="44"/>
      <c r="U1008" s="44"/>
    </row>
    <row r="1009">
      <c r="F1009" s="62"/>
      <c r="H1009" s="40"/>
      <c r="I1009" s="42"/>
      <c r="J1009" s="42"/>
      <c r="K1009" s="63"/>
      <c r="L1009" s="63"/>
      <c r="M1009" s="63"/>
      <c r="Q1009" s="44"/>
      <c r="R1009" s="44"/>
      <c r="S1009" s="44"/>
      <c r="T1009" s="44"/>
      <c r="U1009" s="44"/>
    </row>
    <row r="1010">
      <c r="F1010" s="62"/>
      <c r="H1010" s="40"/>
      <c r="I1010" s="42"/>
      <c r="J1010" s="42"/>
      <c r="K1010" s="63"/>
      <c r="L1010" s="63"/>
      <c r="M1010" s="63"/>
      <c r="Q1010" s="44"/>
      <c r="R1010" s="44"/>
      <c r="S1010" s="44"/>
      <c r="T1010" s="44"/>
      <c r="U1010" s="44"/>
    </row>
    <row r="1011">
      <c r="F1011" s="62"/>
      <c r="H1011" s="40"/>
      <c r="I1011" s="42"/>
      <c r="J1011" s="42"/>
      <c r="K1011" s="63"/>
      <c r="L1011" s="63"/>
      <c r="M1011" s="63"/>
      <c r="Q1011" s="44"/>
      <c r="R1011" s="44"/>
      <c r="S1011" s="44"/>
      <c r="T1011" s="44"/>
      <c r="U1011" s="44"/>
    </row>
    <row r="1012">
      <c r="F1012" s="62"/>
      <c r="H1012" s="40"/>
      <c r="I1012" s="42"/>
      <c r="J1012" s="42"/>
      <c r="K1012" s="63"/>
      <c r="L1012" s="63"/>
      <c r="M1012" s="63"/>
      <c r="Q1012" s="44"/>
      <c r="R1012" s="44"/>
      <c r="S1012" s="44"/>
      <c r="T1012" s="44"/>
      <c r="U1012" s="44"/>
    </row>
    <row r="1013">
      <c r="F1013" s="62"/>
      <c r="H1013" s="40"/>
      <c r="I1013" s="42"/>
      <c r="J1013" s="42"/>
      <c r="K1013" s="63"/>
      <c r="L1013" s="63"/>
      <c r="M1013" s="63"/>
      <c r="Q1013" s="44"/>
      <c r="R1013" s="44"/>
      <c r="S1013" s="44"/>
      <c r="T1013" s="44"/>
      <c r="U1013" s="44"/>
    </row>
    <row r="1014">
      <c r="F1014" s="62"/>
      <c r="H1014" s="40"/>
      <c r="I1014" s="42"/>
      <c r="J1014" s="42"/>
      <c r="K1014" s="63"/>
      <c r="L1014" s="63"/>
      <c r="M1014" s="63"/>
      <c r="Q1014" s="44"/>
      <c r="R1014" s="44"/>
      <c r="S1014" s="44"/>
      <c r="T1014" s="44"/>
      <c r="U1014" s="44"/>
    </row>
    <row r="1015">
      <c r="F1015" s="62"/>
      <c r="H1015" s="40"/>
      <c r="I1015" s="42"/>
      <c r="J1015" s="42"/>
      <c r="K1015" s="63"/>
      <c r="L1015" s="63"/>
      <c r="M1015" s="63"/>
      <c r="Q1015" s="44"/>
      <c r="R1015" s="44"/>
      <c r="S1015" s="44"/>
      <c r="T1015" s="44"/>
      <c r="U1015" s="44"/>
    </row>
    <row r="1016">
      <c r="F1016" s="62"/>
      <c r="H1016" s="40"/>
      <c r="I1016" s="42"/>
      <c r="J1016" s="42"/>
      <c r="K1016" s="63"/>
      <c r="L1016" s="63"/>
      <c r="M1016" s="63"/>
      <c r="Q1016" s="44"/>
      <c r="R1016" s="44"/>
      <c r="S1016" s="44"/>
      <c r="T1016" s="44"/>
      <c r="U1016" s="44"/>
    </row>
    <row r="1017">
      <c r="F1017" s="62"/>
      <c r="H1017" s="40"/>
      <c r="I1017" s="42"/>
      <c r="J1017" s="42"/>
      <c r="K1017" s="63"/>
      <c r="L1017" s="63"/>
      <c r="M1017" s="63"/>
      <c r="Q1017" s="44"/>
      <c r="R1017" s="44"/>
      <c r="S1017" s="44"/>
      <c r="T1017" s="44"/>
      <c r="U1017" s="44"/>
    </row>
    <row r="1018">
      <c r="F1018" s="62"/>
      <c r="H1018" s="40"/>
      <c r="I1018" s="42"/>
      <c r="J1018" s="42"/>
      <c r="K1018" s="63"/>
      <c r="L1018" s="63"/>
      <c r="M1018" s="63"/>
      <c r="Q1018" s="44"/>
      <c r="R1018" s="44"/>
      <c r="S1018" s="44"/>
      <c r="T1018" s="44"/>
      <c r="U1018" s="44"/>
    </row>
    <row r="1019">
      <c r="F1019" s="62"/>
      <c r="H1019" s="40"/>
      <c r="I1019" s="42"/>
      <c r="J1019" s="42"/>
      <c r="K1019" s="63"/>
      <c r="L1019" s="63"/>
      <c r="M1019" s="63"/>
      <c r="Q1019" s="44"/>
      <c r="R1019" s="44"/>
      <c r="S1019" s="44"/>
      <c r="T1019" s="44"/>
      <c r="U1019" s="44"/>
    </row>
    <row r="1020">
      <c r="F1020" s="62"/>
      <c r="H1020" s="40"/>
      <c r="I1020" s="42"/>
      <c r="J1020" s="42"/>
      <c r="K1020" s="63"/>
      <c r="L1020" s="63"/>
      <c r="M1020" s="63"/>
      <c r="Q1020" s="44"/>
      <c r="R1020" s="44"/>
      <c r="S1020" s="44"/>
      <c r="T1020" s="44"/>
      <c r="U1020" s="44"/>
    </row>
    <row r="1021">
      <c r="F1021" s="62"/>
      <c r="H1021" s="40"/>
      <c r="I1021" s="42"/>
      <c r="J1021" s="42"/>
      <c r="K1021" s="63"/>
      <c r="L1021" s="63"/>
      <c r="M1021" s="63"/>
      <c r="Q1021" s="44"/>
      <c r="R1021" s="44"/>
      <c r="S1021" s="44"/>
      <c r="T1021" s="44"/>
      <c r="U1021" s="44"/>
    </row>
    <row r="1022">
      <c r="F1022" s="62"/>
      <c r="H1022" s="40"/>
      <c r="I1022" s="42"/>
      <c r="J1022" s="42"/>
      <c r="K1022" s="63"/>
      <c r="L1022" s="63"/>
      <c r="M1022" s="63"/>
      <c r="Q1022" s="44"/>
      <c r="R1022" s="44"/>
      <c r="S1022" s="44"/>
      <c r="T1022" s="44"/>
      <c r="U1022" s="44"/>
    </row>
    <row r="1023">
      <c r="F1023" s="62"/>
      <c r="H1023" s="40"/>
      <c r="I1023" s="42"/>
      <c r="J1023" s="42"/>
      <c r="K1023" s="63"/>
      <c r="L1023" s="63"/>
      <c r="M1023" s="63"/>
      <c r="Q1023" s="44"/>
      <c r="R1023" s="44"/>
      <c r="S1023" s="44"/>
      <c r="T1023" s="44"/>
      <c r="U1023" s="44"/>
    </row>
    <row r="1024">
      <c r="F1024" s="62"/>
      <c r="H1024" s="40"/>
      <c r="I1024" s="42"/>
      <c r="J1024" s="42"/>
      <c r="K1024" s="63"/>
      <c r="L1024" s="63"/>
      <c r="M1024" s="63"/>
      <c r="Q1024" s="44"/>
      <c r="R1024" s="44"/>
      <c r="S1024" s="44"/>
      <c r="T1024" s="44"/>
      <c r="U1024" s="44"/>
    </row>
    <row r="1025">
      <c r="F1025" s="62"/>
      <c r="H1025" s="40"/>
      <c r="I1025" s="42"/>
      <c r="J1025" s="42"/>
      <c r="K1025" s="63"/>
      <c r="L1025" s="63"/>
      <c r="M1025" s="63"/>
      <c r="Q1025" s="44"/>
      <c r="R1025" s="44"/>
      <c r="S1025" s="44"/>
      <c r="T1025" s="44"/>
      <c r="U1025" s="44"/>
    </row>
    <row r="1026">
      <c r="F1026" s="62"/>
      <c r="H1026" s="40"/>
      <c r="I1026" s="42"/>
      <c r="J1026" s="42"/>
      <c r="K1026" s="63"/>
      <c r="L1026" s="63"/>
      <c r="M1026" s="63"/>
      <c r="Q1026" s="44"/>
      <c r="R1026" s="44"/>
      <c r="S1026" s="44"/>
      <c r="T1026" s="44"/>
      <c r="U1026" s="44"/>
    </row>
    <row r="1027">
      <c r="F1027" s="62"/>
      <c r="H1027" s="40"/>
      <c r="I1027" s="42"/>
      <c r="J1027" s="42"/>
      <c r="K1027" s="63"/>
      <c r="L1027" s="63"/>
      <c r="M1027" s="63"/>
      <c r="Q1027" s="44"/>
      <c r="R1027" s="44"/>
      <c r="S1027" s="44"/>
      <c r="T1027" s="44"/>
      <c r="U1027" s="44"/>
    </row>
    <row r="1028">
      <c r="F1028" s="62"/>
      <c r="H1028" s="40"/>
      <c r="I1028" s="42"/>
      <c r="J1028" s="42"/>
      <c r="K1028" s="63"/>
      <c r="L1028" s="63"/>
      <c r="M1028" s="63"/>
      <c r="Q1028" s="44"/>
      <c r="R1028" s="44"/>
      <c r="S1028" s="44"/>
      <c r="T1028" s="44"/>
      <c r="U1028" s="44"/>
    </row>
    <row r="1029">
      <c r="F1029" s="62"/>
      <c r="H1029" s="40"/>
      <c r="I1029" s="42"/>
      <c r="J1029" s="42"/>
      <c r="K1029" s="63"/>
      <c r="L1029" s="63"/>
      <c r="M1029" s="63"/>
      <c r="Q1029" s="44"/>
      <c r="R1029" s="44"/>
      <c r="S1029" s="44"/>
      <c r="T1029" s="44"/>
      <c r="U1029" s="44"/>
    </row>
    <row r="1030">
      <c r="F1030" s="62"/>
      <c r="H1030" s="40"/>
      <c r="I1030" s="42"/>
      <c r="J1030" s="42"/>
      <c r="K1030" s="63"/>
      <c r="L1030" s="63"/>
      <c r="M1030" s="63"/>
      <c r="Q1030" s="44"/>
      <c r="R1030" s="44"/>
      <c r="S1030" s="44"/>
      <c r="T1030" s="44"/>
      <c r="U1030" s="44"/>
    </row>
    <row r="1031">
      <c r="F1031" s="62"/>
      <c r="H1031" s="40"/>
      <c r="I1031" s="42"/>
      <c r="J1031" s="42"/>
      <c r="K1031" s="63"/>
      <c r="L1031" s="63"/>
      <c r="M1031" s="63"/>
      <c r="Q1031" s="44"/>
      <c r="R1031" s="44"/>
      <c r="S1031" s="44"/>
      <c r="T1031" s="44"/>
      <c r="U1031" s="44"/>
    </row>
    <row r="1032">
      <c r="F1032" s="62"/>
      <c r="H1032" s="40"/>
      <c r="I1032" s="42"/>
      <c r="J1032" s="42"/>
      <c r="K1032" s="63"/>
      <c r="L1032" s="63"/>
      <c r="M1032" s="63"/>
      <c r="Q1032" s="44"/>
      <c r="R1032" s="44"/>
      <c r="S1032" s="44"/>
      <c r="T1032" s="44"/>
      <c r="U1032" s="44"/>
    </row>
    <row r="1033">
      <c r="F1033" s="62"/>
      <c r="H1033" s="40"/>
      <c r="I1033" s="42"/>
      <c r="J1033" s="42"/>
      <c r="K1033" s="63"/>
      <c r="L1033" s="63"/>
      <c r="M1033" s="63"/>
      <c r="Q1033" s="44"/>
      <c r="R1033" s="44"/>
      <c r="S1033" s="44"/>
      <c r="T1033" s="44"/>
      <c r="U1033" s="44"/>
    </row>
    <row r="1034">
      <c r="F1034" s="62"/>
      <c r="H1034" s="40"/>
      <c r="I1034" s="42"/>
      <c r="J1034" s="42"/>
      <c r="K1034" s="63"/>
      <c r="L1034" s="63"/>
      <c r="M1034" s="63"/>
      <c r="Q1034" s="44"/>
      <c r="R1034" s="44"/>
      <c r="S1034" s="44"/>
      <c r="T1034" s="44"/>
      <c r="U1034" s="44"/>
    </row>
    <row r="1035">
      <c r="F1035" s="62"/>
      <c r="H1035" s="40"/>
      <c r="I1035" s="42"/>
      <c r="J1035" s="42"/>
      <c r="K1035" s="63"/>
      <c r="L1035" s="63"/>
      <c r="M1035" s="63"/>
      <c r="Q1035" s="44"/>
      <c r="R1035" s="44"/>
      <c r="S1035" s="44"/>
      <c r="T1035" s="44"/>
      <c r="U1035" s="44"/>
    </row>
    <row r="1036">
      <c r="F1036" s="62"/>
      <c r="H1036" s="40"/>
      <c r="I1036" s="42"/>
      <c r="J1036" s="42"/>
      <c r="K1036" s="63"/>
      <c r="L1036" s="63"/>
      <c r="M1036" s="63"/>
      <c r="Q1036" s="44"/>
      <c r="R1036" s="44"/>
      <c r="S1036" s="44"/>
      <c r="T1036" s="44"/>
      <c r="U1036" s="44"/>
    </row>
    <row r="1037">
      <c r="F1037" s="62"/>
      <c r="H1037" s="40"/>
      <c r="I1037" s="42"/>
      <c r="J1037" s="42"/>
      <c r="K1037" s="63"/>
      <c r="L1037" s="63"/>
      <c r="M1037" s="63"/>
      <c r="Q1037" s="44"/>
      <c r="R1037" s="44"/>
      <c r="S1037" s="44"/>
      <c r="T1037" s="44"/>
      <c r="U1037" s="44"/>
    </row>
    <row r="1038">
      <c r="F1038" s="62"/>
      <c r="H1038" s="40"/>
      <c r="I1038" s="42"/>
      <c r="J1038" s="42"/>
      <c r="K1038" s="63"/>
      <c r="L1038" s="63"/>
      <c r="M1038" s="63"/>
      <c r="Q1038" s="44"/>
      <c r="R1038" s="44"/>
      <c r="S1038" s="44"/>
      <c r="T1038" s="44"/>
      <c r="U1038" s="44"/>
    </row>
    <row r="1039">
      <c r="F1039" s="62"/>
      <c r="H1039" s="40"/>
      <c r="I1039" s="42"/>
      <c r="J1039" s="42"/>
      <c r="K1039" s="63"/>
      <c r="L1039" s="63"/>
      <c r="M1039" s="63"/>
      <c r="Q1039" s="44"/>
      <c r="R1039" s="44"/>
      <c r="S1039" s="44"/>
      <c r="T1039" s="44"/>
      <c r="U1039" s="44"/>
    </row>
    <row r="1040">
      <c r="F1040" s="62"/>
      <c r="H1040" s="40"/>
      <c r="I1040" s="42"/>
      <c r="J1040" s="42"/>
      <c r="K1040" s="63"/>
      <c r="L1040" s="63"/>
      <c r="M1040" s="63"/>
      <c r="Q1040" s="44"/>
      <c r="R1040" s="44"/>
      <c r="S1040" s="44"/>
      <c r="T1040" s="44"/>
      <c r="U1040" s="44"/>
    </row>
    <row r="1041">
      <c r="F1041" s="62"/>
      <c r="H1041" s="40"/>
      <c r="I1041" s="42"/>
      <c r="J1041" s="42"/>
      <c r="K1041" s="63"/>
      <c r="L1041" s="63"/>
      <c r="M1041" s="63"/>
      <c r="Q1041" s="44"/>
      <c r="R1041" s="44"/>
      <c r="S1041" s="44"/>
      <c r="T1041" s="44"/>
      <c r="U1041" s="44"/>
    </row>
    <row r="1042">
      <c r="F1042" s="62"/>
      <c r="H1042" s="40"/>
      <c r="I1042" s="42"/>
      <c r="J1042" s="42"/>
      <c r="K1042" s="63"/>
      <c r="L1042" s="63"/>
      <c r="M1042" s="63"/>
      <c r="Q1042" s="44"/>
      <c r="R1042" s="44"/>
      <c r="S1042" s="44"/>
      <c r="T1042" s="44"/>
      <c r="U1042" s="44"/>
    </row>
    <row r="1043">
      <c r="F1043" s="62"/>
      <c r="H1043" s="40"/>
      <c r="I1043" s="42"/>
      <c r="J1043" s="42"/>
      <c r="K1043" s="63"/>
      <c r="L1043" s="63"/>
      <c r="M1043" s="63"/>
      <c r="Q1043" s="44"/>
      <c r="R1043" s="44"/>
      <c r="S1043" s="44"/>
      <c r="T1043" s="44"/>
      <c r="U1043" s="44"/>
    </row>
    <row r="1044">
      <c r="F1044" s="62"/>
      <c r="H1044" s="40"/>
      <c r="I1044" s="42"/>
      <c r="J1044" s="42"/>
      <c r="K1044" s="63"/>
      <c r="L1044" s="63"/>
      <c r="M1044" s="63"/>
      <c r="Q1044" s="44"/>
      <c r="R1044" s="44"/>
      <c r="S1044" s="44"/>
      <c r="T1044" s="44"/>
      <c r="U1044" s="44"/>
    </row>
    <row r="1045">
      <c r="F1045" s="62"/>
      <c r="H1045" s="40"/>
      <c r="I1045" s="42"/>
      <c r="J1045" s="42"/>
      <c r="K1045" s="63"/>
      <c r="L1045" s="63"/>
      <c r="M1045" s="63"/>
      <c r="Q1045" s="44"/>
      <c r="R1045" s="44"/>
      <c r="S1045" s="44"/>
      <c r="T1045" s="44"/>
      <c r="U1045" s="44"/>
    </row>
    <row r="1046">
      <c r="F1046" s="62"/>
      <c r="H1046" s="40"/>
      <c r="I1046" s="42"/>
      <c r="J1046" s="42"/>
      <c r="K1046" s="63"/>
      <c r="L1046" s="63"/>
      <c r="M1046" s="63"/>
      <c r="Q1046" s="44"/>
      <c r="R1046" s="44"/>
      <c r="S1046" s="44"/>
      <c r="T1046" s="44"/>
      <c r="U1046" s="44"/>
    </row>
    <row r="1047">
      <c r="F1047" s="62"/>
      <c r="H1047" s="40"/>
      <c r="I1047" s="42"/>
      <c r="J1047" s="42"/>
      <c r="K1047" s="63"/>
      <c r="L1047" s="63"/>
      <c r="M1047" s="63"/>
      <c r="Q1047" s="44"/>
      <c r="R1047" s="44"/>
      <c r="S1047" s="44"/>
      <c r="T1047" s="44"/>
      <c r="U1047" s="44"/>
    </row>
    <row r="1048">
      <c r="F1048" s="62"/>
      <c r="H1048" s="40"/>
      <c r="I1048" s="42"/>
      <c r="J1048" s="42"/>
      <c r="K1048" s="63"/>
      <c r="L1048" s="63"/>
      <c r="M1048" s="63"/>
      <c r="Q1048" s="44"/>
      <c r="R1048" s="44"/>
      <c r="S1048" s="44"/>
      <c r="T1048" s="44"/>
      <c r="U1048" s="44"/>
    </row>
    <row r="1049">
      <c r="F1049" s="62"/>
      <c r="H1049" s="40"/>
      <c r="I1049" s="42"/>
      <c r="J1049" s="42"/>
      <c r="K1049" s="63"/>
      <c r="L1049" s="63"/>
      <c r="M1049" s="63"/>
      <c r="Q1049" s="44"/>
      <c r="R1049" s="44"/>
      <c r="S1049" s="44"/>
      <c r="T1049" s="44"/>
      <c r="U1049" s="44"/>
    </row>
    <row r="1050">
      <c r="F1050" s="62"/>
      <c r="H1050" s="40"/>
      <c r="I1050" s="42"/>
      <c r="J1050" s="42"/>
      <c r="K1050" s="63"/>
      <c r="L1050" s="63"/>
      <c r="M1050" s="63"/>
      <c r="Q1050" s="44"/>
      <c r="R1050" s="44"/>
      <c r="S1050" s="44"/>
      <c r="T1050" s="44"/>
      <c r="U1050" s="44"/>
    </row>
    <row r="1051">
      <c r="F1051" s="62"/>
      <c r="H1051" s="40"/>
      <c r="I1051" s="42"/>
      <c r="J1051" s="42"/>
      <c r="K1051" s="63"/>
      <c r="L1051" s="63"/>
      <c r="M1051" s="63"/>
      <c r="Q1051" s="44"/>
      <c r="R1051" s="44"/>
      <c r="S1051" s="44"/>
      <c r="T1051" s="44"/>
      <c r="U1051" s="44"/>
    </row>
    <row r="1052">
      <c r="F1052" s="62"/>
      <c r="H1052" s="40"/>
      <c r="I1052" s="42"/>
      <c r="J1052" s="42"/>
      <c r="K1052" s="63"/>
      <c r="L1052" s="63"/>
      <c r="M1052" s="63"/>
      <c r="Q1052" s="44"/>
      <c r="R1052" s="44"/>
      <c r="S1052" s="44"/>
      <c r="T1052" s="44"/>
      <c r="U1052" s="44"/>
    </row>
    <row r="1053">
      <c r="F1053" s="62"/>
      <c r="H1053" s="40"/>
      <c r="I1053" s="42"/>
      <c r="J1053" s="42"/>
      <c r="K1053" s="63"/>
      <c r="L1053" s="63"/>
      <c r="M1053" s="63"/>
      <c r="Q1053" s="44"/>
      <c r="R1053" s="44"/>
      <c r="S1053" s="44"/>
      <c r="T1053" s="44"/>
      <c r="U1053" s="44"/>
    </row>
    <row r="1054">
      <c r="F1054" s="62"/>
      <c r="H1054" s="40"/>
      <c r="I1054" s="42"/>
      <c r="J1054" s="42"/>
      <c r="K1054" s="63"/>
      <c r="L1054" s="63"/>
      <c r="M1054" s="63"/>
      <c r="Q1054" s="44"/>
      <c r="R1054" s="44"/>
      <c r="S1054" s="44"/>
      <c r="T1054" s="44"/>
      <c r="U1054" s="44"/>
    </row>
    <row r="1055">
      <c r="F1055" s="62"/>
      <c r="H1055" s="40"/>
      <c r="I1055" s="42"/>
      <c r="J1055" s="42"/>
      <c r="K1055" s="63"/>
      <c r="L1055" s="63"/>
      <c r="M1055" s="63"/>
      <c r="Q1055" s="44"/>
      <c r="R1055" s="44"/>
      <c r="S1055" s="44"/>
      <c r="T1055" s="44"/>
      <c r="U1055" s="44"/>
    </row>
    <row r="1056">
      <c r="F1056" s="62"/>
      <c r="H1056" s="40"/>
      <c r="I1056" s="42"/>
      <c r="J1056" s="42"/>
      <c r="K1056" s="63"/>
      <c r="L1056" s="63"/>
      <c r="M1056" s="63"/>
      <c r="Q1056" s="44"/>
      <c r="R1056" s="44"/>
      <c r="S1056" s="44"/>
      <c r="T1056" s="44"/>
      <c r="U1056" s="44"/>
    </row>
    <row r="1057">
      <c r="F1057" s="62"/>
      <c r="H1057" s="40"/>
      <c r="I1057" s="42"/>
      <c r="J1057" s="42"/>
      <c r="K1057" s="63"/>
      <c r="L1057" s="63"/>
      <c r="M1057" s="63"/>
      <c r="Q1057" s="44"/>
      <c r="R1057" s="44"/>
      <c r="S1057" s="44"/>
      <c r="T1057" s="44"/>
      <c r="U1057" s="44"/>
    </row>
    <row r="1058">
      <c r="F1058" s="62"/>
      <c r="H1058" s="40"/>
      <c r="I1058" s="42"/>
      <c r="J1058" s="42"/>
      <c r="K1058" s="63"/>
      <c r="L1058" s="63"/>
      <c r="M1058" s="63"/>
      <c r="Q1058" s="44"/>
      <c r="R1058" s="44"/>
      <c r="S1058" s="44"/>
      <c r="T1058" s="44"/>
      <c r="U1058" s="44"/>
    </row>
    <row r="1059">
      <c r="F1059" s="62"/>
      <c r="H1059" s="40"/>
      <c r="I1059" s="42"/>
      <c r="J1059" s="42"/>
      <c r="K1059" s="63"/>
      <c r="L1059" s="63"/>
      <c r="M1059" s="63"/>
      <c r="Q1059" s="44"/>
      <c r="R1059" s="44"/>
      <c r="S1059" s="44"/>
      <c r="T1059" s="44"/>
      <c r="U1059" s="44"/>
    </row>
    <row r="1060">
      <c r="F1060" s="62"/>
      <c r="H1060" s="40"/>
      <c r="I1060" s="42"/>
      <c r="J1060" s="42"/>
      <c r="K1060" s="63"/>
      <c r="L1060" s="63"/>
      <c r="M1060" s="63"/>
      <c r="Q1060" s="44"/>
      <c r="R1060" s="44"/>
      <c r="S1060" s="44"/>
      <c r="T1060" s="44"/>
      <c r="U1060" s="44"/>
    </row>
    <row r="1061">
      <c r="F1061" s="62"/>
      <c r="H1061" s="40"/>
      <c r="I1061" s="42"/>
      <c r="J1061" s="42"/>
      <c r="K1061" s="63"/>
      <c r="L1061" s="63"/>
      <c r="M1061" s="63"/>
      <c r="Q1061" s="44"/>
      <c r="R1061" s="44"/>
      <c r="S1061" s="44"/>
      <c r="T1061" s="44"/>
      <c r="U1061" s="44"/>
    </row>
    <row r="1062">
      <c r="F1062" s="62"/>
      <c r="H1062" s="40"/>
      <c r="I1062" s="42"/>
      <c r="J1062" s="42"/>
      <c r="K1062" s="63"/>
      <c r="L1062" s="63"/>
      <c r="M1062" s="63"/>
      <c r="Q1062" s="44"/>
      <c r="R1062" s="44"/>
      <c r="S1062" s="44"/>
      <c r="T1062" s="44"/>
      <c r="U1062" s="44"/>
    </row>
    <row r="1063">
      <c r="F1063" s="62"/>
      <c r="H1063" s="40"/>
      <c r="I1063" s="42"/>
      <c r="J1063" s="42"/>
      <c r="K1063" s="63"/>
      <c r="L1063" s="63"/>
      <c r="M1063" s="63"/>
      <c r="Q1063" s="44"/>
      <c r="R1063" s="44"/>
      <c r="S1063" s="44"/>
      <c r="T1063" s="44"/>
      <c r="U1063" s="44"/>
    </row>
    <row r="1064">
      <c r="F1064" s="62"/>
      <c r="H1064" s="40"/>
      <c r="I1064" s="42"/>
      <c r="J1064" s="42"/>
      <c r="K1064" s="63"/>
      <c r="L1064" s="63"/>
      <c r="M1064" s="63"/>
      <c r="Q1064" s="44"/>
      <c r="R1064" s="44"/>
      <c r="S1064" s="44"/>
      <c r="T1064" s="44"/>
      <c r="U1064" s="44"/>
    </row>
    <row r="1065">
      <c r="F1065" s="62"/>
      <c r="H1065" s="40"/>
      <c r="I1065" s="42"/>
      <c r="J1065" s="42"/>
      <c r="K1065" s="63"/>
      <c r="L1065" s="63"/>
      <c r="M1065" s="63"/>
      <c r="Q1065" s="44"/>
      <c r="R1065" s="44"/>
      <c r="S1065" s="44"/>
      <c r="T1065" s="44"/>
      <c r="U1065" s="44"/>
    </row>
    <row r="1066">
      <c r="F1066" s="62"/>
      <c r="H1066" s="40"/>
      <c r="I1066" s="42"/>
      <c r="J1066" s="42"/>
      <c r="K1066" s="63"/>
      <c r="L1066" s="63"/>
      <c r="M1066" s="63"/>
      <c r="Q1066" s="44"/>
      <c r="R1066" s="44"/>
      <c r="S1066" s="44"/>
      <c r="T1066" s="44"/>
      <c r="U1066" s="44"/>
    </row>
    <row r="1067">
      <c r="F1067" s="62"/>
      <c r="H1067" s="40"/>
      <c r="I1067" s="42"/>
      <c r="J1067" s="42"/>
      <c r="K1067" s="63"/>
      <c r="L1067" s="63"/>
      <c r="M1067" s="63"/>
      <c r="Q1067" s="44"/>
      <c r="R1067" s="44"/>
      <c r="S1067" s="44"/>
      <c r="T1067" s="44"/>
      <c r="U1067" s="44"/>
    </row>
    <row r="1068">
      <c r="F1068" s="62"/>
      <c r="H1068" s="40"/>
      <c r="I1068" s="42"/>
      <c r="J1068" s="42"/>
      <c r="K1068" s="63"/>
      <c r="L1068" s="63"/>
      <c r="M1068" s="63"/>
      <c r="Q1068" s="44"/>
      <c r="R1068" s="44"/>
      <c r="S1068" s="44"/>
      <c r="T1068" s="44"/>
      <c r="U1068" s="44"/>
    </row>
    <row r="1069">
      <c r="F1069" s="62"/>
      <c r="H1069" s="40"/>
      <c r="I1069" s="42"/>
      <c r="J1069" s="42"/>
      <c r="K1069" s="63"/>
      <c r="L1069" s="63"/>
      <c r="M1069" s="63"/>
      <c r="Q1069" s="44"/>
      <c r="R1069" s="44"/>
      <c r="S1069" s="44"/>
      <c r="T1069" s="44"/>
      <c r="U1069" s="44"/>
    </row>
    <row r="1070">
      <c r="F1070" s="62"/>
      <c r="H1070" s="40"/>
      <c r="I1070" s="42"/>
      <c r="J1070" s="42"/>
      <c r="K1070" s="63"/>
      <c r="L1070" s="63"/>
      <c r="M1070" s="63"/>
      <c r="Q1070" s="44"/>
      <c r="R1070" s="44"/>
      <c r="S1070" s="44"/>
      <c r="T1070" s="44"/>
      <c r="U1070" s="44"/>
    </row>
    <row r="1071">
      <c r="F1071" s="62"/>
      <c r="H1071" s="40"/>
      <c r="I1071" s="42"/>
      <c r="J1071" s="42"/>
      <c r="K1071" s="63"/>
      <c r="L1071" s="63"/>
      <c r="M1071" s="63"/>
      <c r="Q1071" s="44"/>
      <c r="R1071" s="44"/>
      <c r="S1071" s="44"/>
      <c r="T1071" s="44"/>
      <c r="U1071" s="44"/>
    </row>
    <row r="1072">
      <c r="F1072" s="62"/>
      <c r="H1072" s="40"/>
      <c r="I1072" s="42"/>
      <c r="J1072" s="42"/>
      <c r="K1072" s="63"/>
      <c r="L1072" s="63"/>
      <c r="M1072" s="63"/>
      <c r="Q1072" s="44"/>
      <c r="R1072" s="44"/>
      <c r="S1072" s="44"/>
      <c r="T1072" s="44"/>
      <c r="U1072" s="44"/>
    </row>
    <row r="1073">
      <c r="F1073" s="62"/>
      <c r="H1073" s="40"/>
      <c r="I1073" s="42"/>
      <c r="J1073" s="42"/>
      <c r="K1073" s="63"/>
      <c r="L1073" s="63"/>
      <c r="M1073" s="63"/>
      <c r="Q1073" s="44"/>
      <c r="R1073" s="44"/>
      <c r="S1073" s="44"/>
      <c r="T1073" s="44"/>
      <c r="U1073" s="44"/>
    </row>
    <row r="1074">
      <c r="F1074" s="62"/>
      <c r="H1074" s="40"/>
      <c r="I1074" s="42"/>
      <c r="J1074" s="42"/>
      <c r="K1074" s="63"/>
      <c r="L1074" s="63"/>
      <c r="M1074" s="63"/>
      <c r="Q1074" s="44"/>
      <c r="R1074" s="44"/>
      <c r="S1074" s="44"/>
      <c r="T1074" s="44"/>
      <c r="U1074" s="44"/>
    </row>
    <row r="1075">
      <c r="F1075" s="62"/>
      <c r="H1075" s="40"/>
      <c r="I1075" s="42"/>
      <c r="J1075" s="42"/>
      <c r="K1075" s="63"/>
      <c r="L1075" s="63"/>
      <c r="M1075" s="63"/>
      <c r="Q1075" s="44"/>
      <c r="R1075" s="44"/>
      <c r="S1075" s="44"/>
      <c r="T1075" s="44"/>
      <c r="U1075" s="44"/>
    </row>
    <row r="1076">
      <c r="F1076" s="62"/>
      <c r="H1076" s="40"/>
      <c r="I1076" s="42"/>
      <c r="J1076" s="42"/>
      <c r="K1076" s="63"/>
      <c r="L1076" s="63"/>
      <c r="M1076" s="63"/>
      <c r="Q1076" s="44"/>
      <c r="R1076" s="44"/>
      <c r="S1076" s="44"/>
      <c r="T1076" s="44"/>
      <c r="U1076" s="44"/>
    </row>
    <row r="1077">
      <c r="F1077" s="62"/>
      <c r="H1077" s="40"/>
      <c r="I1077" s="42"/>
      <c r="J1077" s="42"/>
      <c r="K1077" s="63"/>
      <c r="L1077" s="63"/>
      <c r="M1077" s="63"/>
      <c r="Q1077" s="44"/>
      <c r="R1077" s="44"/>
      <c r="S1077" s="44"/>
      <c r="T1077" s="44"/>
      <c r="U1077" s="44"/>
    </row>
    <row r="1078">
      <c r="F1078" s="62"/>
      <c r="H1078" s="40"/>
      <c r="I1078" s="42"/>
      <c r="J1078" s="42"/>
      <c r="K1078" s="63"/>
      <c r="L1078" s="63"/>
      <c r="M1078" s="63"/>
      <c r="Q1078" s="44"/>
      <c r="R1078" s="44"/>
      <c r="S1078" s="44"/>
      <c r="T1078" s="44"/>
      <c r="U1078" s="44"/>
    </row>
    <row r="1079">
      <c r="F1079" s="62"/>
      <c r="H1079" s="40"/>
      <c r="I1079" s="42"/>
      <c r="J1079" s="42"/>
      <c r="K1079" s="63"/>
      <c r="L1079" s="63"/>
      <c r="M1079" s="63"/>
      <c r="Q1079" s="44"/>
      <c r="R1079" s="44"/>
      <c r="S1079" s="44"/>
      <c r="T1079" s="44"/>
      <c r="U1079" s="44"/>
    </row>
    <row r="1080">
      <c r="F1080" s="62"/>
      <c r="H1080" s="40"/>
      <c r="I1080" s="42"/>
      <c r="J1080" s="42"/>
      <c r="K1080" s="63"/>
      <c r="L1080" s="63"/>
      <c r="M1080" s="63"/>
      <c r="Q1080" s="44"/>
      <c r="R1080" s="44"/>
      <c r="S1080" s="44"/>
      <c r="T1080" s="44"/>
      <c r="U1080" s="44"/>
    </row>
    <row r="1081">
      <c r="F1081" s="62"/>
      <c r="H1081" s="40"/>
      <c r="I1081" s="42"/>
      <c r="J1081" s="42"/>
      <c r="K1081" s="63"/>
      <c r="L1081" s="63"/>
      <c r="M1081" s="63"/>
      <c r="Q1081" s="44"/>
      <c r="R1081" s="44"/>
      <c r="S1081" s="44"/>
      <c r="T1081" s="44"/>
      <c r="U1081" s="44"/>
    </row>
    <row r="1082">
      <c r="F1082" s="62"/>
      <c r="H1082" s="40"/>
      <c r="I1082" s="42"/>
      <c r="J1082" s="42"/>
      <c r="K1082" s="63"/>
      <c r="L1082" s="63"/>
      <c r="M1082" s="63"/>
      <c r="Q1082" s="44"/>
      <c r="R1082" s="44"/>
      <c r="S1082" s="44"/>
      <c r="T1082" s="44"/>
      <c r="U1082" s="44"/>
    </row>
    <row r="1083">
      <c r="F1083" s="62"/>
      <c r="H1083" s="40"/>
      <c r="I1083" s="42"/>
      <c r="J1083" s="42"/>
      <c r="K1083" s="63"/>
      <c r="L1083" s="63"/>
      <c r="M1083" s="63"/>
      <c r="Q1083" s="44"/>
      <c r="R1083" s="44"/>
      <c r="S1083" s="44"/>
      <c r="T1083" s="44"/>
      <c r="U1083" s="44"/>
    </row>
    <row r="1084">
      <c r="F1084" s="62"/>
      <c r="H1084" s="40"/>
      <c r="I1084" s="42"/>
      <c r="J1084" s="42"/>
      <c r="K1084" s="63"/>
      <c r="L1084" s="63"/>
      <c r="M1084" s="63"/>
      <c r="Q1084" s="44"/>
      <c r="R1084" s="44"/>
      <c r="S1084" s="44"/>
      <c r="T1084" s="44"/>
      <c r="U1084" s="44"/>
    </row>
    <row r="1085">
      <c r="F1085" s="62"/>
      <c r="H1085" s="40"/>
      <c r="I1085" s="42"/>
      <c r="J1085" s="42"/>
      <c r="K1085" s="63"/>
      <c r="L1085" s="63"/>
      <c r="M1085" s="63"/>
      <c r="Q1085" s="44"/>
      <c r="R1085" s="44"/>
      <c r="S1085" s="44"/>
      <c r="T1085" s="44"/>
      <c r="U1085" s="44"/>
    </row>
    <row r="1086">
      <c r="F1086" s="62"/>
      <c r="H1086" s="40"/>
      <c r="I1086" s="42"/>
      <c r="J1086" s="42"/>
      <c r="K1086" s="63"/>
      <c r="L1086" s="63"/>
      <c r="M1086" s="63"/>
      <c r="Q1086" s="44"/>
      <c r="R1086" s="44"/>
      <c r="S1086" s="44"/>
      <c r="T1086" s="44"/>
      <c r="U1086" s="44"/>
    </row>
    <row r="1087">
      <c r="F1087" s="62"/>
      <c r="H1087" s="40"/>
      <c r="I1087" s="42"/>
      <c r="J1087" s="42"/>
      <c r="K1087" s="63"/>
      <c r="L1087" s="63"/>
      <c r="M1087" s="63"/>
      <c r="Q1087" s="44"/>
      <c r="R1087" s="44"/>
      <c r="S1087" s="44"/>
      <c r="T1087" s="44"/>
      <c r="U1087" s="44"/>
    </row>
    <row r="1088">
      <c r="F1088" s="62"/>
      <c r="H1088" s="40"/>
      <c r="I1088" s="42"/>
      <c r="J1088" s="42"/>
      <c r="K1088" s="63"/>
      <c r="L1088" s="63"/>
      <c r="M1088" s="63"/>
      <c r="Q1088" s="44"/>
      <c r="R1088" s="44"/>
      <c r="S1088" s="44"/>
      <c r="T1088" s="44"/>
      <c r="U1088" s="44"/>
    </row>
    <row r="1089">
      <c r="F1089" s="62"/>
      <c r="H1089" s="40"/>
      <c r="I1089" s="42"/>
      <c r="J1089" s="42"/>
      <c r="K1089" s="63"/>
      <c r="L1089" s="63"/>
      <c r="M1089" s="63"/>
      <c r="Q1089" s="44"/>
      <c r="R1089" s="44"/>
      <c r="S1089" s="44"/>
      <c r="T1089" s="44"/>
      <c r="U1089" s="44"/>
    </row>
    <row r="1090">
      <c r="F1090" s="62"/>
      <c r="H1090" s="40"/>
      <c r="I1090" s="42"/>
      <c r="J1090" s="42"/>
      <c r="K1090" s="63"/>
      <c r="L1090" s="63"/>
      <c r="M1090" s="63"/>
      <c r="Q1090" s="44"/>
      <c r="R1090" s="44"/>
      <c r="S1090" s="44"/>
      <c r="T1090" s="44"/>
      <c r="U1090" s="44"/>
    </row>
    <row r="1091">
      <c r="F1091" s="62"/>
      <c r="H1091" s="40"/>
      <c r="I1091" s="42"/>
      <c r="J1091" s="42"/>
      <c r="K1091" s="63"/>
      <c r="L1091" s="63"/>
      <c r="M1091" s="63"/>
      <c r="Q1091" s="44"/>
      <c r="R1091" s="44"/>
      <c r="S1091" s="44"/>
      <c r="T1091" s="44"/>
      <c r="U1091" s="44"/>
    </row>
    <row r="1092">
      <c r="F1092" s="62"/>
      <c r="H1092" s="40"/>
      <c r="I1092" s="42"/>
      <c r="J1092" s="42"/>
      <c r="K1092" s="63"/>
      <c r="L1092" s="63"/>
      <c r="M1092" s="63"/>
      <c r="Q1092" s="44"/>
      <c r="R1092" s="44"/>
      <c r="S1092" s="44"/>
      <c r="T1092" s="44"/>
      <c r="U1092" s="44"/>
    </row>
    <row r="1093">
      <c r="F1093" s="62"/>
      <c r="H1093" s="40"/>
      <c r="I1093" s="42"/>
      <c r="J1093" s="42"/>
      <c r="K1093" s="63"/>
      <c r="L1093" s="63"/>
      <c r="M1093" s="63"/>
      <c r="Q1093" s="44"/>
      <c r="R1093" s="44"/>
      <c r="S1093" s="44"/>
      <c r="T1093" s="44"/>
      <c r="U1093" s="44"/>
    </row>
    <row r="1094">
      <c r="F1094" s="62"/>
      <c r="H1094" s="40"/>
      <c r="I1094" s="42"/>
      <c r="J1094" s="42"/>
      <c r="K1094" s="63"/>
      <c r="L1094" s="63"/>
      <c r="M1094" s="63"/>
      <c r="Q1094" s="44"/>
      <c r="R1094" s="44"/>
      <c r="S1094" s="44"/>
      <c r="T1094" s="44"/>
      <c r="U1094" s="44"/>
    </row>
    <row r="1095">
      <c r="F1095" s="62"/>
      <c r="H1095" s="40"/>
      <c r="I1095" s="42"/>
      <c r="J1095" s="42"/>
      <c r="K1095" s="63"/>
      <c r="L1095" s="63"/>
      <c r="M1095" s="63"/>
      <c r="Q1095" s="44"/>
      <c r="R1095" s="44"/>
      <c r="S1095" s="44"/>
      <c r="T1095" s="44"/>
      <c r="U1095" s="44"/>
    </row>
    <row r="1096">
      <c r="F1096" s="62"/>
      <c r="H1096" s="40"/>
      <c r="I1096" s="42"/>
      <c r="J1096" s="42"/>
      <c r="K1096" s="63"/>
      <c r="L1096" s="63"/>
      <c r="M1096" s="63"/>
      <c r="Q1096" s="44"/>
      <c r="R1096" s="44"/>
      <c r="S1096" s="44"/>
      <c r="T1096" s="44"/>
      <c r="U1096" s="44"/>
    </row>
    <row r="1097">
      <c r="F1097" s="62"/>
      <c r="H1097" s="40"/>
      <c r="I1097" s="42"/>
      <c r="J1097" s="42"/>
      <c r="K1097" s="63"/>
      <c r="L1097" s="63"/>
      <c r="M1097" s="63"/>
      <c r="Q1097" s="44"/>
      <c r="R1097" s="44"/>
      <c r="S1097" s="44"/>
      <c r="T1097" s="44"/>
      <c r="U1097" s="44"/>
    </row>
    <row r="1098">
      <c r="F1098" s="62"/>
      <c r="H1098" s="40"/>
      <c r="I1098" s="42"/>
      <c r="J1098" s="42"/>
      <c r="K1098" s="63"/>
      <c r="L1098" s="63"/>
      <c r="M1098" s="63"/>
      <c r="Q1098" s="44"/>
      <c r="R1098" s="44"/>
      <c r="S1098" s="44"/>
      <c r="T1098" s="44"/>
      <c r="U1098" s="44"/>
    </row>
    <row r="1099">
      <c r="F1099" s="62"/>
      <c r="H1099" s="40"/>
      <c r="I1099" s="42"/>
      <c r="J1099" s="42"/>
      <c r="K1099" s="63"/>
      <c r="L1099" s="63"/>
      <c r="M1099" s="63"/>
      <c r="Q1099" s="44"/>
      <c r="R1099" s="44"/>
      <c r="S1099" s="44"/>
      <c r="T1099" s="44"/>
      <c r="U1099" s="44"/>
    </row>
    <row r="1100">
      <c r="F1100" s="62"/>
      <c r="H1100" s="40"/>
      <c r="I1100" s="42"/>
      <c r="J1100" s="42"/>
      <c r="K1100" s="63"/>
      <c r="L1100" s="63"/>
      <c r="M1100" s="63"/>
      <c r="Q1100" s="44"/>
      <c r="R1100" s="44"/>
      <c r="S1100" s="44"/>
      <c r="T1100" s="44"/>
      <c r="U1100" s="44"/>
    </row>
    <row r="1101">
      <c r="F1101" s="62"/>
      <c r="H1101" s="40"/>
      <c r="I1101" s="42"/>
      <c r="J1101" s="42"/>
      <c r="K1101" s="63"/>
      <c r="L1101" s="63"/>
      <c r="M1101" s="63"/>
      <c r="Q1101" s="44"/>
      <c r="R1101" s="44"/>
      <c r="S1101" s="44"/>
      <c r="T1101" s="44"/>
      <c r="U1101" s="44"/>
    </row>
    <row r="1102">
      <c r="F1102" s="62"/>
      <c r="H1102" s="40"/>
      <c r="I1102" s="42"/>
      <c r="J1102" s="42"/>
      <c r="K1102" s="63"/>
      <c r="L1102" s="63"/>
      <c r="M1102" s="63"/>
      <c r="Q1102" s="44"/>
      <c r="R1102" s="44"/>
      <c r="S1102" s="44"/>
      <c r="T1102" s="44"/>
      <c r="U1102" s="44"/>
    </row>
    <row r="1103">
      <c r="F1103" s="62"/>
      <c r="H1103" s="40"/>
      <c r="I1103" s="42"/>
      <c r="J1103" s="42"/>
      <c r="K1103" s="63"/>
      <c r="L1103" s="63"/>
      <c r="M1103" s="63"/>
      <c r="Q1103" s="44"/>
      <c r="R1103" s="44"/>
      <c r="S1103" s="44"/>
      <c r="T1103" s="44"/>
      <c r="U1103" s="44"/>
    </row>
    <row r="1104">
      <c r="F1104" s="62"/>
      <c r="H1104" s="40"/>
      <c r="I1104" s="42"/>
      <c r="J1104" s="42"/>
      <c r="K1104" s="63"/>
      <c r="L1104" s="63"/>
      <c r="M1104" s="63"/>
      <c r="Q1104" s="44"/>
      <c r="R1104" s="44"/>
      <c r="S1104" s="44"/>
      <c r="T1104" s="44"/>
      <c r="U1104" s="44"/>
    </row>
    <row r="1105">
      <c r="F1105" s="62"/>
      <c r="H1105" s="40"/>
      <c r="I1105" s="42"/>
      <c r="J1105" s="42"/>
      <c r="K1105" s="63"/>
      <c r="L1105" s="63"/>
      <c r="M1105" s="63"/>
      <c r="Q1105" s="44"/>
      <c r="R1105" s="44"/>
      <c r="S1105" s="44"/>
      <c r="T1105" s="44"/>
      <c r="U1105" s="44"/>
    </row>
    <row r="1106">
      <c r="F1106" s="62"/>
      <c r="H1106" s="40"/>
      <c r="I1106" s="42"/>
      <c r="J1106" s="42"/>
      <c r="K1106" s="63"/>
      <c r="L1106" s="63"/>
      <c r="M1106" s="63"/>
      <c r="Q1106" s="44"/>
      <c r="R1106" s="44"/>
      <c r="S1106" s="44"/>
      <c r="T1106" s="44"/>
      <c r="U1106" s="44"/>
    </row>
    <row r="1107">
      <c r="F1107" s="62"/>
      <c r="H1107" s="40"/>
      <c r="I1107" s="42"/>
      <c r="J1107" s="42"/>
      <c r="K1107" s="63"/>
      <c r="L1107" s="63"/>
      <c r="M1107" s="63"/>
      <c r="Q1107" s="44"/>
      <c r="R1107" s="44"/>
      <c r="S1107" s="44"/>
      <c r="T1107" s="44"/>
      <c r="U1107" s="44"/>
    </row>
    <row r="1108">
      <c r="F1108" s="62"/>
      <c r="H1108" s="40"/>
      <c r="I1108" s="42"/>
      <c r="J1108" s="42"/>
      <c r="K1108" s="63"/>
      <c r="L1108" s="63"/>
      <c r="M1108" s="63"/>
      <c r="Q1108" s="44"/>
      <c r="R1108" s="44"/>
      <c r="S1108" s="44"/>
      <c r="T1108" s="44"/>
      <c r="U1108" s="44"/>
    </row>
    <row r="1109">
      <c r="F1109" s="62"/>
      <c r="H1109" s="40"/>
      <c r="I1109" s="42"/>
      <c r="J1109" s="42"/>
      <c r="K1109" s="63"/>
      <c r="L1109" s="63"/>
      <c r="M1109" s="63"/>
      <c r="Q1109" s="44"/>
      <c r="R1109" s="44"/>
      <c r="S1109" s="44"/>
      <c r="T1109" s="44"/>
      <c r="U1109" s="44"/>
    </row>
    <row r="1110">
      <c r="F1110" s="62"/>
      <c r="H1110" s="40"/>
      <c r="I1110" s="42"/>
      <c r="J1110" s="42"/>
      <c r="K1110" s="63"/>
      <c r="L1110" s="63"/>
      <c r="M1110" s="63"/>
      <c r="Q1110" s="44"/>
      <c r="R1110" s="44"/>
      <c r="S1110" s="44"/>
      <c r="T1110" s="44"/>
      <c r="U1110" s="44"/>
    </row>
    <row r="1111">
      <c r="F1111" s="62"/>
      <c r="H1111" s="40"/>
      <c r="I1111" s="42"/>
      <c r="J1111" s="42"/>
      <c r="K1111" s="63"/>
      <c r="L1111" s="63"/>
      <c r="M1111" s="63"/>
      <c r="Q1111" s="44"/>
      <c r="R1111" s="44"/>
      <c r="S1111" s="44"/>
      <c r="T1111" s="44"/>
      <c r="U1111" s="44"/>
    </row>
    <row r="1112">
      <c r="F1112" s="62"/>
      <c r="H1112" s="40"/>
      <c r="I1112" s="42"/>
      <c r="J1112" s="42"/>
      <c r="K1112" s="63"/>
      <c r="L1112" s="63"/>
      <c r="M1112" s="63"/>
      <c r="Q1112" s="44"/>
      <c r="R1112" s="44"/>
      <c r="S1112" s="44"/>
      <c r="T1112" s="44"/>
      <c r="U1112" s="44"/>
    </row>
    <row r="1113">
      <c r="F1113" s="62"/>
      <c r="H1113" s="40"/>
      <c r="I1113" s="42"/>
      <c r="J1113" s="42"/>
      <c r="K1113" s="63"/>
      <c r="L1113" s="63"/>
      <c r="M1113" s="63"/>
      <c r="Q1113" s="44"/>
      <c r="R1113" s="44"/>
      <c r="S1113" s="44"/>
      <c r="T1113" s="44"/>
      <c r="U1113" s="44"/>
    </row>
    <row r="1114">
      <c r="F1114" s="62"/>
      <c r="H1114" s="40"/>
      <c r="I1114" s="42"/>
      <c r="J1114" s="42"/>
      <c r="K1114" s="63"/>
      <c r="L1114" s="63"/>
      <c r="M1114" s="63"/>
      <c r="Q1114" s="44"/>
      <c r="R1114" s="44"/>
      <c r="S1114" s="44"/>
      <c r="T1114" s="44"/>
      <c r="U1114" s="44"/>
    </row>
    <row r="1115">
      <c r="F1115" s="62"/>
      <c r="H1115" s="40"/>
      <c r="I1115" s="42"/>
      <c r="J1115" s="42"/>
      <c r="K1115" s="63"/>
      <c r="L1115" s="63"/>
      <c r="M1115" s="63"/>
      <c r="Q1115" s="44"/>
      <c r="R1115" s="44"/>
      <c r="S1115" s="44"/>
      <c r="T1115" s="44"/>
      <c r="U1115" s="44"/>
    </row>
    <row r="1116">
      <c r="F1116" s="62"/>
      <c r="H1116" s="40"/>
      <c r="I1116" s="42"/>
      <c r="J1116" s="42"/>
      <c r="K1116" s="63"/>
      <c r="L1116" s="63"/>
      <c r="M1116" s="63"/>
      <c r="Q1116" s="44"/>
      <c r="R1116" s="44"/>
      <c r="S1116" s="44"/>
      <c r="T1116" s="44"/>
      <c r="U1116" s="44"/>
    </row>
    <row r="1117">
      <c r="F1117" s="62"/>
      <c r="H1117" s="40"/>
      <c r="I1117" s="42"/>
      <c r="J1117" s="42"/>
      <c r="K1117" s="63"/>
      <c r="L1117" s="63"/>
      <c r="M1117" s="63"/>
      <c r="Q1117" s="44"/>
      <c r="R1117" s="44"/>
      <c r="S1117" s="44"/>
      <c r="T1117" s="44"/>
      <c r="U1117" s="44"/>
    </row>
    <row r="1118">
      <c r="F1118" s="62"/>
      <c r="H1118" s="40"/>
      <c r="I1118" s="42"/>
      <c r="J1118" s="42"/>
      <c r="K1118" s="63"/>
      <c r="L1118" s="63"/>
      <c r="M1118" s="63"/>
      <c r="Q1118" s="44"/>
      <c r="R1118" s="44"/>
      <c r="S1118" s="44"/>
      <c r="T1118" s="44"/>
      <c r="U1118" s="44"/>
    </row>
    <row r="1119">
      <c r="F1119" s="62"/>
      <c r="H1119" s="40"/>
      <c r="I1119" s="42"/>
      <c r="J1119" s="42"/>
      <c r="K1119" s="63"/>
      <c r="L1119" s="63"/>
      <c r="M1119" s="63"/>
      <c r="Q1119" s="44"/>
      <c r="R1119" s="44"/>
      <c r="S1119" s="44"/>
      <c r="T1119" s="44"/>
      <c r="U1119" s="44"/>
    </row>
    <row r="1120">
      <c r="F1120" s="62"/>
      <c r="H1120" s="40"/>
      <c r="I1120" s="42"/>
      <c r="J1120" s="42"/>
      <c r="K1120" s="63"/>
      <c r="L1120" s="63"/>
      <c r="M1120" s="63"/>
      <c r="Q1120" s="44"/>
      <c r="R1120" s="44"/>
      <c r="S1120" s="44"/>
      <c r="T1120" s="44"/>
      <c r="U1120" s="44"/>
    </row>
    <row r="1121">
      <c r="F1121" s="62"/>
      <c r="H1121" s="40"/>
      <c r="I1121" s="42"/>
      <c r="J1121" s="42"/>
      <c r="K1121" s="63"/>
      <c r="L1121" s="63"/>
      <c r="M1121" s="63"/>
      <c r="Q1121" s="44"/>
      <c r="R1121" s="44"/>
      <c r="S1121" s="44"/>
      <c r="T1121" s="44"/>
      <c r="U1121" s="44"/>
    </row>
    <row r="1122">
      <c r="F1122" s="62"/>
      <c r="H1122" s="40"/>
      <c r="I1122" s="42"/>
      <c r="J1122" s="42"/>
      <c r="K1122" s="63"/>
      <c r="L1122" s="63"/>
      <c r="M1122" s="63"/>
      <c r="Q1122" s="44"/>
      <c r="R1122" s="44"/>
      <c r="S1122" s="44"/>
      <c r="T1122" s="44"/>
      <c r="U1122" s="44"/>
    </row>
    <row r="1123">
      <c r="F1123" s="62"/>
      <c r="H1123" s="40"/>
      <c r="I1123" s="42"/>
      <c r="J1123" s="42"/>
      <c r="K1123" s="63"/>
      <c r="L1123" s="63"/>
      <c r="M1123" s="63"/>
      <c r="Q1123" s="44"/>
      <c r="R1123" s="44"/>
      <c r="S1123" s="44"/>
      <c r="T1123" s="44"/>
      <c r="U1123" s="44"/>
    </row>
    <row r="1124">
      <c r="F1124" s="62"/>
      <c r="H1124" s="40"/>
      <c r="I1124" s="42"/>
      <c r="J1124" s="42"/>
      <c r="K1124" s="63"/>
      <c r="L1124" s="63"/>
      <c r="M1124" s="63"/>
      <c r="Q1124" s="44"/>
      <c r="R1124" s="44"/>
      <c r="S1124" s="44"/>
      <c r="T1124" s="44"/>
      <c r="U1124" s="44"/>
    </row>
    <row r="1125">
      <c r="F1125" s="62"/>
      <c r="H1125" s="40"/>
      <c r="I1125" s="42"/>
      <c r="J1125" s="42"/>
      <c r="K1125" s="63"/>
      <c r="L1125" s="63"/>
      <c r="M1125" s="63"/>
      <c r="Q1125" s="44"/>
      <c r="R1125" s="44"/>
      <c r="S1125" s="44"/>
      <c r="T1125" s="44"/>
      <c r="U1125" s="44"/>
    </row>
    <row r="1126">
      <c r="F1126" s="62"/>
      <c r="H1126" s="40"/>
      <c r="I1126" s="42"/>
      <c r="J1126" s="42"/>
      <c r="K1126" s="63"/>
      <c r="L1126" s="63"/>
      <c r="M1126" s="63"/>
      <c r="Q1126" s="44"/>
      <c r="R1126" s="44"/>
      <c r="S1126" s="44"/>
      <c r="T1126" s="44"/>
      <c r="U1126" s="44"/>
    </row>
    <row r="1127">
      <c r="F1127" s="62"/>
      <c r="H1127" s="40"/>
      <c r="I1127" s="42"/>
      <c r="J1127" s="42"/>
      <c r="K1127" s="63"/>
      <c r="L1127" s="63"/>
      <c r="M1127" s="63"/>
      <c r="Q1127" s="44"/>
      <c r="R1127" s="44"/>
      <c r="S1127" s="44"/>
      <c r="T1127" s="44"/>
      <c r="U1127" s="44"/>
    </row>
    <row r="1128">
      <c r="F1128" s="62"/>
      <c r="H1128" s="40"/>
      <c r="I1128" s="42"/>
      <c r="J1128" s="42"/>
      <c r="K1128" s="63"/>
      <c r="L1128" s="63"/>
      <c r="M1128" s="63"/>
      <c r="Q1128" s="44"/>
      <c r="R1128" s="44"/>
      <c r="S1128" s="44"/>
      <c r="T1128" s="44"/>
      <c r="U1128" s="44"/>
    </row>
    <row r="1129">
      <c r="F1129" s="62"/>
      <c r="H1129" s="40"/>
      <c r="I1129" s="42"/>
      <c r="J1129" s="42"/>
      <c r="K1129" s="63"/>
      <c r="L1129" s="63"/>
      <c r="M1129" s="63"/>
      <c r="Q1129" s="44"/>
      <c r="R1129" s="44"/>
      <c r="S1129" s="44"/>
      <c r="T1129" s="44"/>
      <c r="U1129" s="44"/>
    </row>
    <row r="1130">
      <c r="F1130" s="62"/>
      <c r="H1130" s="40"/>
      <c r="I1130" s="42"/>
      <c r="J1130" s="42"/>
      <c r="K1130" s="63"/>
      <c r="L1130" s="63"/>
      <c r="M1130" s="63"/>
      <c r="Q1130" s="44"/>
      <c r="R1130" s="44"/>
      <c r="S1130" s="44"/>
      <c r="T1130" s="44"/>
      <c r="U1130" s="44"/>
    </row>
    <row r="1131">
      <c r="F1131" s="62"/>
      <c r="H1131" s="40"/>
      <c r="I1131" s="42"/>
      <c r="J1131" s="42"/>
      <c r="K1131" s="63"/>
      <c r="L1131" s="63"/>
      <c r="M1131" s="63"/>
      <c r="Q1131" s="44"/>
      <c r="R1131" s="44"/>
      <c r="S1131" s="44"/>
      <c r="T1131" s="44"/>
      <c r="U1131" s="44"/>
    </row>
    <row r="1132">
      <c r="F1132" s="62"/>
      <c r="H1132" s="40"/>
      <c r="I1132" s="42"/>
      <c r="J1132" s="42"/>
      <c r="K1132" s="63"/>
      <c r="L1132" s="63"/>
      <c r="M1132" s="63"/>
      <c r="Q1132" s="44"/>
      <c r="R1132" s="44"/>
      <c r="S1132" s="44"/>
      <c r="T1132" s="44"/>
      <c r="U1132" s="44"/>
    </row>
    <row r="1133">
      <c r="F1133" s="62"/>
      <c r="H1133" s="40"/>
      <c r="I1133" s="42"/>
      <c r="J1133" s="42"/>
      <c r="K1133" s="63"/>
      <c r="L1133" s="63"/>
      <c r="M1133" s="63"/>
      <c r="Q1133" s="44"/>
      <c r="R1133" s="44"/>
      <c r="S1133" s="44"/>
      <c r="T1133" s="44"/>
      <c r="U1133" s="44"/>
    </row>
    <row r="1134">
      <c r="F1134" s="62"/>
      <c r="H1134" s="40"/>
      <c r="I1134" s="42"/>
      <c r="J1134" s="42"/>
      <c r="K1134" s="63"/>
      <c r="L1134" s="63"/>
      <c r="M1134" s="63"/>
      <c r="Q1134" s="44"/>
      <c r="R1134" s="44"/>
      <c r="S1134" s="44"/>
      <c r="T1134" s="44"/>
      <c r="U1134" s="44"/>
    </row>
    <row r="1135">
      <c r="F1135" s="62"/>
      <c r="H1135" s="40"/>
      <c r="I1135" s="42"/>
      <c r="J1135" s="42"/>
      <c r="K1135" s="63"/>
      <c r="L1135" s="63"/>
      <c r="M1135" s="63"/>
      <c r="Q1135" s="44"/>
      <c r="R1135" s="44"/>
      <c r="S1135" s="44"/>
      <c r="T1135" s="44"/>
      <c r="U1135" s="44"/>
    </row>
    <row r="1136">
      <c r="F1136" s="62"/>
      <c r="H1136" s="40"/>
      <c r="I1136" s="42"/>
      <c r="J1136" s="42"/>
      <c r="K1136" s="63"/>
      <c r="L1136" s="63"/>
      <c r="M1136" s="63"/>
      <c r="Q1136" s="44"/>
      <c r="R1136" s="44"/>
      <c r="S1136" s="44"/>
      <c r="T1136" s="44"/>
      <c r="U1136" s="44"/>
    </row>
    <row r="1137">
      <c r="F1137" s="62"/>
      <c r="H1137" s="40"/>
      <c r="I1137" s="42"/>
      <c r="J1137" s="42"/>
      <c r="K1137" s="63"/>
      <c r="L1137" s="63"/>
      <c r="M1137" s="63"/>
      <c r="Q1137" s="44"/>
      <c r="R1137" s="44"/>
      <c r="S1137" s="44"/>
      <c r="T1137" s="44"/>
      <c r="U1137" s="44"/>
    </row>
    <row r="1138">
      <c r="F1138" s="62"/>
      <c r="H1138" s="40"/>
      <c r="I1138" s="42"/>
      <c r="J1138" s="42"/>
      <c r="K1138" s="63"/>
      <c r="L1138" s="63"/>
      <c r="M1138" s="63"/>
      <c r="Q1138" s="44"/>
      <c r="R1138" s="44"/>
      <c r="S1138" s="44"/>
      <c r="T1138" s="44"/>
      <c r="U1138" s="44"/>
    </row>
  </sheetData>
  <autoFilter ref="$A$1:$AA$399">
    <filterColumn colId="14">
      <filters>
        <filter val="2025"/>
        <filter val="2024"/>
        <filter val="2023"/>
      </filters>
    </filterColumn>
    <sortState ref="A1:AA399">
      <sortCondition ref="F1:F399"/>
      <sortCondition ref="O1:O399"/>
    </sortState>
  </autoFilter>
  <conditionalFormatting sqref="V2:V1136">
    <cfRule type="cellIs" dxfId="0" priority="1" operator="lessThan">
      <formula>0</formula>
    </cfRule>
  </conditionalFormatting>
  <conditionalFormatting sqref="V2:V1136">
    <cfRule type="cellIs" dxfId="1" priority="2" operator="equal">
      <formula>0</formula>
    </cfRule>
  </conditionalFormatting>
  <conditionalFormatting sqref="D2:D1138">
    <cfRule type="notContainsText" dxfId="2" priority="3" operator="notContains" text="20">
      <formula>ISERROR(SEARCH(("20"),(D2)))</formula>
    </cfRule>
  </conditionalFormatting>
  <hyperlinks>
    <hyperlink r:id="rId4" ref="E225"/>
    <hyperlink r:id="rId5" ref="E273"/>
    <hyperlink r:id="rId6" ref="E316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5.0"/>
    <col customWidth="1" min="3" max="3" width="15.5"/>
    <col customWidth="1" min="8" max="8" width="17.75"/>
    <col customWidth="1" min="9" max="9" width="34.63"/>
    <col customWidth="1" min="11" max="11" width="15.63"/>
  </cols>
  <sheetData>
    <row r="1">
      <c r="A1" s="64" t="str">
        <f>CONCAT("Rozpočet OVT ",$F$1)</f>
        <v>Rozpočet OVT 2026</v>
      </c>
      <c r="B1" s="65" t="s">
        <v>393</v>
      </c>
      <c r="C1" s="65" t="s">
        <v>394</v>
      </c>
      <c r="D1" s="66" t="s">
        <v>395</v>
      </c>
      <c r="E1" s="67"/>
      <c r="F1" s="61">
        <v>2026.0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>
      <c r="A2" s="68" t="str">
        <f>CONCAT("Převod z roku ",$F$1-1)</f>
        <v>Převod z roku 2025</v>
      </c>
      <c r="B2" s="69">
        <v>108166.0</v>
      </c>
      <c r="C2" s="61" t="s">
        <v>396</v>
      </c>
      <c r="D2" s="70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>
      <c r="A3" s="71"/>
      <c r="B3" s="67"/>
      <c r="C3" s="61"/>
      <c r="D3" s="72"/>
      <c r="E3" s="67"/>
      <c r="F3" s="73" t="s">
        <v>397</v>
      </c>
      <c r="G3" s="74"/>
      <c r="H3" s="74"/>
      <c r="I3" s="74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</row>
    <row r="4">
      <c r="A4" s="75" t="s">
        <v>398</v>
      </c>
      <c r="B4" s="75" t="str">
        <f>CONCAT("Plán ",$F$1)</f>
        <v>Plán 2026</v>
      </c>
      <c r="C4" s="75" t="str">
        <f>CONCAT("Plnění ",$F$1)</f>
        <v>Plnění 2026</v>
      </c>
      <c r="D4" s="76" t="s">
        <v>395</v>
      </c>
      <c r="E4" s="74"/>
      <c r="F4" s="73" t="s">
        <v>14</v>
      </c>
      <c r="G4" s="73" t="s">
        <v>1</v>
      </c>
      <c r="H4" s="73" t="s">
        <v>2</v>
      </c>
      <c r="I4" s="73" t="s">
        <v>0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</row>
    <row r="5">
      <c r="A5" s="77" t="s">
        <v>106</v>
      </c>
      <c r="B5" s="78"/>
      <c r="C5" s="79"/>
      <c r="D5" s="80" t="s">
        <v>399</v>
      </c>
      <c r="E5" s="67"/>
      <c r="F5" s="67"/>
      <c r="G5" s="60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</row>
    <row r="6">
      <c r="A6" s="81" t="s">
        <v>34</v>
      </c>
      <c r="B6" s="82">
        <v>65000.0</v>
      </c>
      <c r="C6" s="82">
        <f>SUMIFS('Rozpočet - průběžný stav'!K:K,'Rozpočet - průběžný stav'!A:A,I6)</f>
        <v>0</v>
      </c>
      <c r="D6" s="83">
        <f t="shared" ref="D6:D10" si="1">C6-B6</f>
        <v>-65000</v>
      </c>
      <c r="E6" s="67"/>
      <c r="F6" s="84">
        <f t="shared" ref="F6:F9" si="2">$F$1</f>
        <v>2026</v>
      </c>
      <c r="G6" s="60" t="s">
        <v>32</v>
      </c>
      <c r="H6" s="61" t="str">
        <f t="shared" ref="H6:H9" si="3">A6</f>
        <v>Příspěvky</v>
      </c>
      <c r="I6" s="67" t="str">
        <f t="shared" ref="I6:I9" si="4">F6&amp;"_"&amp;G6&amp;"_"&amp;H6</f>
        <v>2026_Běžný provoz_Příspěvky</v>
      </c>
      <c r="J6" s="61" t="s">
        <v>400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</row>
    <row r="7">
      <c r="A7" s="81" t="s">
        <v>186</v>
      </c>
      <c r="B7" s="82">
        <v>14305.0</v>
      </c>
      <c r="C7" s="82">
        <f>SUMIFS('Rozpočet - průběžný stav'!K:K,'Rozpočet - průběžný stav'!A:A,I7)</f>
        <v>0</v>
      </c>
      <c r="D7" s="83">
        <f t="shared" si="1"/>
        <v>-14305</v>
      </c>
      <c r="E7" s="67"/>
      <c r="F7" s="84">
        <f t="shared" si="2"/>
        <v>2026</v>
      </c>
      <c r="G7" s="60" t="s">
        <v>32</v>
      </c>
      <c r="H7" s="61" t="str">
        <f t="shared" si="3"/>
        <v>Přeúčtování TOM</v>
      </c>
      <c r="I7" s="67" t="str">
        <f t="shared" si="4"/>
        <v>2026_Běžný provoz_Přeúčtování TOM</v>
      </c>
      <c r="J7" s="61" t="s">
        <v>400</v>
      </c>
      <c r="K7" s="85" t="s">
        <v>42</v>
      </c>
      <c r="L7" s="67"/>
      <c r="M7" s="67"/>
      <c r="N7" s="67"/>
      <c r="O7" s="67"/>
      <c r="P7" s="67"/>
      <c r="Q7" s="67"/>
      <c r="R7" s="67"/>
      <c r="S7" s="67"/>
      <c r="T7" s="67"/>
      <c r="U7" s="67"/>
    </row>
    <row r="8">
      <c r="A8" s="81" t="s">
        <v>255</v>
      </c>
      <c r="B8" s="82">
        <v>5000.0</v>
      </c>
      <c r="C8" s="82">
        <f>SUMIFS('Rozpočet - průběžný stav'!K:K,'Rozpočet - průběžný stav'!A:A,I8)</f>
        <v>0</v>
      </c>
      <c r="D8" s="83">
        <f t="shared" si="1"/>
        <v>-5000</v>
      </c>
      <c r="E8" s="67"/>
      <c r="F8" s="84">
        <f t="shared" si="2"/>
        <v>2026</v>
      </c>
      <c r="G8" s="60" t="s">
        <v>32</v>
      </c>
      <c r="H8" s="61" t="str">
        <f t="shared" si="3"/>
        <v>Příjem půjčení vleků</v>
      </c>
      <c r="I8" s="67" t="str">
        <f t="shared" si="4"/>
        <v>2026_Běžný provoz_Příjem půjčení vleků</v>
      </c>
      <c r="J8" s="61" t="s">
        <v>400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</row>
    <row r="9">
      <c r="A9" s="81" t="s">
        <v>377</v>
      </c>
      <c r="B9" s="82">
        <v>2500.0</v>
      </c>
      <c r="C9" s="82">
        <f>SUMIFS('Rozpočet - průběžný stav'!K:K,'Rozpočet - průběžný stav'!A:A,I9)</f>
        <v>0</v>
      </c>
      <c r="D9" s="83">
        <f t="shared" si="1"/>
        <v>-2500</v>
      </c>
      <c r="E9" s="67"/>
      <c r="F9" s="84">
        <f t="shared" si="2"/>
        <v>2026</v>
      </c>
      <c r="G9" s="60" t="s">
        <v>32</v>
      </c>
      <c r="H9" s="61" t="str">
        <f t="shared" si="3"/>
        <v>Ostatní</v>
      </c>
      <c r="I9" s="67" t="str">
        <f t="shared" si="4"/>
        <v>2026_Běžný provoz_Ostatní</v>
      </c>
      <c r="J9" s="61" t="s">
        <v>400</v>
      </c>
      <c r="K9" s="61"/>
      <c r="L9" s="67"/>
      <c r="M9" s="67"/>
      <c r="N9" s="67"/>
      <c r="O9" s="67"/>
      <c r="P9" s="67"/>
      <c r="Q9" s="67"/>
      <c r="R9" s="67"/>
      <c r="S9" s="67"/>
      <c r="T9" s="67"/>
      <c r="U9" s="67"/>
    </row>
    <row r="10">
      <c r="A10" s="86" t="s">
        <v>401</v>
      </c>
      <c r="B10" s="87">
        <f t="shared" ref="B10:C10" si="5">SUM(B6:B9)</f>
        <v>86805</v>
      </c>
      <c r="C10" s="87">
        <f t="shared" si="5"/>
        <v>0</v>
      </c>
      <c r="D10" s="88">
        <f t="shared" si="1"/>
        <v>-86805</v>
      </c>
      <c r="E10" s="67"/>
      <c r="F10" s="67"/>
      <c r="G10" s="60"/>
      <c r="H10" s="67"/>
      <c r="I10" s="67"/>
      <c r="J10" s="61" t="s">
        <v>400</v>
      </c>
      <c r="K10" s="61" t="s">
        <v>402</v>
      </c>
      <c r="L10" s="61" t="s">
        <v>403</v>
      </c>
      <c r="M10" s="67"/>
      <c r="N10" s="67"/>
      <c r="O10" s="67"/>
      <c r="P10" s="67"/>
      <c r="Q10" s="67"/>
      <c r="R10" s="67"/>
      <c r="S10" s="67"/>
      <c r="T10" s="67"/>
      <c r="U10" s="67"/>
    </row>
    <row r="11" ht="6.75" customHeight="1">
      <c r="A11" s="89"/>
      <c r="B11" s="90"/>
      <c r="C11" s="90"/>
      <c r="D11" s="83"/>
      <c r="E11" s="67"/>
      <c r="F11" s="67"/>
      <c r="G11" s="60"/>
      <c r="H11" s="67"/>
      <c r="I11" s="67"/>
      <c r="J11" s="61" t="s">
        <v>400</v>
      </c>
      <c r="K11" s="61"/>
      <c r="L11" s="61"/>
      <c r="M11" s="67"/>
      <c r="N11" s="67"/>
      <c r="O11" s="67"/>
      <c r="P11" s="67"/>
      <c r="Q11" s="67"/>
      <c r="R11" s="67"/>
      <c r="S11" s="67"/>
      <c r="T11" s="67"/>
      <c r="U11" s="67"/>
    </row>
    <row r="12">
      <c r="A12" s="91" t="s">
        <v>404</v>
      </c>
      <c r="B12" s="92"/>
      <c r="C12" s="92"/>
      <c r="D12" s="93"/>
      <c r="E12" s="67"/>
      <c r="F12" s="67"/>
      <c r="G12" s="60"/>
      <c r="H12" s="67"/>
      <c r="I12" s="67"/>
      <c r="J12" s="61" t="s">
        <v>400</v>
      </c>
      <c r="K12" s="94" t="s">
        <v>405</v>
      </c>
      <c r="L12" s="94">
        <v>1000.0</v>
      </c>
      <c r="M12" s="67"/>
      <c r="N12" s="67"/>
      <c r="O12" s="67"/>
      <c r="P12" s="67"/>
      <c r="Q12" s="67"/>
      <c r="R12" s="67"/>
      <c r="S12" s="67"/>
      <c r="T12" s="67"/>
      <c r="U12" s="67"/>
    </row>
    <row r="13">
      <c r="A13" s="81" t="s">
        <v>49</v>
      </c>
      <c r="B13" s="82">
        <v>90000.0</v>
      </c>
      <c r="C13" s="82">
        <f>-SUMIFS('Rozpočet - průběžný stav'!K:K,'Rozpočet - průběžný stav'!A:A,I13)</f>
        <v>0</v>
      </c>
      <c r="D13" s="95">
        <f t="shared" ref="D13:D20" si="6">C13-B13</f>
        <v>-90000</v>
      </c>
      <c r="E13" s="67"/>
      <c r="F13" s="84">
        <f t="shared" ref="F13:F19" si="7">$F$1</f>
        <v>2026</v>
      </c>
      <c r="G13" s="60" t="s">
        <v>32</v>
      </c>
      <c r="H13" s="61" t="str">
        <f t="shared" ref="H13:H15" si="8">A13</f>
        <v>Interní nájmy</v>
      </c>
      <c r="I13" s="67" t="str">
        <f t="shared" ref="I13:I19" si="9">F13&amp;"_"&amp;G13&amp;"_"&amp;H13</f>
        <v>2026_Běžný provoz_Interní nájmy</v>
      </c>
      <c r="J13" s="61" t="s">
        <v>400</v>
      </c>
      <c r="K13" s="94" t="s">
        <v>406</v>
      </c>
      <c r="L13" s="94">
        <v>800.0</v>
      </c>
      <c r="M13" s="67"/>
      <c r="N13" s="67"/>
      <c r="O13" s="67"/>
      <c r="P13" s="67"/>
      <c r="Q13" s="67"/>
      <c r="R13" s="67"/>
      <c r="S13" s="67"/>
      <c r="T13" s="67"/>
      <c r="U13" s="67"/>
    </row>
    <row r="14">
      <c r="A14" s="81" t="s">
        <v>407</v>
      </c>
      <c r="B14" s="96"/>
      <c r="C14" s="82">
        <f>-SUMIFS('Rozpočet - průběžný stav'!K:K,'Rozpočet - průběžný stav'!A:A,I14)</f>
        <v>0</v>
      </c>
      <c r="D14" s="83">
        <f t="shared" si="6"/>
        <v>0</v>
      </c>
      <c r="E14" s="67"/>
      <c r="F14" s="84">
        <f t="shared" si="7"/>
        <v>2026</v>
      </c>
      <c r="G14" s="60" t="s">
        <v>32</v>
      </c>
      <c r="H14" s="61" t="str">
        <f t="shared" si="8"/>
        <v>Interní nájmy ostatní</v>
      </c>
      <c r="I14" s="67" t="str">
        <f t="shared" si="9"/>
        <v>2026_Běžný provoz_Interní nájmy ostatní</v>
      </c>
      <c r="J14" s="61" t="s">
        <v>400</v>
      </c>
      <c r="K14" s="84" t="s">
        <v>408</v>
      </c>
      <c r="L14" s="84">
        <v>600.0</v>
      </c>
      <c r="M14" s="67"/>
      <c r="N14" s="67"/>
      <c r="O14" s="67"/>
      <c r="P14" s="67"/>
      <c r="Q14" s="67"/>
      <c r="R14" s="67"/>
      <c r="S14" s="67"/>
      <c r="T14" s="67"/>
      <c r="U14" s="67"/>
    </row>
    <row r="15">
      <c r="A15" s="81" t="s">
        <v>33</v>
      </c>
      <c r="B15" s="82">
        <v>1300.0</v>
      </c>
      <c r="C15" s="82">
        <f>-SUMIFS('Rozpočet - průběžný stav'!K:K,'Rozpočet - průběžný stav'!A:A,I15)</f>
        <v>0</v>
      </c>
      <c r="D15" s="83">
        <f t="shared" si="6"/>
        <v>-1300</v>
      </c>
      <c r="E15" s="61" t="s">
        <v>409</v>
      </c>
      <c r="F15" s="84">
        <f t="shared" si="7"/>
        <v>2026</v>
      </c>
      <c r="G15" s="60" t="s">
        <v>32</v>
      </c>
      <c r="H15" s="61" t="str">
        <f t="shared" si="8"/>
        <v>Příspěvky ČSK</v>
      </c>
      <c r="I15" s="67" t="str">
        <f t="shared" si="9"/>
        <v>2026_Běžný provoz_Příspěvky ČSK</v>
      </c>
      <c r="J15" s="61" t="s">
        <v>400</v>
      </c>
      <c r="K15" s="61" t="s">
        <v>410</v>
      </c>
      <c r="L15" s="61" t="s">
        <v>403</v>
      </c>
      <c r="M15" s="67"/>
      <c r="N15" s="67"/>
      <c r="O15" s="67"/>
      <c r="P15" s="67"/>
      <c r="Q15" s="67"/>
      <c r="R15" s="67"/>
      <c r="S15" s="67"/>
      <c r="T15" s="67"/>
      <c r="U15" s="67"/>
    </row>
    <row r="16">
      <c r="A16" s="81" t="s">
        <v>385</v>
      </c>
      <c r="B16" s="82">
        <v>4800.0</v>
      </c>
      <c r="C16" s="82">
        <f>-SUMIFS('Rozpočet - průběžný stav'!K:K,'Rozpočet - průběžný stav'!A:A,I16)</f>
        <v>0</v>
      </c>
      <c r="D16" s="83">
        <f t="shared" si="6"/>
        <v>-4800</v>
      </c>
      <c r="E16" s="61"/>
      <c r="F16" s="84">
        <f t="shared" si="7"/>
        <v>2026</v>
      </c>
      <c r="G16" s="60" t="s">
        <v>32</v>
      </c>
      <c r="H16" s="61" t="s">
        <v>385</v>
      </c>
      <c r="I16" s="67" t="str">
        <f t="shared" si="9"/>
        <v>2026_Běžný provoz_Příspěvky TJ Bohemians</v>
      </c>
      <c r="J16" s="61"/>
      <c r="K16" s="94"/>
      <c r="L16" s="94"/>
      <c r="M16" s="67"/>
      <c r="N16" s="67"/>
      <c r="O16" s="67"/>
      <c r="P16" s="67"/>
      <c r="Q16" s="67"/>
      <c r="R16" s="67"/>
      <c r="S16" s="67"/>
      <c r="T16" s="67"/>
      <c r="U16" s="67"/>
    </row>
    <row r="17">
      <c r="A17" s="81" t="s">
        <v>71</v>
      </c>
      <c r="B17" s="82">
        <v>6000.0</v>
      </c>
      <c r="C17" s="82">
        <f>-SUMIFS('Rozpočet - průběžný stav'!K:K,'Rozpočet - průběžný stav'!A:A,I17)</f>
        <v>0</v>
      </c>
      <c r="D17" s="83">
        <f t="shared" si="6"/>
        <v>-6000</v>
      </c>
      <c r="E17" s="61" t="s">
        <v>411</v>
      </c>
      <c r="F17" s="84">
        <f t="shared" si="7"/>
        <v>2026</v>
      </c>
      <c r="G17" s="60" t="s">
        <v>32</v>
      </c>
      <c r="H17" s="61" t="str">
        <f t="shared" ref="H17:H19" si="10">A17</f>
        <v>Údržba vleků</v>
      </c>
      <c r="I17" s="67" t="str">
        <f t="shared" si="9"/>
        <v>2026_Běžný provoz_Údržba vleků</v>
      </c>
      <c r="J17" s="61" t="s">
        <v>400</v>
      </c>
      <c r="K17" s="94" t="s">
        <v>412</v>
      </c>
      <c r="L17" s="94">
        <v>1000.0</v>
      </c>
      <c r="M17" s="67"/>
      <c r="N17" s="67"/>
      <c r="O17" s="67"/>
      <c r="P17" s="67"/>
      <c r="Q17" s="67"/>
      <c r="R17" s="67"/>
      <c r="S17" s="67"/>
      <c r="T17" s="67"/>
      <c r="U17" s="67"/>
    </row>
    <row r="18">
      <c r="A18" s="81" t="s">
        <v>148</v>
      </c>
      <c r="B18" s="82">
        <v>2000.0</v>
      </c>
      <c r="C18" s="82">
        <f>-SUMIFS('Rozpočet - průběžný stav'!K:K,'Rozpočet - průběžný stav'!A:A,I18)</f>
        <v>0</v>
      </c>
      <c r="D18" s="83">
        <f t="shared" si="6"/>
        <v>-2000</v>
      </c>
      <c r="E18" s="67"/>
      <c r="F18" s="84">
        <f t="shared" si="7"/>
        <v>2026</v>
      </c>
      <c r="G18" s="60" t="s">
        <v>32</v>
      </c>
      <c r="H18" s="61" t="str">
        <f t="shared" si="10"/>
        <v>Materiál</v>
      </c>
      <c r="I18" s="67" t="str">
        <f t="shared" si="9"/>
        <v>2026_Běžný provoz_Materiál</v>
      </c>
      <c r="J18" s="61" t="s">
        <v>400</v>
      </c>
      <c r="K18" s="84" t="s">
        <v>413</v>
      </c>
      <c r="L18" s="84">
        <v>800.0</v>
      </c>
      <c r="M18" s="67"/>
      <c r="N18" s="67"/>
      <c r="O18" s="67"/>
      <c r="P18" s="67"/>
      <c r="Q18" s="67"/>
      <c r="R18" s="67"/>
      <c r="S18" s="67"/>
      <c r="T18" s="67"/>
      <c r="U18" s="67"/>
    </row>
    <row r="19">
      <c r="A19" s="81" t="s">
        <v>165</v>
      </c>
      <c r="B19" s="82">
        <v>600.0</v>
      </c>
      <c r="C19" s="82">
        <f>-SUMIFS('Rozpočet - průběžný stav'!K:K,'Rozpočet - průběžný stav'!A:A,I19)</f>
        <v>0</v>
      </c>
      <c r="D19" s="83">
        <f t="shared" si="6"/>
        <v>-600</v>
      </c>
      <c r="E19" s="61" t="s">
        <v>414</v>
      </c>
      <c r="F19" s="84">
        <f t="shared" si="7"/>
        <v>2026</v>
      </c>
      <c r="G19" s="60" t="s">
        <v>32</v>
      </c>
      <c r="H19" s="61" t="str">
        <f t="shared" si="10"/>
        <v>Výdaje ostatní</v>
      </c>
      <c r="I19" s="67" t="str">
        <f t="shared" si="9"/>
        <v>2026_Běžný provoz_Výdaje ostatní</v>
      </c>
      <c r="J19" s="61" t="s">
        <v>400</v>
      </c>
      <c r="K19" s="94" t="s">
        <v>415</v>
      </c>
      <c r="L19" s="94">
        <v>600.0</v>
      </c>
      <c r="M19" s="67"/>
      <c r="N19" s="67"/>
      <c r="O19" s="67"/>
      <c r="P19" s="67"/>
      <c r="Q19" s="67"/>
      <c r="R19" s="67"/>
      <c r="S19" s="67"/>
      <c r="T19" s="67"/>
      <c r="U19" s="67"/>
    </row>
    <row r="20">
      <c r="A20" s="97" t="s">
        <v>416</v>
      </c>
      <c r="B20" s="98">
        <f t="shared" ref="B20:C20" si="11">SUM(B12:B19)</f>
        <v>104700</v>
      </c>
      <c r="C20" s="98">
        <f t="shared" si="11"/>
        <v>0</v>
      </c>
      <c r="D20" s="93">
        <f t="shared" si="6"/>
        <v>-104700</v>
      </c>
      <c r="E20" s="67"/>
      <c r="F20" s="67"/>
      <c r="G20" s="60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</row>
    <row r="21" ht="10.5" customHeight="1">
      <c r="A21" s="99"/>
      <c r="B21" s="100"/>
      <c r="C21" s="100"/>
      <c r="D21" s="95"/>
      <c r="E21" s="67"/>
      <c r="F21" s="67"/>
      <c r="G21" s="60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</row>
    <row r="22">
      <c r="A22" s="101" t="s">
        <v>417</v>
      </c>
      <c r="B22" s="102">
        <f t="shared" ref="B22:C22" si="12">B10-B20</f>
        <v>-17895</v>
      </c>
      <c r="C22" s="103">
        <f t="shared" si="12"/>
        <v>0</v>
      </c>
      <c r="D22" s="104">
        <f>C22-B22</f>
        <v>17895</v>
      </c>
      <c r="E22" s="67"/>
      <c r="F22" s="67"/>
      <c r="G22" s="60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</row>
    <row r="23">
      <c r="A23" s="105"/>
      <c r="B23" s="106"/>
      <c r="C23" s="106"/>
      <c r="D23" s="10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</row>
    <row r="24">
      <c r="A24" s="108" t="s">
        <v>418</v>
      </c>
      <c r="B24" s="108" t="str">
        <f>CONCAT("Plán ",$F$1)</f>
        <v>Plán 2026</v>
      </c>
      <c r="C24" s="108" t="str">
        <f>CONCAT("Plnění ",$F$1)</f>
        <v>Plnění 2026</v>
      </c>
      <c r="D24" s="109" t="s">
        <v>395</v>
      </c>
      <c r="E24" s="110"/>
      <c r="F24" s="111" t="s">
        <v>14</v>
      </c>
      <c r="G24" s="111" t="s">
        <v>1</v>
      </c>
      <c r="H24" s="111" t="s">
        <v>2</v>
      </c>
      <c r="I24" s="111" t="s">
        <v>0</v>
      </c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</row>
    <row r="25">
      <c r="A25" s="77" t="s">
        <v>106</v>
      </c>
      <c r="B25" s="113"/>
      <c r="C25" s="113"/>
      <c r="D25" s="88"/>
      <c r="E25" s="67"/>
      <c r="F25" s="67"/>
      <c r="G25" s="48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</row>
    <row r="26">
      <c r="A26" s="43" t="s">
        <v>419</v>
      </c>
      <c r="B26" s="114">
        <v>0.0</v>
      </c>
      <c r="C26" s="114">
        <f>SUMIFS('Rozpočet - průběžný stav'!K:K,'Rozpočet - průběžný stav'!A:A,I26)</f>
        <v>0</v>
      </c>
      <c r="D26" s="115"/>
      <c r="E26" s="67"/>
      <c r="F26" s="84">
        <f t="shared" ref="F26:F27" si="13">$F$1</f>
        <v>2026</v>
      </c>
      <c r="G26" s="116" t="s">
        <v>37</v>
      </c>
      <c r="H26" s="50" t="s">
        <v>95</v>
      </c>
      <c r="I26" s="67" t="str">
        <f t="shared" ref="I26:I27" si="14">F26&amp;"_"&amp;G26&amp;"_"&amp;H26</f>
        <v>2026_Hamerák-akce_Hamerák finance</v>
      </c>
      <c r="J26" s="61" t="s">
        <v>400</v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</row>
    <row r="27">
      <c r="A27" s="43" t="s">
        <v>316</v>
      </c>
      <c r="B27" s="114">
        <v>0.0</v>
      </c>
      <c r="C27" s="114">
        <f>SUMIFS('Rozpočet - průběžný stav'!K:K,'Rozpočet - průběžný stav'!A:A,I27)</f>
        <v>0</v>
      </c>
      <c r="D27" s="115">
        <f t="shared" ref="D27:D28" si="16">C27-B27</f>
        <v>0</v>
      </c>
      <c r="E27" s="67"/>
      <c r="F27" s="84">
        <f t="shared" si="13"/>
        <v>2026</v>
      </c>
      <c r="G27" s="48" t="s">
        <v>61</v>
      </c>
      <c r="H27" s="61" t="str">
        <f>A27</f>
        <v>Příjmy dotace a dary</v>
      </c>
      <c r="I27" s="67" t="str">
        <f t="shared" si="14"/>
        <v>2026_Podpora činnosti_Příjmy dotace a dary</v>
      </c>
      <c r="J27" s="61" t="s">
        <v>400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</row>
    <row r="28">
      <c r="A28" s="86" t="s">
        <v>420</v>
      </c>
      <c r="B28" s="117">
        <f t="shared" ref="B28:C28" si="15">SUM(B25:B27)</f>
        <v>0</v>
      </c>
      <c r="C28" s="117">
        <f t="shared" si="15"/>
        <v>0</v>
      </c>
      <c r="D28" s="118">
        <f t="shared" si="16"/>
        <v>0</v>
      </c>
      <c r="E28" s="67"/>
      <c r="F28" s="67"/>
      <c r="G28" s="48"/>
      <c r="H28" s="67"/>
      <c r="I28" s="67"/>
      <c r="J28" s="61" t="s">
        <v>400</v>
      </c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</row>
    <row r="29" ht="7.5" customHeight="1">
      <c r="A29" s="119"/>
      <c r="B29" s="120"/>
      <c r="C29" s="120"/>
      <c r="D29" s="115"/>
      <c r="E29" s="67"/>
      <c r="F29" s="67"/>
      <c r="G29" s="48"/>
      <c r="H29" s="67"/>
      <c r="I29" s="67"/>
      <c r="J29" s="61" t="s">
        <v>400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</row>
    <row r="30">
      <c r="A30" s="91" t="s">
        <v>404</v>
      </c>
      <c r="B30" s="121"/>
      <c r="C30" s="121"/>
      <c r="D30" s="93"/>
      <c r="E30" s="67"/>
      <c r="F30" s="67"/>
      <c r="G30" s="48"/>
      <c r="H30" s="67"/>
      <c r="I30" s="67"/>
      <c r="J30" s="61" t="s">
        <v>400</v>
      </c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</row>
    <row r="31">
      <c r="A31" s="43" t="s">
        <v>296</v>
      </c>
      <c r="B31" s="114">
        <v>30000.0</v>
      </c>
      <c r="C31" s="114">
        <f>-SUMIFS('Rozpočet - průběžný stav'!K:K,'Rozpočet - průběžný stav'!A:A,I31)</f>
        <v>0</v>
      </c>
      <c r="D31" s="115">
        <f t="shared" ref="D31:D33" si="17">C31-B31</f>
        <v>-30000</v>
      </c>
      <c r="E31" s="67"/>
      <c r="F31" s="84">
        <f t="shared" ref="F31:F32" si="18">$F$1</f>
        <v>2026</v>
      </c>
      <c r="G31" s="48" t="s">
        <v>61</v>
      </c>
      <c r="H31" s="61" t="str">
        <f>A31</f>
        <v>Podpora akcí</v>
      </c>
      <c r="I31" s="67" t="str">
        <f t="shared" ref="I31:I32" si="19">F31&amp;"_"&amp;G31&amp;"_"&amp;H31</f>
        <v>2026_Podpora činnosti_Podpora akcí</v>
      </c>
      <c r="J31" s="61" t="s">
        <v>400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</row>
    <row r="32">
      <c r="A32" s="43" t="s">
        <v>421</v>
      </c>
      <c r="B32" s="114">
        <v>5000.0</v>
      </c>
      <c r="C32" s="114">
        <f>-SUMIFS('Rozpočet - průběžný stav'!K:K,'Rozpočet - průběžný stav'!A:A,I32)</f>
        <v>0</v>
      </c>
      <c r="D32" s="115">
        <f t="shared" si="17"/>
        <v>-5000</v>
      </c>
      <c r="E32" s="67"/>
      <c r="F32" s="84">
        <f t="shared" si="18"/>
        <v>2026</v>
      </c>
      <c r="G32" s="116" t="s">
        <v>37</v>
      </c>
      <c r="H32" s="50" t="s">
        <v>158</v>
      </c>
      <c r="I32" s="67" t="str">
        <f t="shared" si="19"/>
        <v>2026_Hamerák-akce_Náklady příprava</v>
      </c>
      <c r="J32" s="61" t="s">
        <v>400</v>
      </c>
      <c r="K32" s="122" t="s">
        <v>422</v>
      </c>
      <c r="L32" s="123" t="str">
        <f>C26-#REF!-C32</f>
        <v>#REF!</v>
      </c>
      <c r="M32" s="67"/>
      <c r="N32" s="67"/>
      <c r="O32" s="67"/>
      <c r="P32" s="67"/>
      <c r="Q32" s="67"/>
      <c r="R32" s="67"/>
      <c r="S32" s="67"/>
      <c r="T32" s="67"/>
      <c r="U32" s="67"/>
    </row>
    <row r="33">
      <c r="A33" s="97" t="s">
        <v>423</v>
      </c>
      <c r="B33" s="124">
        <f t="shared" ref="B33:C33" si="20">sum(B31:B32)</f>
        <v>35000</v>
      </c>
      <c r="C33" s="124">
        <f t="shared" si="20"/>
        <v>0</v>
      </c>
      <c r="D33" s="93">
        <f t="shared" si="17"/>
        <v>-35000</v>
      </c>
      <c r="E33" s="67"/>
      <c r="F33" s="67"/>
      <c r="G33" s="48"/>
      <c r="H33" s="67"/>
      <c r="I33" s="67"/>
      <c r="J33" s="61" t="s">
        <v>400</v>
      </c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</row>
    <row r="34" ht="9.0" customHeight="1">
      <c r="A34" s="119"/>
      <c r="B34" s="125"/>
      <c r="C34" s="125"/>
      <c r="D34" s="126"/>
      <c r="E34" s="67"/>
      <c r="F34" s="67"/>
      <c r="G34" s="48"/>
      <c r="H34" s="67"/>
      <c r="I34" s="67"/>
      <c r="J34" s="61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</row>
    <row r="35">
      <c r="A35" s="101" t="s">
        <v>424</v>
      </c>
      <c r="B35" s="127">
        <f t="shared" ref="B35:C35" si="21">B28-B33</f>
        <v>-35000</v>
      </c>
      <c r="C35" s="103">
        <f t="shared" si="21"/>
        <v>0</v>
      </c>
      <c r="D35" s="104">
        <f>C35-B35</f>
        <v>35000</v>
      </c>
      <c r="E35" s="67"/>
      <c r="F35" s="67"/>
      <c r="G35" s="48"/>
      <c r="H35" s="67"/>
      <c r="I35" s="67"/>
      <c r="J35" s="61" t="s">
        <v>400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</row>
    <row r="36" ht="9.75" customHeight="1">
      <c r="A36" s="119"/>
      <c r="B36" s="128"/>
      <c r="C36" s="128"/>
      <c r="D36" s="115"/>
      <c r="E36" s="67"/>
      <c r="F36" s="67"/>
      <c r="G36" s="67"/>
      <c r="H36" s="67"/>
      <c r="I36" s="67"/>
      <c r="J36" s="61" t="s">
        <v>400</v>
      </c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</row>
    <row r="37">
      <c r="A37" s="101" t="s">
        <v>425</v>
      </c>
      <c r="B37" s="129">
        <v>0.0</v>
      </c>
      <c r="C37" s="130">
        <f>C26-C32</f>
        <v>0</v>
      </c>
      <c r="D37" s="131"/>
      <c r="E37" s="67"/>
      <c r="F37" s="84"/>
      <c r="G37" s="61"/>
      <c r="H37" s="61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</row>
    <row r="38">
      <c r="A38" s="105"/>
      <c r="B38" s="106"/>
      <c r="C38" s="132">
        <f>-SUMIFS('Rozpočet - průběžný stav'!K:K,'Rozpočet - průběžný stav'!A:A,I38)</f>
        <v>0</v>
      </c>
      <c r="D38" s="133"/>
      <c r="E38" s="67"/>
      <c r="F38" s="84">
        <f t="shared" ref="F38:F40" si="22">$F$1</f>
        <v>2026</v>
      </c>
      <c r="G38" s="61" t="s">
        <v>27</v>
      </c>
      <c r="H38" s="61" t="s">
        <v>426</v>
      </c>
      <c r="I38" s="67" t="str">
        <f t="shared" ref="I38:I40" si="23">F38&amp;"_"&amp;G38&amp;"_"&amp;H38</f>
        <v>2026_Převody_Převod z 2019</v>
      </c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</row>
    <row r="39">
      <c r="A39" s="105"/>
      <c r="B39" s="106"/>
      <c r="C39" s="132">
        <f>-SUMIFS('Rozpočet - průběžný stav'!K:K,'Rozpočet - průběžný stav'!A:A,I39)</f>
        <v>0</v>
      </c>
      <c r="D39" s="133"/>
      <c r="E39" s="67"/>
      <c r="F39" s="84">
        <f t="shared" si="22"/>
        <v>2026</v>
      </c>
      <c r="G39" s="61" t="s">
        <v>27</v>
      </c>
      <c r="H39" s="61" t="s">
        <v>44</v>
      </c>
      <c r="I39" s="67" t="str">
        <f t="shared" si="23"/>
        <v>2026_Převody_převod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</row>
    <row r="40">
      <c r="A40" s="105"/>
      <c r="B40" s="106"/>
      <c r="C40" s="132">
        <f>-SUMIFS('Rozpočet - průběžný stav'!K:K,'Rozpočet - průběžný stav'!A:A,I40)</f>
        <v>0</v>
      </c>
      <c r="D40" s="133"/>
      <c r="E40" s="67"/>
      <c r="F40" s="84">
        <f t="shared" si="22"/>
        <v>2026</v>
      </c>
      <c r="G40" s="61" t="s">
        <v>27</v>
      </c>
      <c r="H40" s="61" t="s">
        <v>22</v>
      </c>
      <c r="I40" s="67" t="str">
        <f t="shared" si="23"/>
        <v>2026_Převody_stav</v>
      </c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</row>
    <row r="41">
      <c r="A41" s="105"/>
      <c r="B41" s="106"/>
      <c r="C41" s="106"/>
      <c r="D41" s="133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</row>
    <row r="42">
      <c r="A42" s="105"/>
      <c r="B42" s="106"/>
      <c r="C42" s="106"/>
      <c r="D42" s="133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</row>
    <row r="43">
      <c r="A43" s="134" t="s">
        <v>427</v>
      </c>
      <c r="B43" s="134" t="str">
        <f>CONCAT("Plán ",$F$1)</f>
        <v>Plán 2026</v>
      </c>
      <c r="C43" s="134" t="str">
        <f>CONCAT("Plnění ",$F$1)</f>
        <v>Plnění 2026</v>
      </c>
      <c r="D43" s="135" t="s">
        <v>395</v>
      </c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</row>
    <row r="44">
      <c r="A44" s="101" t="s">
        <v>428</v>
      </c>
      <c r="B44" s="130">
        <f>B2</f>
        <v>108166</v>
      </c>
      <c r="C44" s="127">
        <f>B44</f>
        <v>108166</v>
      </c>
      <c r="D44" s="13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</row>
    <row r="45">
      <c r="A45" s="138" t="s">
        <v>429</v>
      </c>
      <c r="B45" s="139">
        <f t="shared" ref="B45:C45" si="24">B10</f>
        <v>86805</v>
      </c>
      <c r="C45" s="139">
        <f t="shared" si="24"/>
        <v>0</v>
      </c>
      <c r="D45" s="140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</row>
    <row r="46">
      <c r="A46" s="138" t="s">
        <v>430</v>
      </c>
      <c r="B46" s="139">
        <f t="shared" ref="B46:C46" si="25">B28</f>
        <v>0</v>
      </c>
      <c r="C46" s="139">
        <f t="shared" si="25"/>
        <v>0</v>
      </c>
      <c r="D46" s="140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</row>
    <row r="47">
      <c r="A47" s="77" t="s">
        <v>431</v>
      </c>
      <c r="B47" s="117">
        <f t="shared" ref="B47:C47" si="26">B45+B46</f>
        <v>86805</v>
      </c>
      <c r="C47" s="117">
        <f t="shared" si="26"/>
        <v>0</v>
      </c>
      <c r="D47" s="141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</row>
    <row r="48">
      <c r="A48" s="138" t="s">
        <v>432</v>
      </c>
      <c r="B48" s="139">
        <f t="shared" ref="B48:C48" si="27">-B20</f>
        <v>-104700</v>
      </c>
      <c r="C48" s="139">
        <f t="shared" si="27"/>
        <v>0</v>
      </c>
      <c r="D48" s="140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</row>
    <row r="49">
      <c r="A49" s="138" t="s">
        <v>433</v>
      </c>
      <c r="B49" s="139">
        <f t="shared" ref="B49:C49" si="28">-B33</f>
        <v>-35000</v>
      </c>
      <c r="C49" s="139">
        <f t="shared" si="28"/>
        <v>0</v>
      </c>
      <c r="D49" s="140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>
      <c r="A50" s="91" t="s">
        <v>434</v>
      </c>
      <c r="B50" s="142">
        <f t="shared" ref="B50:C50" si="29">B48+B49</f>
        <v>-139700</v>
      </c>
      <c r="C50" s="142">
        <f t="shared" si="29"/>
        <v>0</v>
      </c>
      <c r="D50" s="143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</row>
    <row r="51">
      <c r="A51" s="138" t="s">
        <v>435</v>
      </c>
      <c r="B51" s="144">
        <f t="shared" ref="B51:C51" si="30">B45+B48</f>
        <v>-17895</v>
      </c>
      <c r="C51" s="144">
        <f t="shared" si="30"/>
        <v>0</v>
      </c>
      <c r="D51" s="140"/>
      <c r="E51" s="132" t="s">
        <v>436</v>
      </c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</row>
    <row r="52">
      <c r="A52" s="138" t="s">
        <v>437</v>
      </c>
      <c r="B52" s="144">
        <f t="shared" ref="B52:C52" si="31">B46+B49</f>
        <v>-35000</v>
      </c>
      <c r="C52" s="144">
        <f t="shared" si="31"/>
        <v>0</v>
      </c>
      <c r="D52" s="140"/>
      <c r="E52" s="132" t="s">
        <v>438</v>
      </c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</row>
    <row r="53">
      <c r="A53" s="138" t="s">
        <v>439</v>
      </c>
      <c r="B53" s="145">
        <f t="shared" ref="B53:C53" si="32">B26-B32</f>
        <v>-5000</v>
      </c>
      <c r="C53" s="145">
        <f t="shared" si="32"/>
        <v>0</v>
      </c>
      <c r="D53" s="140"/>
      <c r="E53" s="61" t="s">
        <v>440</v>
      </c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</row>
    <row r="54">
      <c r="A54" s="101" t="s">
        <v>441</v>
      </c>
      <c r="B54" s="127">
        <f t="shared" ref="B54:C54" si="33">B47+B50</f>
        <v>-52895</v>
      </c>
      <c r="C54" s="127">
        <f t="shared" si="33"/>
        <v>0</v>
      </c>
      <c r="D54" s="13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</row>
    <row r="55">
      <c r="A55" s="101" t="s">
        <v>442</v>
      </c>
      <c r="B55" s="130">
        <f t="shared" ref="B55:C55" si="34">B44+B47+B50</f>
        <v>55271</v>
      </c>
      <c r="C55" s="130">
        <f t="shared" si="34"/>
        <v>108166</v>
      </c>
      <c r="D55" s="13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</row>
    <row r="56">
      <c r="A56" s="67"/>
      <c r="B56" s="106"/>
      <c r="C56" s="132" t="s">
        <v>443</v>
      </c>
      <c r="D56" s="106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</row>
    <row r="58">
      <c r="A58" s="146" t="s">
        <v>444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</row>
    <row r="59">
      <c r="A59" s="61" t="s">
        <v>445</v>
      </c>
      <c r="B59" s="67"/>
      <c r="C59" s="61" t="s">
        <v>446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</row>
    <row r="60">
      <c r="A60" s="61" t="s">
        <v>447</v>
      </c>
      <c r="B60" s="106">
        <v>80000.0</v>
      </c>
      <c r="C60" s="106">
        <v>80000.0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</row>
    <row r="61">
      <c r="A61" s="61" t="s">
        <v>448</v>
      </c>
      <c r="B61" s="106">
        <f>-B49</f>
        <v>35000</v>
      </c>
      <c r="C61" s="106">
        <f>-B49</f>
        <v>35000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</row>
    <row r="62">
      <c r="A62" s="61" t="s">
        <v>449</v>
      </c>
      <c r="B62" s="106">
        <f t="shared" ref="B62:C62" si="35">B55</f>
        <v>55271</v>
      </c>
      <c r="C62" s="106">
        <f t="shared" si="35"/>
        <v>108166</v>
      </c>
      <c r="D62" s="61" t="s">
        <v>450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</row>
    <row r="63">
      <c r="A63" s="61" t="s">
        <v>451</v>
      </c>
      <c r="B63" s="106">
        <f t="shared" ref="B63:C63" si="36">B62-B$61</f>
        <v>20271</v>
      </c>
      <c r="C63" s="106">
        <f t="shared" si="36"/>
        <v>73166</v>
      </c>
      <c r="D63" s="61" t="s">
        <v>452</v>
      </c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</row>
    <row r="64">
      <c r="A64" s="61" t="s">
        <v>453</v>
      </c>
      <c r="B64" s="106">
        <f t="shared" ref="B64:C64" si="37">B63-B$61</f>
        <v>-14729</v>
      </c>
      <c r="C64" s="106">
        <f t="shared" si="37"/>
        <v>38166</v>
      </c>
      <c r="D64" s="61" t="s">
        <v>454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</row>
    <row r="65">
      <c r="A65" s="61" t="s">
        <v>455</v>
      </c>
      <c r="B65" s="106">
        <f t="shared" ref="B65:C65" si="38">B64-B$61</f>
        <v>-49729</v>
      </c>
      <c r="C65" s="106">
        <f t="shared" si="38"/>
        <v>3166</v>
      </c>
      <c r="D65" s="61" t="s">
        <v>456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</row>
    <row r="66">
      <c r="A66" s="61" t="s">
        <v>457</v>
      </c>
      <c r="B66" s="147">
        <f t="shared" ref="B66:C66" si="39">1+(B62-B60)/B61</f>
        <v>0.2934571429</v>
      </c>
      <c r="C66" s="147">
        <f t="shared" si="39"/>
        <v>1.804742857</v>
      </c>
      <c r="D66" s="61" t="s">
        <v>458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</row>
    <row r="1002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</row>
    <row r="1003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</row>
    <row r="1004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</row>
    <row r="1005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</row>
    <row r="1006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</row>
    <row r="1007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</row>
    <row r="1008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</row>
    <row r="1009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</row>
    <row r="1010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</row>
    <row r="1011">
      <c r="A1011" s="67"/>
      <c r="B1011" s="67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</row>
    <row r="1012">
      <c r="A1012" s="67"/>
      <c r="B1012" s="67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</row>
    <row r="1013">
      <c r="A1013" s="67"/>
      <c r="B1013" s="67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</row>
    <row r="1014">
      <c r="A1014" s="67"/>
      <c r="B1014" s="67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</row>
    <row r="1015">
      <c r="A1015" s="67"/>
      <c r="B1015" s="67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</row>
    <row r="1016">
      <c r="A1016" s="67"/>
      <c r="B1016" s="67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</row>
    <row r="1017">
      <c r="A1017" s="67"/>
      <c r="B1017" s="67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</row>
    <row r="1018">
      <c r="A1018" s="67"/>
      <c r="B1018" s="67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</row>
    <row r="1019">
      <c r="A1019" s="67"/>
      <c r="B1019" s="67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</row>
    <row r="1020">
      <c r="A1020" s="67"/>
      <c r="B1020" s="67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</row>
    <row r="1021">
      <c r="A1021" s="67"/>
      <c r="B1021" s="67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</row>
    <row r="1022">
      <c r="A1022" s="67"/>
      <c r="B1022" s="67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</row>
  </sheetData>
  <conditionalFormatting sqref="B66:C66">
    <cfRule type="colorScale" priority="1">
      <colorScale>
        <cfvo type="formula" val="0"/>
        <cfvo type="formula" val="1"/>
        <cfvo type="formula" val="2"/>
        <color rgb="FFFF0000"/>
        <color rgb="FFFFFF00"/>
        <color rgb="FF00FF00"/>
      </colorScale>
    </cfRule>
  </conditionalFormatting>
  <conditionalFormatting sqref="B62:C65">
    <cfRule type="cellIs" dxfId="2" priority="2" operator="lessThan">
      <formula>B$60</formula>
    </cfRule>
  </conditionalFormatting>
  <conditionalFormatting sqref="B62:C65">
    <cfRule type="cellIs" dxfId="1" priority="3" operator="greaterThanOrEqual">
      <formula>B$60</formula>
    </cfRule>
  </conditionalFormatting>
  <printOptions gridLines="1" horizontalCentered="1"/>
  <pageMargins bottom="0.75" footer="0.0" header="0.0" left="0.7" right="0.7" top="0.75"/>
  <pageSetup fitToWidth="0"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5.0"/>
    <col customWidth="1" min="3" max="3" width="13.88"/>
    <col customWidth="1" min="8" max="8" width="17.75"/>
    <col customWidth="1" min="9" max="9" width="34.63"/>
    <col customWidth="1" min="11" max="11" width="15.63"/>
  </cols>
  <sheetData>
    <row r="1">
      <c r="A1" s="64" t="str">
        <f>CONCAT("Rozpočet OVT ",$F$1)</f>
        <v>Rozpočet OVT 2025</v>
      </c>
      <c r="B1" s="65" t="s">
        <v>393</v>
      </c>
      <c r="C1" s="65" t="s">
        <v>394</v>
      </c>
      <c r="D1" s="66" t="s">
        <v>395</v>
      </c>
      <c r="E1" s="67"/>
      <c r="F1" s="61">
        <v>2025.0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>
      <c r="A2" s="68" t="str">
        <f>CONCAT("Převod z roku ",$F$1-1)</f>
        <v>Převod z roku 2024</v>
      </c>
      <c r="B2" s="69">
        <v>158324.0</v>
      </c>
      <c r="C2" s="61" t="s">
        <v>396</v>
      </c>
      <c r="D2" s="70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>
      <c r="A3" s="71"/>
      <c r="B3" s="67"/>
      <c r="C3" s="61"/>
      <c r="D3" s="72"/>
      <c r="E3" s="67"/>
      <c r="F3" s="73" t="s">
        <v>397</v>
      </c>
      <c r="G3" s="74"/>
      <c r="H3" s="74"/>
      <c r="I3" s="74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</row>
    <row r="4">
      <c r="A4" s="75" t="s">
        <v>398</v>
      </c>
      <c r="B4" s="75" t="str">
        <f>CONCAT("Plán ",$F$1)</f>
        <v>Plán 2025</v>
      </c>
      <c r="C4" s="75" t="str">
        <f>CONCAT("Plnění ",$F$1)</f>
        <v>Plnění 2025</v>
      </c>
      <c r="D4" s="76" t="s">
        <v>395</v>
      </c>
      <c r="E4" s="74"/>
      <c r="F4" s="73" t="s">
        <v>14</v>
      </c>
      <c r="G4" s="73" t="s">
        <v>1</v>
      </c>
      <c r="H4" s="73" t="s">
        <v>2</v>
      </c>
      <c r="I4" s="73" t="s">
        <v>0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</row>
    <row r="5">
      <c r="A5" s="77" t="s">
        <v>106</v>
      </c>
      <c r="B5" s="78"/>
      <c r="C5" s="79"/>
      <c r="D5" s="80" t="s">
        <v>399</v>
      </c>
      <c r="E5" s="67"/>
      <c r="F5" s="67"/>
      <c r="G5" s="60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</row>
    <row r="6">
      <c r="A6" s="81" t="s">
        <v>34</v>
      </c>
      <c r="B6" s="82">
        <v>65000.0</v>
      </c>
      <c r="C6" s="82">
        <f>SUMIFS('Rozpočet - průběžný stav'!K:K,'Rozpočet - průběžný stav'!A:A,I6)</f>
        <v>56600</v>
      </c>
      <c r="D6" s="83">
        <f t="shared" ref="D6:D10" si="1">C6-B6</f>
        <v>-8400</v>
      </c>
      <c r="E6" s="67"/>
      <c r="F6" s="84">
        <f t="shared" ref="F6:F9" si="2">$F$1</f>
        <v>2025</v>
      </c>
      <c r="G6" s="60" t="s">
        <v>32</v>
      </c>
      <c r="H6" s="61" t="str">
        <f t="shared" ref="H6:H9" si="3">A6</f>
        <v>Příspěvky</v>
      </c>
      <c r="I6" s="67" t="str">
        <f t="shared" ref="I6:I9" si="4">F6&amp;"_"&amp;G6&amp;"_"&amp;H6</f>
        <v>2025_Běžný provoz_Příspěvky</v>
      </c>
      <c r="J6" s="61" t="s">
        <v>400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</row>
    <row r="7">
      <c r="A7" s="81" t="s">
        <v>186</v>
      </c>
      <c r="B7" s="82">
        <v>14305.0</v>
      </c>
      <c r="C7" s="82">
        <f>SUMIFS('Rozpočet - průběžný stav'!K:K,'Rozpočet - průběžný stav'!A:A,I7)</f>
        <v>0</v>
      </c>
      <c r="D7" s="83">
        <f t="shared" si="1"/>
        <v>-14305</v>
      </c>
      <c r="E7" s="67"/>
      <c r="F7" s="84">
        <f t="shared" si="2"/>
        <v>2025</v>
      </c>
      <c r="G7" s="60" t="s">
        <v>32</v>
      </c>
      <c r="H7" s="61" t="str">
        <f t="shared" si="3"/>
        <v>Přeúčtování TOM</v>
      </c>
      <c r="I7" s="67" t="str">
        <f t="shared" si="4"/>
        <v>2025_Běžný provoz_Přeúčtování TOM</v>
      </c>
      <c r="J7" s="61" t="s">
        <v>400</v>
      </c>
      <c r="K7" s="85" t="s">
        <v>42</v>
      </c>
      <c r="L7" s="67"/>
      <c r="M7" s="67"/>
      <c r="N7" s="67"/>
      <c r="O7" s="67"/>
      <c r="P7" s="67"/>
      <c r="Q7" s="67"/>
      <c r="R7" s="67"/>
      <c r="S7" s="67"/>
      <c r="T7" s="67"/>
      <c r="U7" s="67"/>
    </row>
    <row r="8">
      <c r="A8" s="81" t="s">
        <v>255</v>
      </c>
      <c r="B8" s="82">
        <v>5000.0</v>
      </c>
      <c r="C8" s="82">
        <f>SUMIFS('Rozpočet - průběžný stav'!K:K,'Rozpočet - průběžný stav'!A:A,I8)</f>
        <v>0</v>
      </c>
      <c r="D8" s="83">
        <f t="shared" si="1"/>
        <v>-5000</v>
      </c>
      <c r="E8" s="67"/>
      <c r="F8" s="84">
        <f t="shared" si="2"/>
        <v>2025</v>
      </c>
      <c r="G8" s="60" t="s">
        <v>32</v>
      </c>
      <c r="H8" s="61" t="str">
        <f t="shared" si="3"/>
        <v>Příjem půjčení vleků</v>
      </c>
      <c r="I8" s="67" t="str">
        <f t="shared" si="4"/>
        <v>2025_Běžný provoz_Příjem půjčení vleků</v>
      </c>
      <c r="J8" s="61" t="s">
        <v>400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</row>
    <row r="9">
      <c r="A9" s="81" t="s">
        <v>377</v>
      </c>
      <c r="B9" s="82">
        <v>2500.0</v>
      </c>
      <c r="C9" s="82">
        <f>SUMIFS('Rozpočet - průběžný stav'!K:K,'Rozpočet - průběžný stav'!A:A,I9)</f>
        <v>2755.74</v>
      </c>
      <c r="D9" s="83">
        <f t="shared" si="1"/>
        <v>255.74</v>
      </c>
      <c r="E9" s="67"/>
      <c r="F9" s="84">
        <f t="shared" si="2"/>
        <v>2025</v>
      </c>
      <c r="G9" s="60" t="s">
        <v>32</v>
      </c>
      <c r="H9" s="61" t="str">
        <f t="shared" si="3"/>
        <v>Ostatní</v>
      </c>
      <c r="I9" s="67" t="str">
        <f t="shared" si="4"/>
        <v>2025_Běžný provoz_Ostatní</v>
      </c>
      <c r="J9" s="61" t="s">
        <v>400</v>
      </c>
      <c r="K9" s="61"/>
      <c r="L9" s="67"/>
      <c r="M9" s="67"/>
      <c r="N9" s="67"/>
      <c r="O9" s="67"/>
      <c r="P9" s="67"/>
      <c r="Q9" s="67"/>
      <c r="R9" s="67"/>
      <c r="S9" s="67"/>
      <c r="T9" s="67"/>
      <c r="U9" s="67"/>
    </row>
    <row r="10">
      <c r="A10" s="86" t="s">
        <v>401</v>
      </c>
      <c r="B10" s="87">
        <f t="shared" ref="B10:C10" si="5">SUM(B6:B9)</f>
        <v>86805</v>
      </c>
      <c r="C10" s="87">
        <f t="shared" si="5"/>
        <v>59355.74</v>
      </c>
      <c r="D10" s="88">
        <f t="shared" si="1"/>
        <v>-27449.26</v>
      </c>
      <c r="E10" s="67"/>
      <c r="F10" s="67"/>
      <c r="G10" s="60"/>
      <c r="H10" s="67"/>
      <c r="I10" s="67"/>
      <c r="J10" s="61" t="s">
        <v>400</v>
      </c>
      <c r="K10" s="61" t="s">
        <v>402</v>
      </c>
      <c r="L10" s="61" t="s">
        <v>403</v>
      </c>
      <c r="M10" s="67"/>
      <c r="N10" s="67"/>
      <c r="O10" s="67"/>
      <c r="P10" s="67"/>
      <c r="Q10" s="67"/>
      <c r="R10" s="67"/>
      <c r="S10" s="67"/>
      <c r="T10" s="67"/>
      <c r="U10" s="67"/>
    </row>
    <row r="11" ht="6.75" customHeight="1">
      <c r="A11" s="89"/>
      <c r="B11" s="90"/>
      <c r="C11" s="90"/>
      <c r="D11" s="83"/>
      <c r="E11" s="67"/>
      <c r="F11" s="67"/>
      <c r="G11" s="60"/>
      <c r="H11" s="67"/>
      <c r="I11" s="67"/>
      <c r="J11" s="61" t="s">
        <v>400</v>
      </c>
      <c r="K11" s="61"/>
      <c r="L11" s="61"/>
      <c r="M11" s="67"/>
      <c r="N11" s="67"/>
      <c r="O11" s="67"/>
      <c r="P11" s="67"/>
      <c r="Q11" s="67"/>
      <c r="R11" s="67"/>
      <c r="S11" s="67"/>
      <c r="T11" s="67"/>
      <c r="U11" s="67"/>
    </row>
    <row r="12">
      <c r="A12" s="91" t="s">
        <v>404</v>
      </c>
      <c r="B12" s="92"/>
      <c r="C12" s="92"/>
      <c r="D12" s="93"/>
      <c r="E12" s="67"/>
      <c r="F12" s="67"/>
      <c r="G12" s="60"/>
      <c r="H12" s="67"/>
      <c r="I12" s="67"/>
      <c r="J12" s="61" t="s">
        <v>400</v>
      </c>
      <c r="K12" s="94" t="s">
        <v>405</v>
      </c>
      <c r="L12" s="94">
        <v>1000.0</v>
      </c>
      <c r="M12" s="67"/>
      <c r="N12" s="67"/>
      <c r="O12" s="67"/>
      <c r="P12" s="67"/>
      <c r="Q12" s="67"/>
      <c r="R12" s="67"/>
      <c r="S12" s="67"/>
      <c r="T12" s="67"/>
      <c r="U12" s="67"/>
    </row>
    <row r="13">
      <c r="A13" s="81" t="s">
        <v>49</v>
      </c>
      <c r="B13" s="82">
        <v>90000.0</v>
      </c>
      <c r="C13" s="82">
        <f>-SUMIFS('Rozpočet - průběžný stav'!K:K,'Rozpočet - průběžný stav'!A:A,I13)</f>
        <v>84914</v>
      </c>
      <c r="D13" s="95">
        <f t="shared" ref="D13:D20" si="6">C13-B13</f>
        <v>-5086</v>
      </c>
      <c r="E13" s="67"/>
      <c r="F13" s="84">
        <f t="shared" ref="F13:F19" si="7">$F$1</f>
        <v>2025</v>
      </c>
      <c r="G13" s="60" t="s">
        <v>32</v>
      </c>
      <c r="H13" s="61" t="str">
        <f t="shared" ref="H13:H15" si="8">A13</f>
        <v>Interní nájmy</v>
      </c>
      <c r="I13" s="67" t="str">
        <f t="shared" ref="I13:I19" si="9">F13&amp;"_"&amp;G13&amp;"_"&amp;H13</f>
        <v>2025_Běžný provoz_Interní nájmy</v>
      </c>
      <c r="J13" s="61" t="s">
        <v>400</v>
      </c>
      <c r="K13" s="94" t="s">
        <v>406</v>
      </c>
      <c r="L13" s="94">
        <v>800.0</v>
      </c>
      <c r="M13" s="67"/>
      <c r="N13" s="67"/>
      <c r="O13" s="67"/>
      <c r="P13" s="67"/>
      <c r="Q13" s="67"/>
      <c r="R13" s="67"/>
      <c r="S13" s="67"/>
      <c r="T13" s="67"/>
      <c r="U13" s="67"/>
    </row>
    <row r="14">
      <c r="A14" s="81" t="s">
        <v>407</v>
      </c>
      <c r="B14" s="96"/>
      <c r="C14" s="82">
        <f>-SUMIFS('Rozpočet - průběžný stav'!K:K,'Rozpočet - průběžný stav'!A:A,I14)</f>
        <v>0</v>
      </c>
      <c r="D14" s="83">
        <f t="shared" si="6"/>
        <v>0</v>
      </c>
      <c r="E14" s="67"/>
      <c r="F14" s="84">
        <f t="shared" si="7"/>
        <v>2025</v>
      </c>
      <c r="G14" s="60" t="s">
        <v>32</v>
      </c>
      <c r="H14" s="61" t="str">
        <f t="shared" si="8"/>
        <v>Interní nájmy ostatní</v>
      </c>
      <c r="I14" s="67" t="str">
        <f t="shared" si="9"/>
        <v>2025_Běžný provoz_Interní nájmy ostatní</v>
      </c>
      <c r="J14" s="61" t="s">
        <v>400</v>
      </c>
      <c r="K14" s="84" t="s">
        <v>408</v>
      </c>
      <c r="L14" s="84">
        <v>600.0</v>
      </c>
      <c r="M14" s="67"/>
      <c r="N14" s="67"/>
      <c r="O14" s="67"/>
      <c r="P14" s="67"/>
      <c r="Q14" s="67"/>
      <c r="R14" s="67"/>
      <c r="S14" s="67"/>
      <c r="T14" s="67"/>
      <c r="U14" s="67"/>
    </row>
    <row r="15">
      <c r="A15" s="81" t="s">
        <v>33</v>
      </c>
      <c r="B15" s="82">
        <v>1300.0</v>
      </c>
      <c r="C15" s="82">
        <f>-SUMIFS('Rozpočet - průběžný stav'!K:K,'Rozpočet - průběžný stav'!A:A,I15)</f>
        <v>1840</v>
      </c>
      <c r="D15" s="83">
        <f t="shared" si="6"/>
        <v>540</v>
      </c>
      <c r="E15" s="61" t="s">
        <v>409</v>
      </c>
      <c r="F15" s="84">
        <f t="shared" si="7"/>
        <v>2025</v>
      </c>
      <c r="G15" s="60" t="s">
        <v>32</v>
      </c>
      <c r="H15" s="61" t="str">
        <f t="shared" si="8"/>
        <v>Příspěvky ČSK</v>
      </c>
      <c r="I15" s="67" t="str">
        <f t="shared" si="9"/>
        <v>2025_Běžný provoz_Příspěvky ČSK</v>
      </c>
      <c r="J15" s="61" t="s">
        <v>400</v>
      </c>
      <c r="K15" s="61" t="s">
        <v>410</v>
      </c>
      <c r="L15" s="61" t="s">
        <v>403</v>
      </c>
      <c r="M15" s="67"/>
      <c r="N15" s="67"/>
      <c r="O15" s="67"/>
      <c r="P15" s="67"/>
      <c r="Q15" s="67"/>
      <c r="R15" s="67"/>
      <c r="S15" s="67"/>
      <c r="T15" s="67"/>
      <c r="U15" s="67"/>
    </row>
    <row r="16">
      <c r="A16" s="81" t="s">
        <v>385</v>
      </c>
      <c r="B16" s="82"/>
      <c r="C16" s="82">
        <f>-SUMIFS('Rozpočet - průběžný stav'!K:K,'Rozpočet - průběžný stav'!A:A,I16)</f>
        <v>4800</v>
      </c>
      <c r="D16" s="83">
        <f t="shared" si="6"/>
        <v>4800</v>
      </c>
      <c r="E16" s="61"/>
      <c r="F16" s="84">
        <f t="shared" si="7"/>
        <v>2025</v>
      </c>
      <c r="G16" s="60" t="s">
        <v>32</v>
      </c>
      <c r="H16" s="61" t="s">
        <v>385</v>
      </c>
      <c r="I16" s="67" t="str">
        <f t="shared" si="9"/>
        <v>2025_Běžný provoz_Příspěvky TJ Bohemians</v>
      </c>
      <c r="J16" s="61"/>
      <c r="K16" s="94"/>
      <c r="L16" s="94"/>
      <c r="M16" s="67"/>
      <c r="N16" s="67"/>
      <c r="O16" s="67"/>
      <c r="P16" s="67"/>
      <c r="Q16" s="67"/>
      <c r="R16" s="67"/>
      <c r="S16" s="67"/>
      <c r="T16" s="67"/>
      <c r="U16" s="67"/>
    </row>
    <row r="17">
      <c r="A17" s="81" t="s">
        <v>71</v>
      </c>
      <c r="B17" s="82">
        <v>6000.0</v>
      </c>
      <c r="C17" s="82">
        <f>-SUMIFS('Rozpočet - průběžný stav'!K:K,'Rozpočet - průběžný stav'!A:A,I17)</f>
        <v>0</v>
      </c>
      <c r="D17" s="83">
        <f t="shared" si="6"/>
        <v>-6000</v>
      </c>
      <c r="E17" s="61" t="s">
        <v>411</v>
      </c>
      <c r="F17" s="84">
        <f t="shared" si="7"/>
        <v>2025</v>
      </c>
      <c r="G17" s="60" t="s">
        <v>32</v>
      </c>
      <c r="H17" s="61" t="str">
        <f t="shared" ref="H17:H19" si="10">A17</f>
        <v>Údržba vleků</v>
      </c>
      <c r="I17" s="67" t="str">
        <f t="shared" si="9"/>
        <v>2025_Běžný provoz_Údržba vleků</v>
      </c>
      <c r="J17" s="61" t="s">
        <v>400</v>
      </c>
      <c r="K17" s="94" t="s">
        <v>412</v>
      </c>
      <c r="L17" s="94">
        <v>1000.0</v>
      </c>
      <c r="M17" s="67"/>
      <c r="N17" s="67"/>
      <c r="O17" s="67"/>
      <c r="P17" s="67"/>
      <c r="Q17" s="67"/>
      <c r="R17" s="67"/>
      <c r="S17" s="67"/>
      <c r="T17" s="67"/>
      <c r="U17" s="67"/>
    </row>
    <row r="18">
      <c r="A18" s="81" t="s">
        <v>148</v>
      </c>
      <c r="B18" s="82">
        <v>0.0</v>
      </c>
      <c r="C18" s="82">
        <f>-SUMIFS('Rozpočet - průběžný stav'!K:K,'Rozpočet - průběžný stav'!A:A,I18)</f>
        <v>2940</v>
      </c>
      <c r="D18" s="83">
        <f t="shared" si="6"/>
        <v>2940</v>
      </c>
      <c r="E18" s="67"/>
      <c r="F18" s="84">
        <f t="shared" si="7"/>
        <v>2025</v>
      </c>
      <c r="G18" s="60" t="s">
        <v>32</v>
      </c>
      <c r="H18" s="61" t="str">
        <f t="shared" si="10"/>
        <v>Materiál</v>
      </c>
      <c r="I18" s="67" t="str">
        <f t="shared" si="9"/>
        <v>2025_Běžný provoz_Materiál</v>
      </c>
      <c r="J18" s="61" t="s">
        <v>400</v>
      </c>
      <c r="K18" s="84" t="s">
        <v>413</v>
      </c>
      <c r="L18" s="84">
        <v>800.0</v>
      </c>
      <c r="M18" s="67"/>
      <c r="N18" s="67"/>
      <c r="O18" s="67"/>
      <c r="P18" s="67"/>
      <c r="Q18" s="67"/>
      <c r="R18" s="67"/>
      <c r="S18" s="67"/>
      <c r="T18" s="67"/>
      <c r="U18" s="67"/>
    </row>
    <row r="19">
      <c r="A19" s="81" t="s">
        <v>165</v>
      </c>
      <c r="B19" s="82">
        <v>600.0</v>
      </c>
      <c r="C19" s="82">
        <f>-SUMIFS('Rozpočet - průběžný stav'!K:K,'Rozpočet - průběžný stav'!A:A,I19)</f>
        <v>0</v>
      </c>
      <c r="D19" s="83">
        <f t="shared" si="6"/>
        <v>-600</v>
      </c>
      <c r="E19" s="61" t="s">
        <v>414</v>
      </c>
      <c r="F19" s="84">
        <f t="shared" si="7"/>
        <v>2025</v>
      </c>
      <c r="G19" s="60" t="s">
        <v>32</v>
      </c>
      <c r="H19" s="61" t="str">
        <f t="shared" si="10"/>
        <v>Výdaje ostatní</v>
      </c>
      <c r="I19" s="67" t="str">
        <f t="shared" si="9"/>
        <v>2025_Běžný provoz_Výdaje ostatní</v>
      </c>
      <c r="J19" s="61" t="s">
        <v>400</v>
      </c>
      <c r="K19" s="94" t="s">
        <v>415</v>
      </c>
      <c r="L19" s="94">
        <v>600.0</v>
      </c>
      <c r="M19" s="67"/>
      <c r="N19" s="67"/>
      <c r="O19" s="67"/>
      <c r="P19" s="67"/>
      <c r="Q19" s="67"/>
      <c r="R19" s="67"/>
      <c r="S19" s="67"/>
      <c r="T19" s="67"/>
      <c r="U19" s="67"/>
    </row>
    <row r="20">
      <c r="A20" s="97" t="s">
        <v>416</v>
      </c>
      <c r="B20" s="98">
        <f t="shared" ref="B20:C20" si="11">SUM(B12:B19)</f>
        <v>97900</v>
      </c>
      <c r="C20" s="98">
        <f t="shared" si="11"/>
        <v>94494</v>
      </c>
      <c r="D20" s="93">
        <f t="shared" si="6"/>
        <v>-3406</v>
      </c>
      <c r="E20" s="67"/>
      <c r="F20" s="67"/>
      <c r="G20" s="60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</row>
    <row r="21" ht="10.5" customHeight="1">
      <c r="A21" s="99"/>
      <c r="B21" s="100"/>
      <c r="C21" s="100"/>
      <c r="D21" s="95"/>
      <c r="E21" s="67"/>
      <c r="F21" s="67"/>
      <c r="G21" s="60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</row>
    <row r="22">
      <c r="A22" s="101" t="s">
        <v>417</v>
      </c>
      <c r="B22" s="102">
        <f t="shared" ref="B22:C22" si="12">B10-B20</f>
        <v>-11095</v>
      </c>
      <c r="C22" s="103">
        <f t="shared" si="12"/>
        <v>-35138.26</v>
      </c>
      <c r="D22" s="104">
        <f>C22-B22</f>
        <v>-24043.26</v>
      </c>
      <c r="E22" s="67"/>
      <c r="F22" s="67"/>
      <c r="G22" s="60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</row>
    <row r="23">
      <c r="A23" s="105"/>
      <c r="B23" s="106"/>
      <c r="C23" s="106"/>
      <c r="D23" s="10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</row>
    <row r="24">
      <c r="A24" s="108" t="s">
        <v>418</v>
      </c>
      <c r="B24" s="108" t="str">
        <f>CONCAT("Plán ",$F$1)</f>
        <v>Plán 2025</v>
      </c>
      <c r="C24" s="108" t="str">
        <f>CONCAT("Plnění ",$F$1)</f>
        <v>Plnění 2025</v>
      </c>
      <c r="D24" s="109" t="s">
        <v>395</v>
      </c>
      <c r="E24" s="110"/>
      <c r="F24" s="111" t="s">
        <v>14</v>
      </c>
      <c r="G24" s="111" t="s">
        <v>1</v>
      </c>
      <c r="H24" s="111" t="s">
        <v>2</v>
      </c>
      <c r="I24" s="111" t="s">
        <v>0</v>
      </c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</row>
    <row r="25">
      <c r="A25" s="77" t="s">
        <v>106</v>
      </c>
      <c r="B25" s="113"/>
      <c r="C25" s="113"/>
      <c r="D25" s="88"/>
      <c r="E25" s="67"/>
      <c r="F25" s="67"/>
      <c r="G25" s="48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</row>
    <row r="26">
      <c r="A26" s="43" t="s">
        <v>419</v>
      </c>
      <c r="B26" s="114">
        <v>0.0</v>
      </c>
      <c r="C26" s="114">
        <f>SUMIFS('Rozpočet - průběžný stav'!K:K,'Rozpočet - průběžný stav'!A:A,I26)</f>
        <v>31000</v>
      </c>
      <c r="D26" s="115"/>
      <c r="E26" s="67"/>
      <c r="F26" s="84">
        <f t="shared" ref="F26:F27" si="13">$F$1</f>
        <v>2025</v>
      </c>
      <c r="G26" s="116" t="s">
        <v>37</v>
      </c>
      <c r="H26" s="50" t="s">
        <v>95</v>
      </c>
      <c r="I26" s="67" t="str">
        <f t="shared" ref="I26:I27" si="14">F26&amp;"_"&amp;G26&amp;"_"&amp;H26</f>
        <v>2025_Hamerák-akce_Hamerák finance</v>
      </c>
      <c r="J26" s="61" t="s">
        <v>400</v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</row>
    <row r="27">
      <c r="A27" s="43" t="s">
        <v>316</v>
      </c>
      <c r="B27" s="114">
        <v>0.0</v>
      </c>
      <c r="C27" s="114">
        <f>SUMIFS('Rozpočet - průběžný stav'!K:K,'Rozpočet - průběžný stav'!A:A,I27)</f>
        <v>0</v>
      </c>
      <c r="D27" s="115">
        <f t="shared" ref="D27:D28" si="16">C27-B27</f>
        <v>0</v>
      </c>
      <c r="E27" s="67"/>
      <c r="F27" s="84">
        <f t="shared" si="13"/>
        <v>2025</v>
      </c>
      <c r="G27" s="48" t="s">
        <v>61</v>
      </c>
      <c r="H27" s="61" t="str">
        <f>A27</f>
        <v>Příjmy dotace a dary</v>
      </c>
      <c r="I27" s="67" t="str">
        <f t="shared" si="14"/>
        <v>2025_Podpora činnosti_Příjmy dotace a dary</v>
      </c>
      <c r="J27" s="61" t="s">
        <v>400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</row>
    <row r="28">
      <c r="A28" s="86" t="s">
        <v>420</v>
      </c>
      <c r="B28" s="117">
        <f t="shared" ref="B28:C28" si="15">SUM(B25:B27)</f>
        <v>0</v>
      </c>
      <c r="C28" s="117">
        <f t="shared" si="15"/>
        <v>31000</v>
      </c>
      <c r="D28" s="118">
        <f t="shared" si="16"/>
        <v>31000</v>
      </c>
      <c r="E28" s="67"/>
      <c r="F28" s="67"/>
      <c r="G28" s="48"/>
      <c r="H28" s="67"/>
      <c r="I28" s="67"/>
      <c r="J28" s="61" t="s">
        <v>400</v>
      </c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</row>
    <row r="29" ht="7.5" customHeight="1">
      <c r="A29" s="119"/>
      <c r="B29" s="120"/>
      <c r="C29" s="120"/>
      <c r="D29" s="115"/>
      <c r="E29" s="67"/>
      <c r="F29" s="67"/>
      <c r="G29" s="48"/>
      <c r="H29" s="67"/>
      <c r="I29" s="67"/>
      <c r="J29" s="61" t="s">
        <v>400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</row>
    <row r="30">
      <c r="A30" s="91" t="s">
        <v>404</v>
      </c>
      <c r="B30" s="121"/>
      <c r="C30" s="121"/>
      <c r="D30" s="93"/>
      <c r="E30" s="67"/>
      <c r="F30" s="67"/>
      <c r="G30" s="48"/>
      <c r="H30" s="67"/>
      <c r="I30" s="67"/>
      <c r="J30" s="61" t="s">
        <v>400</v>
      </c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</row>
    <row r="31">
      <c r="A31" s="43" t="s">
        <v>296</v>
      </c>
      <c r="B31" s="114">
        <v>30000.0</v>
      </c>
      <c r="C31" s="114">
        <f>-SUMIFS('Rozpočet - průběžný stav'!K:K,'Rozpočet - průběžný stav'!A:A,I31)</f>
        <v>15680.2</v>
      </c>
      <c r="D31" s="115">
        <f t="shared" ref="D31:D33" si="17">C31-B31</f>
        <v>-14319.8</v>
      </c>
      <c r="E31" s="67"/>
      <c r="F31" s="84">
        <f t="shared" ref="F31:F32" si="18">$F$1</f>
        <v>2025</v>
      </c>
      <c r="G31" s="48" t="s">
        <v>61</v>
      </c>
      <c r="H31" s="61" t="str">
        <f>A31</f>
        <v>Podpora akcí</v>
      </c>
      <c r="I31" s="67" t="str">
        <f t="shared" ref="I31:I32" si="19">F31&amp;"_"&amp;G31&amp;"_"&amp;H31</f>
        <v>2025_Podpora činnosti_Podpora akcí</v>
      </c>
      <c r="J31" s="61" t="s">
        <v>400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</row>
    <row r="32">
      <c r="A32" s="43" t="s">
        <v>421</v>
      </c>
      <c r="B32" s="114">
        <v>5000.0</v>
      </c>
      <c r="C32" s="114">
        <f>-SUMIFS('Rozpočet - průběžný stav'!K:K,'Rozpočet - průběžný stav'!A:A,I32)</f>
        <v>30340</v>
      </c>
      <c r="D32" s="115">
        <f t="shared" si="17"/>
        <v>25340</v>
      </c>
      <c r="E32" s="67"/>
      <c r="F32" s="84">
        <f t="shared" si="18"/>
        <v>2025</v>
      </c>
      <c r="G32" s="116" t="s">
        <v>37</v>
      </c>
      <c r="H32" s="50" t="s">
        <v>158</v>
      </c>
      <c r="I32" s="67" t="str">
        <f t="shared" si="19"/>
        <v>2025_Hamerák-akce_Náklady příprava</v>
      </c>
      <c r="J32" s="61" t="s">
        <v>400</v>
      </c>
      <c r="K32" s="122" t="s">
        <v>422</v>
      </c>
      <c r="L32" s="123" t="str">
        <f>C26-#REF!-C32</f>
        <v>#REF!</v>
      </c>
      <c r="M32" s="67"/>
      <c r="N32" s="67"/>
      <c r="O32" s="67"/>
      <c r="P32" s="67"/>
      <c r="Q32" s="67"/>
      <c r="R32" s="67"/>
      <c r="S32" s="67"/>
      <c r="T32" s="67"/>
      <c r="U32" s="67"/>
    </row>
    <row r="33">
      <c r="A33" s="97" t="s">
        <v>423</v>
      </c>
      <c r="B33" s="124">
        <f t="shared" ref="B33:C33" si="20">sum(B31:B32)</f>
        <v>35000</v>
      </c>
      <c r="C33" s="124">
        <f t="shared" si="20"/>
        <v>46020.2</v>
      </c>
      <c r="D33" s="93">
        <f t="shared" si="17"/>
        <v>11020.2</v>
      </c>
      <c r="E33" s="67"/>
      <c r="F33" s="67"/>
      <c r="G33" s="48"/>
      <c r="H33" s="67"/>
      <c r="I33" s="67"/>
      <c r="J33" s="61" t="s">
        <v>400</v>
      </c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</row>
    <row r="34" ht="9.0" customHeight="1">
      <c r="A34" s="119"/>
      <c r="B34" s="125"/>
      <c r="C34" s="125"/>
      <c r="D34" s="126"/>
      <c r="E34" s="67"/>
      <c r="F34" s="67"/>
      <c r="G34" s="48"/>
      <c r="H34" s="67"/>
      <c r="I34" s="67"/>
      <c r="J34" s="61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</row>
    <row r="35">
      <c r="A35" s="101" t="s">
        <v>424</v>
      </c>
      <c r="B35" s="127">
        <f t="shared" ref="B35:C35" si="21">B28-B33</f>
        <v>-35000</v>
      </c>
      <c r="C35" s="103">
        <f t="shared" si="21"/>
        <v>-15020.2</v>
      </c>
      <c r="D35" s="104">
        <f>C35-B35</f>
        <v>19979.8</v>
      </c>
      <c r="E35" s="67"/>
      <c r="F35" s="67"/>
      <c r="G35" s="48"/>
      <c r="H35" s="67"/>
      <c r="I35" s="67"/>
      <c r="J35" s="61" t="s">
        <v>400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</row>
    <row r="36" ht="9.75" customHeight="1">
      <c r="A36" s="119"/>
      <c r="B36" s="128"/>
      <c r="C36" s="128"/>
      <c r="D36" s="115"/>
      <c r="E36" s="67"/>
      <c r="F36" s="67"/>
      <c r="G36" s="67"/>
      <c r="H36" s="67"/>
      <c r="I36" s="67"/>
      <c r="J36" s="61" t="s">
        <v>400</v>
      </c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</row>
    <row r="37">
      <c r="A37" s="101" t="s">
        <v>425</v>
      </c>
      <c r="B37" s="129">
        <v>0.0</v>
      </c>
      <c r="C37" s="130">
        <f>C26-C32</f>
        <v>660</v>
      </c>
      <c r="D37" s="131"/>
      <c r="E37" s="67"/>
      <c r="F37" s="84"/>
      <c r="G37" s="61"/>
      <c r="H37" s="61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</row>
    <row r="38">
      <c r="A38" s="105"/>
      <c r="B38" s="106"/>
      <c r="C38" s="132">
        <f>-SUMIFS('Rozpočet - průběžný stav'!K:K,'Rozpočet - průběžný stav'!A:A,I38)</f>
        <v>0</v>
      </c>
      <c r="D38" s="133"/>
      <c r="E38" s="67"/>
      <c r="F38" s="84">
        <f t="shared" ref="F38:F40" si="22">$F$1</f>
        <v>2025</v>
      </c>
      <c r="G38" s="61" t="s">
        <v>27</v>
      </c>
      <c r="H38" s="61" t="s">
        <v>426</v>
      </c>
      <c r="I38" s="67" t="str">
        <f t="shared" ref="I38:I40" si="23">F38&amp;"_"&amp;G38&amp;"_"&amp;H38</f>
        <v>2025_Převody_Převod z 2019</v>
      </c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</row>
    <row r="39">
      <c r="A39" s="105"/>
      <c r="B39" s="106"/>
      <c r="C39" s="132">
        <f>-SUMIFS('Rozpočet - průběžný stav'!K:K,'Rozpočet - průběžný stav'!A:A,I39)</f>
        <v>0</v>
      </c>
      <c r="D39" s="133"/>
      <c r="E39" s="67"/>
      <c r="F39" s="84">
        <f t="shared" si="22"/>
        <v>2025</v>
      </c>
      <c r="G39" s="61" t="s">
        <v>27</v>
      </c>
      <c r="H39" s="61" t="s">
        <v>44</v>
      </c>
      <c r="I39" s="67" t="str">
        <f t="shared" si="23"/>
        <v>2025_Převody_převod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</row>
    <row r="40">
      <c r="A40" s="105"/>
      <c r="B40" s="106"/>
      <c r="C40" s="132">
        <f>-SUMIFS('Rozpočet - průběžný stav'!K:K,'Rozpočet - průběžný stav'!A:A,I40)</f>
        <v>0</v>
      </c>
      <c r="D40" s="133"/>
      <c r="E40" s="67"/>
      <c r="F40" s="84">
        <f t="shared" si="22"/>
        <v>2025</v>
      </c>
      <c r="G40" s="61" t="s">
        <v>27</v>
      </c>
      <c r="H40" s="61" t="s">
        <v>22</v>
      </c>
      <c r="I40" s="67" t="str">
        <f t="shared" si="23"/>
        <v>2025_Převody_stav</v>
      </c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</row>
    <row r="41">
      <c r="A41" s="105"/>
      <c r="B41" s="106"/>
      <c r="C41" s="106"/>
      <c r="D41" s="133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</row>
    <row r="42">
      <c r="A42" s="105"/>
      <c r="B42" s="106"/>
      <c r="C42" s="106"/>
      <c r="D42" s="133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</row>
    <row r="43">
      <c r="A43" s="134" t="s">
        <v>427</v>
      </c>
      <c r="B43" s="134" t="str">
        <f>CONCAT("Plán ",$F$1)</f>
        <v>Plán 2025</v>
      </c>
      <c r="C43" s="134" t="str">
        <f>CONCAT("Plnění ",$F$1)</f>
        <v>Plnění 2025</v>
      </c>
      <c r="D43" s="135" t="s">
        <v>395</v>
      </c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</row>
    <row r="44">
      <c r="A44" s="101" t="s">
        <v>428</v>
      </c>
      <c r="B44" s="130">
        <f>B2</f>
        <v>158324</v>
      </c>
      <c r="C44" s="127">
        <f>B44</f>
        <v>158324</v>
      </c>
      <c r="D44" s="13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</row>
    <row r="45">
      <c r="A45" s="138" t="s">
        <v>429</v>
      </c>
      <c r="B45" s="139">
        <f t="shared" ref="B45:C45" si="24">B10</f>
        <v>86805</v>
      </c>
      <c r="C45" s="139">
        <f t="shared" si="24"/>
        <v>59355.74</v>
      </c>
      <c r="D45" s="140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</row>
    <row r="46">
      <c r="A46" s="138" t="s">
        <v>430</v>
      </c>
      <c r="B46" s="139">
        <f t="shared" ref="B46:C46" si="25">B28</f>
        <v>0</v>
      </c>
      <c r="C46" s="139">
        <f t="shared" si="25"/>
        <v>31000</v>
      </c>
      <c r="D46" s="140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</row>
    <row r="47">
      <c r="A47" s="77" t="s">
        <v>431</v>
      </c>
      <c r="B47" s="117">
        <f t="shared" ref="B47:C47" si="26">B45+B46</f>
        <v>86805</v>
      </c>
      <c r="C47" s="117">
        <f t="shared" si="26"/>
        <v>90355.74</v>
      </c>
      <c r="D47" s="141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</row>
    <row r="48">
      <c r="A48" s="138" t="s">
        <v>432</v>
      </c>
      <c r="B48" s="139">
        <f t="shared" ref="B48:C48" si="27">-B20</f>
        <v>-97900</v>
      </c>
      <c r="C48" s="139">
        <f t="shared" si="27"/>
        <v>-94494</v>
      </c>
      <c r="D48" s="140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</row>
    <row r="49">
      <c r="A49" s="138" t="s">
        <v>433</v>
      </c>
      <c r="B49" s="139">
        <f t="shared" ref="B49:C49" si="28">-B33</f>
        <v>-35000</v>
      </c>
      <c r="C49" s="139">
        <f t="shared" si="28"/>
        <v>-46020.2</v>
      </c>
      <c r="D49" s="140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>
      <c r="A50" s="91" t="s">
        <v>434</v>
      </c>
      <c r="B50" s="142">
        <f t="shared" ref="B50:C50" si="29">B48+B49</f>
        <v>-132900</v>
      </c>
      <c r="C50" s="142">
        <f t="shared" si="29"/>
        <v>-140514.2</v>
      </c>
      <c r="D50" s="143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</row>
    <row r="51">
      <c r="A51" s="138" t="s">
        <v>435</v>
      </c>
      <c r="B51" s="144">
        <f t="shared" ref="B51:C51" si="30">B45+B48</f>
        <v>-11095</v>
      </c>
      <c r="C51" s="144">
        <f t="shared" si="30"/>
        <v>-35138.26</v>
      </c>
      <c r="D51" s="140"/>
      <c r="E51" s="132" t="s">
        <v>436</v>
      </c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</row>
    <row r="52">
      <c r="A52" s="138" t="s">
        <v>437</v>
      </c>
      <c r="B52" s="144">
        <f t="shared" ref="B52:C52" si="31">B46+B49</f>
        <v>-35000</v>
      </c>
      <c r="C52" s="144">
        <f t="shared" si="31"/>
        <v>-15020.2</v>
      </c>
      <c r="D52" s="140"/>
      <c r="E52" s="132" t="s">
        <v>438</v>
      </c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</row>
    <row r="53">
      <c r="A53" s="138" t="s">
        <v>439</v>
      </c>
      <c r="B53" s="145">
        <f t="shared" ref="B53:C53" si="32">B26-B32</f>
        <v>-5000</v>
      </c>
      <c r="C53" s="145">
        <f t="shared" si="32"/>
        <v>660</v>
      </c>
      <c r="D53" s="140"/>
      <c r="E53" s="61" t="s">
        <v>440</v>
      </c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</row>
    <row r="54">
      <c r="A54" s="101" t="s">
        <v>441</v>
      </c>
      <c r="B54" s="127">
        <f t="shared" ref="B54:C54" si="33">B47+B50</f>
        <v>-46095</v>
      </c>
      <c r="C54" s="127">
        <f t="shared" si="33"/>
        <v>-50158.46</v>
      </c>
      <c r="D54" s="13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</row>
    <row r="55">
      <c r="A55" s="101" t="s">
        <v>442</v>
      </c>
      <c r="B55" s="130">
        <f t="shared" ref="B55:C55" si="34">B44+B47+B50</f>
        <v>112229</v>
      </c>
      <c r="C55" s="130">
        <f t="shared" si="34"/>
        <v>108165.54</v>
      </c>
      <c r="D55" s="13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</row>
    <row r="56">
      <c r="A56" s="67"/>
      <c r="B56" s="106"/>
      <c r="C56" s="132" t="s">
        <v>443</v>
      </c>
      <c r="D56" s="106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</row>
    <row r="58">
      <c r="A58" s="146" t="s">
        <v>444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</row>
    <row r="59">
      <c r="A59" s="61" t="s">
        <v>445</v>
      </c>
      <c r="B59" s="67"/>
      <c r="C59" s="61" t="s">
        <v>446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</row>
    <row r="60">
      <c r="A60" s="61" t="s">
        <v>447</v>
      </c>
      <c r="B60" s="106">
        <v>80000.0</v>
      </c>
      <c r="C60" s="106">
        <v>80000.0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</row>
    <row r="61">
      <c r="A61" s="61" t="s">
        <v>448</v>
      </c>
      <c r="B61" s="106">
        <f>-B49</f>
        <v>35000</v>
      </c>
      <c r="C61" s="106">
        <f>-B49</f>
        <v>35000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</row>
    <row r="62">
      <c r="A62" s="61" t="s">
        <v>449</v>
      </c>
      <c r="B62" s="106">
        <f t="shared" ref="B62:C62" si="35">B55</f>
        <v>112229</v>
      </c>
      <c r="C62" s="106">
        <f t="shared" si="35"/>
        <v>108165.54</v>
      </c>
      <c r="D62" s="61" t="s">
        <v>450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</row>
    <row r="63">
      <c r="A63" s="61" t="s">
        <v>451</v>
      </c>
      <c r="B63" s="106">
        <f t="shared" ref="B63:C63" si="36">B62-B$61</f>
        <v>77229</v>
      </c>
      <c r="C63" s="106">
        <f t="shared" si="36"/>
        <v>73165.54</v>
      </c>
      <c r="D63" s="61" t="s">
        <v>452</v>
      </c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</row>
    <row r="64">
      <c r="A64" s="61" t="s">
        <v>453</v>
      </c>
      <c r="B64" s="106">
        <f t="shared" ref="B64:C64" si="37">B63-B$61</f>
        <v>42229</v>
      </c>
      <c r="C64" s="106">
        <f t="shared" si="37"/>
        <v>38165.54</v>
      </c>
      <c r="D64" s="61" t="s">
        <v>454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</row>
    <row r="65">
      <c r="A65" s="61" t="s">
        <v>455</v>
      </c>
      <c r="B65" s="106">
        <f t="shared" ref="B65:C65" si="38">B64-B$61</f>
        <v>7229</v>
      </c>
      <c r="C65" s="106">
        <f t="shared" si="38"/>
        <v>3165.54</v>
      </c>
      <c r="D65" s="61" t="s">
        <v>456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</row>
    <row r="66">
      <c r="A66" s="61" t="s">
        <v>457</v>
      </c>
      <c r="B66" s="147">
        <f t="shared" ref="B66:C66" si="39">1+(B62-B60)/B61</f>
        <v>1.920828571</v>
      </c>
      <c r="C66" s="147">
        <f t="shared" si="39"/>
        <v>1.804729714</v>
      </c>
      <c r="D66" s="61" t="s">
        <v>458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</row>
    <row r="1002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</row>
    <row r="1003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</row>
    <row r="1004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</row>
    <row r="1005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</row>
    <row r="1006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</row>
    <row r="1007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</row>
    <row r="1008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</row>
    <row r="1009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</row>
    <row r="1010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</row>
    <row r="1011">
      <c r="A1011" s="67"/>
      <c r="B1011" s="67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</row>
    <row r="1012">
      <c r="A1012" s="67"/>
      <c r="B1012" s="67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</row>
    <row r="1013">
      <c r="A1013" s="67"/>
      <c r="B1013" s="67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</row>
    <row r="1014">
      <c r="A1014" s="67"/>
      <c r="B1014" s="67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</row>
    <row r="1015">
      <c r="A1015" s="67"/>
      <c r="B1015" s="67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</row>
    <row r="1016">
      <c r="A1016" s="67"/>
      <c r="B1016" s="67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</row>
    <row r="1017">
      <c r="A1017" s="67"/>
      <c r="B1017" s="67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</row>
    <row r="1018">
      <c r="A1018" s="67"/>
      <c r="B1018" s="67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</row>
    <row r="1019">
      <c r="A1019" s="67"/>
      <c r="B1019" s="67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</row>
    <row r="1020">
      <c r="A1020" s="67"/>
      <c r="B1020" s="67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</row>
    <row r="1021">
      <c r="A1021" s="67"/>
      <c r="B1021" s="67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</row>
    <row r="1022">
      <c r="A1022" s="67"/>
      <c r="B1022" s="67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</row>
  </sheetData>
  <conditionalFormatting sqref="B66:C66">
    <cfRule type="colorScale" priority="1">
      <colorScale>
        <cfvo type="formula" val="0"/>
        <cfvo type="formula" val="1"/>
        <cfvo type="formula" val="2"/>
        <color rgb="FFFF0000"/>
        <color rgb="FFFFFF00"/>
        <color rgb="FF00FF00"/>
      </colorScale>
    </cfRule>
  </conditionalFormatting>
  <conditionalFormatting sqref="B62:C65">
    <cfRule type="cellIs" dxfId="2" priority="2" operator="lessThan">
      <formula>B$60</formula>
    </cfRule>
  </conditionalFormatting>
  <conditionalFormatting sqref="B62:C65">
    <cfRule type="cellIs" dxfId="1" priority="3" operator="greaterThanOrEqual">
      <formula>B$60</formula>
    </cfRule>
  </conditionalFormatting>
  <printOptions gridLines="1" horizontalCentered="1"/>
  <pageMargins bottom="0.75" footer="0.0" header="0.0" left="0.7" right="0.7" top="0.75"/>
  <pageSetup fitToWidth="0"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5.0"/>
    <col customWidth="1" min="3" max="3" width="15.5"/>
    <col customWidth="1" min="8" max="8" width="17.75"/>
    <col customWidth="1" min="9" max="9" width="34.63"/>
    <col customWidth="1" min="11" max="11" width="15.63"/>
  </cols>
  <sheetData>
    <row r="1">
      <c r="A1" s="64" t="str">
        <f>CONCAT("Rozpočet OVT ",$F$1)</f>
        <v>Rozpočet OVT 2024</v>
      </c>
      <c r="B1" s="65" t="s">
        <v>393</v>
      </c>
      <c r="C1" s="65" t="s">
        <v>394</v>
      </c>
      <c r="D1" s="66" t="s">
        <v>395</v>
      </c>
      <c r="E1" s="67"/>
      <c r="F1" s="61">
        <v>2024.0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>
      <c r="A2" s="68" t="str">
        <f>CONCAT("Převod z roku ",$F$1-1)</f>
        <v>Převod z roku 2023</v>
      </c>
      <c r="B2" s="69">
        <v>181921.0</v>
      </c>
      <c r="C2" s="61" t="s">
        <v>396</v>
      </c>
      <c r="D2" s="70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>
      <c r="A3" s="71"/>
      <c r="B3" s="67"/>
      <c r="C3" s="61"/>
      <c r="D3" s="72"/>
      <c r="E3" s="67"/>
      <c r="F3" s="73" t="s">
        <v>397</v>
      </c>
      <c r="G3" s="74"/>
      <c r="H3" s="74"/>
      <c r="I3" s="74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</row>
    <row r="4">
      <c r="A4" s="75" t="s">
        <v>398</v>
      </c>
      <c r="B4" s="75" t="str">
        <f>CONCAT("Plán ",$F$1)</f>
        <v>Plán 2024</v>
      </c>
      <c r="C4" s="75" t="str">
        <f>CONCAT("Plnění ",$F$1)</f>
        <v>Plnění 2024</v>
      </c>
      <c r="D4" s="76" t="s">
        <v>395</v>
      </c>
      <c r="E4" s="74"/>
      <c r="F4" s="73" t="s">
        <v>14</v>
      </c>
      <c r="G4" s="73" t="s">
        <v>1</v>
      </c>
      <c r="H4" s="73" t="s">
        <v>2</v>
      </c>
      <c r="I4" s="73" t="s">
        <v>0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</row>
    <row r="5">
      <c r="A5" s="77" t="s">
        <v>106</v>
      </c>
      <c r="B5" s="78"/>
      <c r="C5" s="79"/>
      <c r="D5" s="80" t="s">
        <v>399</v>
      </c>
      <c r="E5" s="67"/>
      <c r="F5" s="67"/>
      <c r="G5" s="60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</row>
    <row r="6">
      <c r="A6" s="81" t="s">
        <v>34</v>
      </c>
      <c r="B6" s="82">
        <v>65000.0</v>
      </c>
      <c r="C6" s="82">
        <f>SUMIFS('Rozpočet - průběžný stav'!K:K,'Rozpočet - průběžný stav'!A:A,I6)</f>
        <v>68400</v>
      </c>
      <c r="D6" s="83">
        <f>C6-B6</f>
        <v>3400</v>
      </c>
      <c r="E6" s="67"/>
      <c r="F6" s="84">
        <f t="shared" ref="F6:F9" si="1">$F$1</f>
        <v>2024</v>
      </c>
      <c r="G6" s="60" t="s">
        <v>32</v>
      </c>
      <c r="H6" s="61" t="str">
        <f t="shared" ref="H6:H9" si="2">A6</f>
        <v>Příspěvky</v>
      </c>
      <c r="I6" s="67" t="str">
        <f t="shared" ref="I6:I9" si="3">F6&amp;"_"&amp;G6&amp;"_"&amp;H6</f>
        <v>2024_Běžný provoz_Příspěvky</v>
      </c>
      <c r="J6" s="61" t="s">
        <v>400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</row>
    <row r="7">
      <c r="A7" s="81" t="s">
        <v>186</v>
      </c>
      <c r="B7" s="82">
        <v>14305.0</v>
      </c>
      <c r="C7" s="82">
        <f>SUMIFS('Rozpočet - průběžný stav'!K:K,'Rozpočet - průběžný stav'!A:A,I7)</f>
        <v>0</v>
      </c>
      <c r="D7" s="83"/>
      <c r="E7" s="67"/>
      <c r="F7" s="84">
        <f t="shared" si="1"/>
        <v>2024</v>
      </c>
      <c r="G7" s="60" t="s">
        <v>32</v>
      </c>
      <c r="H7" s="61" t="str">
        <f t="shared" si="2"/>
        <v>Přeúčtování TOM</v>
      </c>
      <c r="I7" s="67" t="str">
        <f t="shared" si="3"/>
        <v>2024_Běžný provoz_Přeúčtování TOM</v>
      </c>
      <c r="J7" s="61" t="s">
        <v>400</v>
      </c>
      <c r="K7" s="85" t="s">
        <v>42</v>
      </c>
      <c r="L7" s="67"/>
      <c r="M7" s="67"/>
      <c r="N7" s="67"/>
      <c r="O7" s="67"/>
      <c r="P7" s="67"/>
      <c r="Q7" s="67"/>
      <c r="R7" s="67"/>
      <c r="S7" s="67"/>
      <c r="T7" s="67"/>
      <c r="U7" s="67"/>
    </row>
    <row r="8">
      <c r="A8" s="81" t="s">
        <v>255</v>
      </c>
      <c r="B8" s="82">
        <v>5000.0</v>
      </c>
      <c r="C8" s="82">
        <f>SUMIFS('Rozpočet - průběžný stav'!K:K,'Rozpočet - průběžný stav'!A:A,I8)</f>
        <v>0</v>
      </c>
      <c r="D8" s="83">
        <f>C8-B8</f>
        <v>-5000</v>
      </c>
      <c r="E8" s="67"/>
      <c r="F8" s="84">
        <f t="shared" si="1"/>
        <v>2024</v>
      </c>
      <c r="G8" s="60" t="s">
        <v>32</v>
      </c>
      <c r="H8" s="61" t="str">
        <f t="shared" si="2"/>
        <v>Příjem půjčení vleků</v>
      </c>
      <c r="I8" s="67" t="str">
        <f t="shared" si="3"/>
        <v>2024_Běžný provoz_Příjem půjčení vleků</v>
      </c>
      <c r="J8" s="61" t="s">
        <v>400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</row>
    <row r="9">
      <c r="A9" s="81" t="s">
        <v>377</v>
      </c>
      <c r="B9" s="82"/>
      <c r="C9" s="82">
        <f>SUMIFS('Rozpočet - průběžný stav'!K:K,'Rozpočet - průběžný stav'!A:A,I9)</f>
        <v>2954.46</v>
      </c>
      <c r="D9" s="83"/>
      <c r="E9" s="67"/>
      <c r="F9" s="84">
        <f t="shared" si="1"/>
        <v>2024</v>
      </c>
      <c r="G9" s="60" t="s">
        <v>32</v>
      </c>
      <c r="H9" s="61" t="str">
        <f t="shared" si="2"/>
        <v>Ostatní</v>
      </c>
      <c r="I9" s="67" t="str">
        <f t="shared" si="3"/>
        <v>2024_Běžný provoz_Ostatní</v>
      </c>
      <c r="J9" s="61" t="s">
        <v>400</v>
      </c>
      <c r="K9" s="61"/>
      <c r="L9" s="67"/>
      <c r="M9" s="67"/>
      <c r="N9" s="67"/>
      <c r="O9" s="67"/>
      <c r="P9" s="67"/>
      <c r="Q9" s="67"/>
      <c r="R9" s="67"/>
      <c r="S9" s="67"/>
      <c r="T9" s="67"/>
      <c r="U9" s="67"/>
    </row>
    <row r="10">
      <c r="A10" s="86" t="s">
        <v>401</v>
      </c>
      <c r="B10" s="87">
        <f t="shared" ref="B10:C10" si="4">SUM(B6:B9)</f>
        <v>84305</v>
      </c>
      <c r="C10" s="87">
        <f t="shared" si="4"/>
        <v>71354.46</v>
      </c>
      <c r="D10" s="88">
        <f>C10-B10</f>
        <v>-12950.54</v>
      </c>
      <c r="E10" s="67"/>
      <c r="F10" s="67"/>
      <c r="G10" s="60"/>
      <c r="H10" s="67"/>
      <c r="I10" s="67"/>
      <c r="J10" s="61" t="s">
        <v>400</v>
      </c>
      <c r="K10" s="61" t="s">
        <v>402</v>
      </c>
      <c r="L10" s="61" t="s">
        <v>403</v>
      </c>
      <c r="M10" s="67"/>
      <c r="N10" s="67"/>
      <c r="O10" s="67"/>
      <c r="P10" s="67"/>
      <c r="Q10" s="67"/>
      <c r="R10" s="67"/>
      <c r="S10" s="67"/>
      <c r="T10" s="67"/>
      <c r="U10" s="67"/>
    </row>
    <row r="11" ht="6.75" customHeight="1">
      <c r="A11" s="89"/>
      <c r="B11" s="90"/>
      <c r="C11" s="90"/>
      <c r="D11" s="83"/>
      <c r="E11" s="67"/>
      <c r="F11" s="67"/>
      <c r="G11" s="60"/>
      <c r="H11" s="67"/>
      <c r="I11" s="67"/>
      <c r="J11" s="61" t="s">
        <v>400</v>
      </c>
      <c r="K11" s="61"/>
      <c r="L11" s="61"/>
      <c r="M11" s="67"/>
      <c r="N11" s="67"/>
      <c r="O11" s="67"/>
      <c r="P11" s="67"/>
      <c r="Q11" s="67"/>
      <c r="R11" s="67"/>
      <c r="S11" s="67"/>
      <c r="T11" s="67"/>
      <c r="U11" s="67"/>
    </row>
    <row r="12">
      <c r="A12" s="91" t="s">
        <v>404</v>
      </c>
      <c r="B12" s="92"/>
      <c r="C12" s="92"/>
      <c r="D12" s="93"/>
      <c r="E12" s="67"/>
      <c r="F12" s="67"/>
      <c r="G12" s="60"/>
      <c r="H12" s="67"/>
      <c r="I12" s="67"/>
      <c r="J12" s="61" t="s">
        <v>400</v>
      </c>
      <c r="K12" s="94"/>
      <c r="L12" s="94">
        <v>1000.0</v>
      </c>
      <c r="M12" s="67"/>
      <c r="N12" s="67"/>
      <c r="O12" s="67"/>
      <c r="P12" s="67"/>
      <c r="Q12" s="67"/>
      <c r="R12" s="67"/>
      <c r="S12" s="67"/>
      <c r="T12" s="67"/>
      <c r="U12" s="67"/>
    </row>
    <row r="13">
      <c r="A13" s="81" t="s">
        <v>49</v>
      </c>
      <c r="B13" s="82">
        <v>85484.0</v>
      </c>
      <c r="C13" s="82">
        <f>-SUMIFS('Rozpočet - průběžný stav'!K:K,'Rozpočet - průběžný stav'!A:A,I13)</f>
        <v>92704</v>
      </c>
      <c r="D13" s="95">
        <f t="shared" ref="D13:D19" si="5">C13-B13</f>
        <v>7220</v>
      </c>
      <c r="E13" s="67"/>
      <c r="F13" s="84">
        <f t="shared" ref="F13:F18" si="6">$F$1</f>
        <v>2024</v>
      </c>
      <c r="G13" s="60" t="s">
        <v>32</v>
      </c>
      <c r="H13" s="61" t="str">
        <f t="shared" ref="H13:H18" si="7">A13</f>
        <v>Interní nájmy</v>
      </c>
      <c r="I13" s="67" t="str">
        <f t="shared" ref="I13:I18" si="8">F13&amp;"_"&amp;G13&amp;"_"&amp;H13</f>
        <v>2024_Běžný provoz_Interní nájmy</v>
      </c>
      <c r="J13" s="61" t="s">
        <v>400</v>
      </c>
      <c r="K13" s="94"/>
      <c r="L13" s="94">
        <v>800.0</v>
      </c>
      <c r="M13" s="67"/>
      <c r="N13" s="67"/>
      <c r="O13" s="67"/>
      <c r="P13" s="67"/>
      <c r="Q13" s="67"/>
      <c r="R13" s="67"/>
      <c r="S13" s="67"/>
      <c r="T13" s="67"/>
      <c r="U13" s="67"/>
    </row>
    <row r="14">
      <c r="A14" s="81" t="s">
        <v>407</v>
      </c>
      <c r="B14" s="96"/>
      <c r="C14" s="82">
        <f>-SUMIFS('Rozpočet - průběžný stav'!K:K,'Rozpočet - průběžný stav'!A:A,I14)</f>
        <v>0</v>
      </c>
      <c r="D14" s="83">
        <f t="shared" si="5"/>
        <v>0</v>
      </c>
      <c r="E14" s="67"/>
      <c r="F14" s="84">
        <f t="shared" si="6"/>
        <v>2024</v>
      </c>
      <c r="G14" s="60" t="s">
        <v>32</v>
      </c>
      <c r="H14" s="61" t="str">
        <f t="shared" si="7"/>
        <v>Interní nájmy ostatní</v>
      </c>
      <c r="I14" s="67" t="str">
        <f t="shared" si="8"/>
        <v>2024_Běžný provoz_Interní nájmy ostatní</v>
      </c>
      <c r="J14" s="61" t="s">
        <v>400</v>
      </c>
      <c r="K14" s="84"/>
      <c r="L14" s="84">
        <v>600.0</v>
      </c>
      <c r="M14" s="67"/>
      <c r="N14" s="67"/>
      <c r="O14" s="67"/>
      <c r="P14" s="67"/>
      <c r="Q14" s="67"/>
      <c r="R14" s="67"/>
      <c r="S14" s="67"/>
      <c r="T14" s="67"/>
      <c r="U14" s="67"/>
    </row>
    <row r="15">
      <c r="A15" s="81" t="s">
        <v>33</v>
      </c>
      <c r="B15" s="82">
        <v>1300.0</v>
      </c>
      <c r="C15" s="82">
        <f>-SUMIFS('Rozpočet - průběžný stav'!K:K,'Rozpočet - průběžný stav'!A:A,I15)</f>
        <v>1270</v>
      </c>
      <c r="D15" s="83">
        <f t="shared" si="5"/>
        <v>-30</v>
      </c>
      <c r="E15" s="61" t="s">
        <v>409</v>
      </c>
      <c r="F15" s="84">
        <f t="shared" si="6"/>
        <v>2024</v>
      </c>
      <c r="G15" s="60" t="s">
        <v>32</v>
      </c>
      <c r="H15" s="61" t="str">
        <f t="shared" si="7"/>
        <v>Příspěvky ČSK</v>
      </c>
      <c r="I15" s="67" t="str">
        <f t="shared" si="8"/>
        <v>2024_Běžný provoz_Příspěvky ČSK</v>
      </c>
      <c r="J15" s="61" t="s">
        <v>400</v>
      </c>
      <c r="K15" s="61" t="s">
        <v>410</v>
      </c>
      <c r="L15" s="61" t="s">
        <v>403</v>
      </c>
      <c r="M15" s="67"/>
      <c r="N15" s="67"/>
      <c r="O15" s="67"/>
      <c r="P15" s="67"/>
      <c r="Q15" s="67"/>
      <c r="R15" s="67"/>
      <c r="S15" s="67"/>
      <c r="T15" s="67"/>
      <c r="U15" s="67"/>
    </row>
    <row r="16">
      <c r="A16" s="81" t="s">
        <v>71</v>
      </c>
      <c r="B16" s="82">
        <v>5000.0</v>
      </c>
      <c r="C16" s="82">
        <f>-SUMIFS('Rozpočet - průběžný stav'!K:K,'Rozpočet - průběžný stav'!A:A,I16)</f>
        <v>8481</v>
      </c>
      <c r="D16" s="83">
        <f t="shared" si="5"/>
        <v>3481</v>
      </c>
      <c r="E16" s="61" t="s">
        <v>411</v>
      </c>
      <c r="F16" s="84">
        <f t="shared" si="6"/>
        <v>2024</v>
      </c>
      <c r="G16" s="60" t="s">
        <v>32</v>
      </c>
      <c r="H16" s="61" t="str">
        <f t="shared" si="7"/>
        <v>Údržba vleků</v>
      </c>
      <c r="I16" s="67" t="str">
        <f t="shared" si="8"/>
        <v>2024_Běžný provoz_Údržba vleků</v>
      </c>
      <c r="J16" s="61" t="s">
        <v>400</v>
      </c>
      <c r="K16" s="94"/>
      <c r="L16" s="94">
        <v>1000.0</v>
      </c>
      <c r="M16" s="67"/>
      <c r="N16" s="67"/>
      <c r="O16" s="67"/>
      <c r="P16" s="67"/>
      <c r="Q16" s="67"/>
      <c r="R16" s="67"/>
      <c r="S16" s="67"/>
      <c r="T16" s="67"/>
      <c r="U16" s="67"/>
    </row>
    <row r="17">
      <c r="A17" s="81" t="s">
        <v>148</v>
      </c>
      <c r="B17" s="82">
        <v>1000.0</v>
      </c>
      <c r="C17" s="82">
        <f>-SUMIFS('Rozpočet - průběžný stav'!K:K,'Rozpočet - průběžný stav'!A:A,I17)</f>
        <v>0</v>
      </c>
      <c r="D17" s="83">
        <f t="shared" si="5"/>
        <v>-1000</v>
      </c>
      <c r="E17" s="67"/>
      <c r="F17" s="84">
        <f t="shared" si="6"/>
        <v>2024</v>
      </c>
      <c r="G17" s="60" t="s">
        <v>32</v>
      </c>
      <c r="H17" s="61" t="str">
        <f t="shared" si="7"/>
        <v>Materiál</v>
      </c>
      <c r="I17" s="67" t="str">
        <f t="shared" si="8"/>
        <v>2024_Běžný provoz_Materiál</v>
      </c>
      <c r="J17" s="61" t="s">
        <v>400</v>
      </c>
      <c r="K17" s="84"/>
      <c r="L17" s="84">
        <v>800.0</v>
      </c>
      <c r="M17" s="67"/>
      <c r="N17" s="67"/>
      <c r="O17" s="67"/>
      <c r="P17" s="67"/>
      <c r="Q17" s="67"/>
      <c r="R17" s="67"/>
      <c r="S17" s="67"/>
      <c r="T17" s="67"/>
      <c r="U17" s="67"/>
    </row>
    <row r="18">
      <c r="A18" s="81" t="s">
        <v>165</v>
      </c>
      <c r="B18" s="82"/>
      <c r="C18" s="82">
        <f>-SUMIFS('Rozpočet - průběžný stav'!K:K,'Rozpočet - průběžný stav'!A:A,I18)</f>
        <v>3555</v>
      </c>
      <c r="D18" s="83">
        <f t="shared" si="5"/>
        <v>3555</v>
      </c>
      <c r="E18" s="61"/>
      <c r="F18" s="84">
        <f t="shared" si="6"/>
        <v>2024</v>
      </c>
      <c r="G18" s="60" t="s">
        <v>32</v>
      </c>
      <c r="H18" s="61" t="str">
        <f t="shared" si="7"/>
        <v>Výdaje ostatní</v>
      </c>
      <c r="I18" s="67" t="str">
        <f t="shared" si="8"/>
        <v>2024_Běžný provoz_Výdaje ostatní</v>
      </c>
      <c r="J18" s="61" t="s">
        <v>400</v>
      </c>
      <c r="K18" s="94"/>
      <c r="L18" s="94">
        <v>600.0</v>
      </c>
      <c r="M18" s="67"/>
      <c r="N18" s="67"/>
      <c r="O18" s="67"/>
      <c r="P18" s="67"/>
      <c r="Q18" s="67"/>
      <c r="R18" s="67"/>
      <c r="S18" s="67"/>
      <c r="T18" s="67"/>
      <c r="U18" s="67"/>
    </row>
    <row r="19">
      <c r="A19" s="97" t="s">
        <v>416</v>
      </c>
      <c r="B19" s="98">
        <f t="shared" ref="B19:C19" si="9">SUM(B12:B18)</f>
        <v>92784</v>
      </c>
      <c r="C19" s="98">
        <f t="shared" si="9"/>
        <v>106010</v>
      </c>
      <c r="D19" s="93">
        <f t="shared" si="5"/>
        <v>13226</v>
      </c>
      <c r="E19" s="67"/>
      <c r="F19" s="67"/>
      <c r="G19" s="60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</row>
    <row r="20" ht="10.5" customHeight="1">
      <c r="A20" s="99"/>
      <c r="B20" s="100"/>
      <c r="C20" s="100"/>
      <c r="D20" s="95"/>
      <c r="E20" s="67"/>
      <c r="F20" s="67"/>
      <c r="G20" s="60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</row>
    <row r="21">
      <c r="A21" s="101" t="s">
        <v>417</v>
      </c>
      <c r="B21" s="102">
        <f t="shared" ref="B21:C21" si="10">B10-B19</f>
        <v>-8479</v>
      </c>
      <c r="C21" s="103">
        <f t="shared" si="10"/>
        <v>-34655.54</v>
      </c>
      <c r="D21" s="104">
        <f>C21-B21</f>
        <v>-26176.54</v>
      </c>
      <c r="E21" s="67"/>
      <c r="F21" s="67"/>
      <c r="G21" s="60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</row>
    <row r="22">
      <c r="A22" s="105"/>
      <c r="B22" s="106"/>
      <c r="C22" s="106"/>
      <c r="D22" s="10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</row>
    <row r="23">
      <c r="A23" s="108" t="s">
        <v>418</v>
      </c>
      <c r="B23" s="108" t="str">
        <f>CONCAT("Plán ",$F$1)</f>
        <v>Plán 2024</v>
      </c>
      <c r="C23" s="108" t="str">
        <f>CONCAT("Plnění ",$F$1)</f>
        <v>Plnění 2024</v>
      </c>
      <c r="D23" s="109" t="s">
        <v>395</v>
      </c>
      <c r="E23" s="110"/>
      <c r="F23" s="111" t="s">
        <v>14</v>
      </c>
      <c r="G23" s="111" t="s">
        <v>1</v>
      </c>
      <c r="H23" s="111" t="s">
        <v>2</v>
      </c>
      <c r="I23" s="111" t="s">
        <v>0</v>
      </c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>
      <c r="A24" s="77" t="s">
        <v>106</v>
      </c>
      <c r="B24" s="113"/>
      <c r="C24" s="113"/>
      <c r="D24" s="88"/>
      <c r="E24" s="67"/>
      <c r="F24" s="67"/>
      <c r="G24" s="48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</row>
    <row r="25">
      <c r="A25" s="43" t="s">
        <v>419</v>
      </c>
      <c r="B25" s="114">
        <v>0.0</v>
      </c>
      <c r="C25" s="114">
        <f>SUMIFS('Rozpočet - průběžný stav'!K:K,'Rozpočet - průběžný stav'!A:A,I25)</f>
        <v>27578</v>
      </c>
      <c r="D25" s="115">
        <f t="shared" ref="D25:D27" si="11">C25-B25</f>
        <v>27578</v>
      </c>
      <c r="E25" s="67"/>
      <c r="F25" s="84">
        <f t="shared" ref="F25:F26" si="12">$F$1</f>
        <v>2024</v>
      </c>
      <c r="G25" s="116" t="s">
        <v>37</v>
      </c>
      <c r="H25" s="50" t="s">
        <v>95</v>
      </c>
      <c r="I25" s="67" t="str">
        <f t="shared" ref="I25:I26" si="13">F25&amp;"_"&amp;G25&amp;"_"&amp;H25</f>
        <v>2024_Hamerák-akce_Hamerák finance</v>
      </c>
      <c r="J25" s="61" t="s">
        <v>400</v>
      </c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</row>
    <row r="26">
      <c r="A26" s="43" t="s">
        <v>316</v>
      </c>
      <c r="B26" s="114">
        <v>2000.0</v>
      </c>
      <c r="C26" s="114">
        <f>SUMIFS('Rozpočet - průběžný stav'!K:K,'Rozpočet - průběžný stav'!A:A,I26)</f>
        <v>0</v>
      </c>
      <c r="D26" s="115">
        <f t="shared" si="11"/>
        <v>-2000</v>
      </c>
      <c r="E26" s="67"/>
      <c r="F26" s="84">
        <f t="shared" si="12"/>
        <v>2024</v>
      </c>
      <c r="G26" s="48" t="s">
        <v>61</v>
      </c>
      <c r="H26" s="61" t="str">
        <f>A26</f>
        <v>Příjmy dotace a dary</v>
      </c>
      <c r="I26" s="67" t="str">
        <f t="shared" si="13"/>
        <v>2024_Podpora činnosti_Příjmy dotace a dary</v>
      </c>
      <c r="J26" s="61" t="s">
        <v>400</v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</row>
    <row r="27">
      <c r="A27" s="86" t="s">
        <v>420</v>
      </c>
      <c r="B27" s="117">
        <f t="shared" ref="B27:C27" si="14">SUM(B24:B26)</f>
        <v>2000</v>
      </c>
      <c r="C27" s="117">
        <f t="shared" si="14"/>
        <v>27578</v>
      </c>
      <c r="D27" s="118">
        <f t="shared" si="11"/>
        <v>25578</v>
      </c>
      <c r="E27" s="67"/>
      <c r="F27" s="67"/>
      <c r="G27" s="48"/>
      <c r="H27" s="67"/>
      <c r="I27" s="67"/>
      <c r="J27" s="61" t="s">
        <v>400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</row>
    <row r="28" ht="7.5" customHeight="1">
      <c r="A28" s="119"/>
      <c r="B28" s="120"/>
      <c r="C28" s="120"/>
      <c r="D28" s="115"/>
      <c r="E28" s="67"/>
      <c r="F28" s="67"/>
      <c r="G28" s="48"/>
      <c r="H28" s="67"/>
      <c r="I28" s="67"/>
      <c r="J28" s="61" t="s">
        <v>400</v>
      </c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</row>
    <row r="29">
      <c r="A29" s="91" t="s">
        <v>404</v>
      </c>
      <c r="B29" s="121"/>
      <c r="C29" s="121"/>
      <c r="D29" s="93"/>
      <c r="E29" s="67"/>
      <c r="F29" s="67"/>
      <c r="G29" s="48"/>
      <c r="H29" s="67"/>
      <c r="I29" s="67"/>
      <c r="J29" s="61" t="s">
        <v>400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</row>
    <row r="30">
      <c r="A30" s="43" t="s">
        <v>296</v>
      </c>
      <c r="B30" s="114">
        <v>30000.0</v>
      </c>
      <c r="C30" s="114">
        <f>-SUMIFS('Rozpočet - průběžný stav'!K:K,'Rozpočet - průběžný stav'!A:A,I30)</f>
        <v>15119.22</v>
      </c>
      <c r="D30" s="115">
        <f t="shared" ref="D30:D32" si="15">C30-B30</f>
        <v>-14880.78</v>
      </c>
      <c r="E30" s="67"/>
      <c r="F30" s="84">
        <f t="shared" ref="F30:F31" si="16">$F$1</f>
        <v>2024</v>
      </c>
      <c r="G30" s="48" t="s">
        <v>61</v>
      </c>
      <c r="H30" s="61" t="str">
        <f>A30</f>
        <v>Podpora akcí</v>
      </c>
      <c r="I30" s="67" t="str">
        <f t="shared" ref="I30:I31" si="17">F30&amp;"_"&amp;G30&amp;"_"&amp;H30</f>
        <v>2024_Podpora činnosti_Podpora akcí</v>
      </c>
      <c r="J30" s="61" t="s">
        <v>400</v>
      </c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</row>
    <row r="31">
      <c r="A31" s="43" t="s">
        <v>421</v>
      </c>
      <c r="B31" s="114">
        <v>0.0</v>
      </c>
      <c r="C31" s="114">
        <f>-SUMIFS('Rozpočet - průběžný stav'!K:K,'Rozpočet - průběžný stav'!A:A,I31)</f>
        <v>1400</v>
      </c>
      <c r="D31" s="115">
        <f t="shared" si="15"/>
        <v>1400</v>
      </c>
      <c r="E31" s="67"/>
      <c r="F31" s="84">
        <f t="shared" si="16"/>
        <v>2024</v>
      </c>
      <c r="G31" s="116" t="s">
        <v>37</v>
      </c>
      <c r="H31" s="50" t="s">
        <v>158</v>
      </c>
      <c r="I31" s="67" t="str">
        <f t="shared" si="17"/>
        <v>2024_Hamerák-akce_Náklady příprava</v>
      </c>
      <c r="J31" s="61" t="s">
        <v>400</v>
      </c>
      <c r="K31" s="122" t="s">
        <v>422</v>
      </c>
      <c r="L31" s="123" t="str">
        <f>C25-#REF!-C31</f>
        <v>#REF!</v>
      </c>
      <c r="M31" s="67"/>
      <c r="N31" s="67"/>
      <c r="O31" s="67"/>
      <c r="P31" s="67"/>
      <c r="Q31" s="67"/>
      <c r="R31" s="67"/>
      <c r="S31" s="67"/>
      <c r="T31" s="67"/>
      <c r="U31" s="67"/>
    </row>
    <row r="32">
      <c r="A32" s="97" t="s">
        <v>423</v>
      </c>
      <c r="B32" s="124">
        <f t="shared" ref="B32:C32" si="18">sum(B30:B31)</f>
        <v>30000</v>
      </c>
      <c r="C32" s="124">
        <f t="shared" si="18"/>
        <v>16519.22</v>
      </c>
      <c r="D32" s="93">
        <f t="shared" si="15"/>
        <v>-13480.78</v>
      </c>
      <c r="E32" s="67"/>
      <c r="F32" s="67"/>
      <c r="G32" s="48"/>
      <c r="H32" s="67"/>
      <c r="I32" s="67"/>
      <c r="J32" s="61" t="s">
        <v>400</v>
      </c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</row>
    <row r="33" ht="9.0" customHeight="1">
      <c r="A33" s="119"/>
      <c r="B33" s="125"/>
      <c r="C33" s="125"/>
      <c r="D33" s="126"/>
      <c r="E33" s="67"/>
      <c r="F33" s="67"/>
      <c r="G33" s="48"/>
      <c r="H33" s="67"/>
      <c r="I33" s="67"/>
      <c r="J33" s="61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</row>
    <row r="34">
      <c r="A34" s="101" t="s">
        <v>424</v>
      </c>
      <c r="B34" s="127">
        <f t="shared" ref="B34:C34" si="19">B27-B32</f>
        <v>-28000</v>
      </c>
      <c r="C34" s="103">
        <f t="shared" si="19"/>
        <v>11058.78</v>
      </c>
      <c r="D34" s="104">
        <f>C34-B34</f>
        <v>39058.78</v>
      </c>
      <c r="E34" s="67"/>
      <c r="F34" s="67"/>
      <c r="G34" s="48"/>
      <c r="H34" s="67"/>
      <c r="I34" s="67"/>
      <c r="J34" s="61" t="s">
        <v>400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</row>
    <row r="35" ht="9.75" customHeight="1">
      <c r="A35" s="119"/>
      <c r="B35" s="128"/>
      <c r="C35" s="128"/>
      <c r="D35" s="115"/>
      <c r="E35" s="67"/>
      <c r="F35" s="67"/>
      <c r="G35" s="67"/>
      <c r="H35" s="67"/>
      <c r="I35" s="67"/>
      <c r="J35" s="61" t="s">
        <v>400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</row>
    <row r="36">
      <c r="A36" s="101" t="s">
        <v>425</v>
      </c>
      <c r="B36" s="129">
        <v>0.0</v>
      </c>
      <c r="C36" s="130">
        <f>C25-C31</f>
        <v>26178</v>
      </c>
      <c r="D36" s="131"/>
      <c r="E36" s="67"/>
      <c r="F36" s="84"/>
      <c r="G36" s="61"/>
      <c r="H36" s="61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</row>
    <row r="37">
      <c r="A37" s="105"/>
      <c r="B37" s="106"/>
      <c r="C37" s="132">
        <f>-SUMIFS('Rozpočet - průběžný stav'!K:K,'Rozpočet - průběžný stav'!A:A,I37)</f>
        <v>0</v>
      </c>
      <c r="D37" s="133"/>
      <c r="E37" s="67"/>
      <c r="F37" s="84">
        <f t="shared" ref="F37:F39" si="20">$F$1</f>
        <v>2024</v>
      </c>
      <c r="G37" s="61" t="s">
        <v>27</v>
      </c>
      <c r="H37" s="61" t="s">
        <v>426</v>
      </c>
      <c r="I37" s="67" t="str">
        <f t="shared" ref="I37:I39" si="21">F37&amp;"_"&amp;G37&amp;"_"&amp;H37</f>
        <v>2024_Převody_Převod z 2019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</row>
    <row r="38">
      <c r="A38" s="105"/>
      <c r="B38" s="106"/>
      <c r="C38" s="132">
        <f>-SUMIFS('Rozpočet - průběžný stav'!K:K,'Rozpočet - průběžný stav'!A:A,I38)</f>
        <v>0</v>
      </c>
      <c r="D38" s="133"/>
      <c r="E38" s="67"/>
      <c r="F38" s="84">
        <f t="shared" si="20"/>
        <v>2024</v>
      </c>
      <c r="G38" s="61" t="s">
        <v>27</v>
      </c>
      <c r="H38" s="61" t="s">
        <v>44</v>
      </c>
      <c r="I38" s="67" t="str">
        <f t="shared" si="21"/>
        <v>2024_Převody_převod</v>
      </c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</row>
    <row r="39">
      <c r="A39" s="105"/>
      <c r="B39" s="106"/>
      <c r="C39" s="132">
        <f>-SUMIFS('Rozpočet - průběžný stav'!K:K,'Rozpočet - průběžný stav'!A:A,I39)</f>
        <v>0</v>
      </c>
      <c r="D39" s="133"/>
      <c r="E39" s="67"/>
      <c r="F39" s="84">
        <f t="shared" si="20"/>
        <v>2024</v>
      </c>
      <c r="G39" s="61" t="s">
        <v>27</v>
      </c>
      <c r="H39" s="61" t="s">
        <v>22</v>
      </c>
      <c r="I39" s="67" t="str">
        <f t="shared" si="21"/>
        <v>2024_Převody_stav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</row>
    <row r="40">
      <c r="A40" s="105"/>
      <c r="B40" s="106"/>
      <c r="C40" s="106"/>
      <c r="D40" s="133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</row>
    <row r="41">
      <c r="A41" s="105"/>
      <c r="B41" s="106"/>
      <c r="C41" s="106"/>
      <c r="D41" s="133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</row>
    <row r="42">
      <c r="A42" s="134" t="s">
        <v>427</v>
      </c>
      <c r="B42" s="134" t="str">
        <f>CONCAT("Plán ",$F$1)</f>
        <v>Plán 2024</v>
      </c>
      <c r="C42" s="134" t="str">
        <f>CONCAT("Plnění ",$F$1)</f>
        <v>Plnění 2024</v>
      </c>
      <c r="D42" s="135" t="s">
        <v>395</v>
      </c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</row>
    <row r="43">
      <c r="A43" s="101" t="s">
        <v>459</v>
      </c>
      <c r="B43" s="130">
        <f>B2</f>
        <v>181921</v>
      </c>
      <c r="C43" s="127">
        <f>B43</f>
        <v>181921</v>
      </c>
      <c r="D43" s="13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</row>
    <row r="44">
      <c r="A44" s="138" t="s">
        <v>429</v>
      </c>
      <c r="B44" s="139">
        <f t="shared" ref="B44:C44" si="22">B10</f>
        <v>84305</v>
      </c>
      <c r="C44" s="139">
        <f t="shared" si="22"/>
        <v>71354.46</v>
      </c>
      <c r="D44" s="144">
        <f t="shared" ref="D44:D54" si="24">C44-B44</f>
        <v>-12950.54</v>
      </c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</row>
    <row r="45">
      <c r="A45" s="138" t="s">
        <v>430</v>
      </c>
      <c r="B45" s="139">
        <f t="shared" ref="B45:C45" si="23">B27</f>
        <v>2000</v>
      </c>
      <c r="C45" s="139">
        <f t="shared" si="23"/>
        <v>27578</v>
      </c>
      <c r="D45" s="144">
        <f t="shared" si="24"/>
        <v>25578</v>
      </c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</row>
    <row r="46">
      <c r="A46" s="77" t="s">
        <v>460</v>
      </c>
      <c r="B46" s="117">
        <f t="shared" ref="B46:C46" si="25">B44+B45</f>
        <v>86305</v>
      </c>
      <c r="C46" s="117">
        <f t="shared" si="25"/>
        <v>98932.46</v>
      </c>
      <c r="D46" s="117">
        <f t="shared" si="24"/>
        <v>12627.46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</row>
    <row r="47">
      <c r="A47" s="138" t="s">
        <v>432</v>
      </c>
      <c r="B47" s="139">
        <f t="shared" ref="B47:C47" si="26">-B19</f>
        <v>-92784</v>
      </c>
      <c r="C47" s="139">
        <f t="shared" si="26"/>
        <v>-106010</v>
      </c>
      <c r="D47" s="144">
        <f t="shared" si="24"/>
        <v>-13226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</row>
    <row r="48">
      <c r="A48" s="138" t="s">
        <v>433</v>
      </c>
      <c r="B48" s="139">
        <f t="shared" ref="B48:C48" si="27">-B32</f>
        <v>-30000</v>
      </c>
      <c r="C48" s="139">
        <f t="shared" si="27"/>
        <v>-16519.22</v>
      </c>
      <c r="D48" s="144">
        <f t="shared" si="24"/>
        <v>13480.78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</row>
    <row r="49">
      <c r="A49" s="91" t="s">
        <v>461</v>
      </c>
      <c r="B49" s="142">
        <f t="shared" ref="B49:C49" si="28">B47+B48</f>
        <v>-122784</v>
      </c>
      <c r="C49" s="142">
        <f t="shared" si="28"/>
        <v>-122529.22</v>
      </c>
      <c r="D49" s="142">
        <f t="shared" si="24"/>
        <v>254.78</v>
      </c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>
      <c r="A50" s="138" t="s">
        <v>435</v>
      </c>
      <c r="B50" s="144">
        <f t="shared" ref="B50:C50" si="29">B44+B47</f>
        <v>-8479</v>
      </c>
      <c r="C50" s="144">
        <f t="shared" si="29"/>
        <v>-34655.54</v>
      </c>
      <c r="D50" s="144">
        <f t="shared" si="24"/>
        <v>-26176.54</v>
      </c>
      <c r="E50" s="132" t="s">
        <v>436</v>
      </c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</row>
    <row r="51">
      <c r="A51" s="138" t="s">
        <v>437</v>
      </c>
      <c r="B51" s="144">
        <f t="shared" ref="B51:C51" si="30">B45+B48</f>
        <v>-28000</v>
      </c>
      <c r="C51" s="144">
        <f t="shared" si="30"/>
        <v>11058.78</v>
      </c>
      <c r="D51" s="144">
        <f t="shared" si="24"/>
        <v>39058.78</v>
      </c>
      <c r="E51" s="132" t="s">
        <v>438</v>
      </c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</row>
    <row r="52">
      <c r="A52" s="138" t="s">
        <v>439</v>
      </c>
      <c r="B52" s="145">
        <f t="shared" ref="B52:C52" si="31">B25-B31</f>
        <v>0</v>
      </c>
      <c r="C52" s="145">
        <f t="shared" si="31"/>
        <v>26178</v>
      </c>
      <c r="D52" s="144">
        <f t="shared" si="24"/>
        <v>26178</v>
      </c>
      <c r="E52" s="61" t="s">
        <v>440</v>
      </c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</row>
    <row r="53">
      <c r="A53" s="101" t="s">
        <v>462</v>
      </c>
      <c r="B53" s="127">
        <f t="shared" ref="B53:C53" si="32">B46+B49</f>
        <v>-36479</v>
      </c>
      <c r="C53" s="127">
        <f t="shared" si="32"/>
        <v>-23596.76</v>
      </c>
      <c r="D53" s="127">
        <f t="shared" si="24"/>
        <v>12882.24</v>
      </c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</row>
    <row r="54">
      <c r="A54" s="101" t="s">
        <v>463</v>
      </c>
      <c r="B54" s="130">
        <f t="shared" ref="B54:C54" si="33">B43+B46+B49</f>
        <v>145442</v>
      </c>
      <c r="C54" s="130">
        <f t="shared" si="33"/>
        <v>158324.24</v>
      </c>
      <c r="D54" s="130">
        <f t="shared" si="24"/>
        <v>12882.24</v>
      </c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</row>
    <row r="55">
      <c r="A55" s="67"/>
      <c r="B55" s="106"/>
      <c r="C55" s="132" t="s">
        <v>443</v>
      </c>
      <c r="D55" s="106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</row>
    <row r="57">
      <c r="A57" s="146" t="s">
        <v>444</v>
      </c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</row>
    <row r="58">
      <c r="A58" s="61" t="s">
        <v>445</v>
      </c>
      <c r="B58" s="67"/>
      <c r="C58" s="61" t="s">
        <v>446</v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</row>
    <row r="59">
      <c r="A59" s="61" t="s">
        <v>447</v>
      </c>
      <c r="B59" s="106">
        <v>80000.0</v>
      </c>
      <c r="C59" s="106">
        <v>80000.0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</row>
    <row r="60">
      <c r="A60" s="61" t="s">
        <v>448</v>
      </c>
      <c r="B60" s="106">
        <f>-B48</f>
        <v>30000</v>
      </c>
      <c r="C60" s="106">
        <f>-B48</f>
        <v>30000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</row>
    <row r="61">
      <c r="A61" s="61" t="s">
        <v>464</v>
      </c>
      <c r="B61" s="106">
        <f t="shared" ref="B61:C61" si="34">B54</f>
        <v>145442</v>
      </c>
      <c r="C61" s="106">
        <f t="shared" si="34"/>
        <v>158324.24</v>
      </c>
      <c r="D61" s="61" t="s">
        <v>450</v>
      </c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</row>
    <row r="62">
      <c r="A62" s="61" t="s">
        <v>451</v>
      </c>
      <c r="B62" s="106">
        <f t="shared" ref="B62:C62" si="35">B61-B$60</f>
        <v>115442</v>
      </c>
      <c r="C62" s="106">
        <f t="shared" si="35"/>
        <v>128324.24</v>
      </c>
      <c r="D62" s="61" t="s">
        <v>452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</row>
    <row r="63">
      <c r="A63" s="61" t="s">
        <v>453</v>
      </c>
      <c r="B63" s="106">
        <f t="shared" ref="B63:C63" si="36">B62-B$60</f>
        <v>85442</v>
      </c>
      <c r="C63" s="106">
        <f t="shared" si="36"/>
        <v>98324.24</v>
      </c>
      <c r="D63" s="61" t="s">
        <v>454</v>
      </c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</row>
    <row r="64">
      <c r="A64" s="61" t="s">
        <v>455</v>
      </c>
      <c r="B64" s="106">
        <f t="shared" ref="B64:C64" si="37">B63-B$60</f>
        <v>55442</v>
      </c>
      <c r="C64" s="106">
        <f t="shared" si="37"/>
        <v>68324.24</v>
      </c>
      <c r="D64" s="61" t="s">
        <v>456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</row>
    <row r="65">
      <c r="A65" s="61" t="s">
        <v>457</v>
      </c>
      <c r="B65" s="147">
        <f t="shared" ref="B65:C65" si="38">1+(B61-B59)/B60</f>
        <v>3.1814</v>
      </c>
      <c r="C65" s="147">
        <f t="shared" si="38"/>
        <v>3.610808</v>
      </c>
      <c r="D65" s="61" t="s">
        <v>458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</row>
    <row r="1002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</row>
    <row r="1003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</row>
    <row r="1004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</row>
    <row r="1005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</row>
    <row r="1006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</row>
    <row r="1007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</row>
    <row r="1008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</row>
    <row r="1009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</row>
    <row r="1010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</row>
    <row r="1011">
      <c r="A1011" s="67"/>
      <c r="B1011" s="67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</row>
    <row r="1012">
      <c r="A1012" s="67"/>
      <c r="B1012" s="67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</row>
    <row r="1013">
      <c r="A1013" s="67"/>
      <c r="B1013" s="67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</row>
    <row r="1014">
      <c r="A1014" s="67"/>
      <c r="B1014" s="67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</row>
    <row r="1015">
      <c r="A1015" s="67"/>
      <c r="B1015" s="67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</row>
    <row r="1016">
      <c r="A1016" s="67"/>
      <c r="B1016" s="67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</row>
    <row r="1017">
      <c r="A1017" s="67"/>
      <c r="B1017" s="67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</row>
    <row r="1018">
      <c r="A1018" s="67"/>
      <c r="B1018" s="67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</row>
    <row r="1019">
      <c r="A1019" s="67"/>
      <c r="B1019" s="67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</row>
    <row r="1020">
      <c r="A1020" s="67"/>
      <c r="B1020" s="67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</row>
    <row r="1021">
      <c r="A1021" s="67"/>
      <c r="B1021" s="67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</row>
  </sheetData>
  <conditionalFormatting sqref="B65:C65">
    <cfRule type="colorScale" priority="1">
      <colorScale>
        <cfvo type="formula" val="0"/>
        <cfvo type="formula" val="1"/>
        <cfvo type="formula" val="2"/>
        <color rgb="FFFF0000"/>
        <color rgb="FFFFFF00"/>
        <color rgb="FF00FF00"/>
      </colorScale>
    </cfRule>
  </conditionalFormatting>
  <conditionalFormatting sqref="B61:C64">
    <cfRule type="cellIs" dxfId="2" priority="2" operator="lessThan">
      <formula>B$59</formula>
    </cfRule>
  </conditionalFormatting>
  <conditionalFormatting sqref="B61:C64">
    <cfRule type="cellIs" dxfId="1" priority="3" operator="greaterThanOrEqual">
      <formula>B$59</formula>
    </cfRule>
  </conditionalFormatting>
  <printOptions gridLines="1" horizontalCentered="1"/>
  <pageMargins bottom="0.75" footer="0.0" header="0.0" left="0.7" right="0.7" top="0.75"/>
  <pageSetup fitToWidth="0"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">
        <v>14</v>
      </c>
      <c r="B1" s="148" t="s">
        <v>465</v>
      </c>
    </row>
    <row r="2">
      <c r="A2" s="7">
        <v>2017.0</v>
      </c>
      <c r="B2" s="14">
        <v>121759.0</v>
      </c>
    </row>
    <row r="3">
      <c r="A3" s="7">
        <v>2018.0</v>
      </c>
      <c r="B3" s="14">
        <v>133443.0</v>
      </c>
    </row>
    <row r="4">
      <c r="A4" s="7">
        <v>2019.0</v>
      </c>
      <c r="B4" s="132">
        <v>169424.0</v>
      </c>
    </row>
    <row r="5">
      <c r="A5" s="7">
        <v>2020.0</v>
      </c>
      <c r="B5" s="132">
        <v>192476.0</v>
      </c>
    </row>
    <row r="6">
      <c r="A6" s="7">
        <v>2021.0</v>
      </c>
      <c r="B6" s="132">
        <v>246189.0</v>
      </c>
    </row>
    <row r="7">
      <c r="A7" s="7">
        <v>2022.0</v>
      </c>
      <c r="B7" s="132">
        <v>219956.0</v>
      </c>
    </row>
    <row r="8">
      <c r="A8" s="7">
        <v>2023.0</v>
      </c>
      <c r="B8" s="132">
        <v>181921.0</v>
      </c>
    </row>
    <row r="9">
      <c r="A9" s="7">
        <v>2024.0</v>
      </c>
      <c r="B9" s="132">
        <v>158324.0</v>
      </c>
    </row>
    <row r="10">
      <c r="A10" s="7">
        <v>2025.0</v>
      </c>
    </row>
    <row r="11">
      <c r="A11" s="7">
        <v>2026.0</v>
      </c>
    </row>
    <row r="12">
      <c r="A12" s="7">
        <v>2027.0</v>
      </c>
    </row>
    <row r="13">
      <c r="A13" s="7">
        <v>2028.0</v>
      </c>
    </row>
    <row r="14">
      <c r="A14" s="7">
        <v>2029.0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5.0"/>
    <col customWidth="1" min="3" max="3" width="15.5"/>
    <col customWidth="1" min="8" max="8" width="17.75"/>
    <col customWidth="1" min="9" max="9" width="34.63"/>
    <col customWidth="1" min="11" max="11" width="15.63"/>
  </cols>
  <sheetData>
    <row r="1">
      <c r="A1" s="64" t="s">
        <v>466</v>
      </c>
      <c r="B1" s="65" t="s">
        <v>393</v>
      </c>
      <c r="C1" s="65" t="s">
        <v>394</v>
      </c>
      <c r="D1" s="66" t="s">
        <v>395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>
      <c r="A2" s="68" t="s">
        <v>467</v>
      </c>
      <c r="B2" s="69">
        <v>219956.0</v>
      </c>
      <c r="C2" s="61" t="s">
        <v>396</v>
      </c>
      <c r="D2" s="70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>
      <c r="A3" s="71"/>
      <c r="B3" s="67"/>
      <c r="C3" s="61"/>
      <c r="D3" s="72"/>
      <c r="E3" s="67"/>
      <c r="F3" s="73" t="s">
        <v>397</v>
      </c>
      <c r="G3" s="74"/>
      <c r="H3" s="74"/>
      <c r="I3" s="74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</row>
    <row r="4">
      <c r="A4" s="75" t="s">
        <v>398</v>
      </c>
      <c r="B4" s="75" t="s">
        <v>468</v>
      </c>
      <c r="C4" s="75" t="s">
        <v>469</v>
      </c>
      <c r="D4" s="76" t="s">
        <v>395</v>
      </c>
      <c r="E4" s="74"/>
      <c r="F4" s="73" t="s">
        <v>14</v>
      </c>
      <c r="G4" s="73" t="s">
        <v>1</v>
      </c>
      <c r="H4" s="73" t="s">
        <v>2</v>
      </c>
      <c r="I4" s="73" t="s">
        <v>0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</row>
    <row r="5">
      <c r="A5" s="77" t="s">
        <v>106</v>
      </c>
      <c r="B5" s="78"/>
      <c r="C5" s="79"/>
      <c r="D5" s="80" t="s">
        <v>399</v>
      </c>
      <c r="E5" s="67"/>
      <c r="F5" s="67"/>
      <c r="G5" s="60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</row>
    <row r="6">
      <c r="A6" s="81" t="s">
        <v>34</v>
      </c>
      <c r="B6" s="82">
        <v>53000.0</v>
      </c>
      <c r="C6" s="82">
        <f>SUMIFS('Rozpočet - průběžný stav'!K:K,'Rozpočet - průběžný stav'!A:A,I6)</f>
        <v>66150</v>
      </c>
      <c r="D6" s="83">
        <f t="shared" ref="D6:D8" si="1">C6-B6</f>
        <v>13150</v>
      </c>
      <c r="E6" s="67"/>
      <c r="F6" s="84">
        <v>2023.0</v>
      </c>
      <c r="G6" s="60" t="s">
        <v>32</v>
      </c>
      <c r="H6" s="61" t="str">
        <f t="shared" ref="H6:H9" si="2">A6</f>
        <v>Příspěvky</v>
      </c>
      <c r="I6" s="67" t="str">
        <f t="shared" ref="I6:I9" si="3">F6&amp;"_"&amp;G6&amp;"_"&amp;H6</f>
        <v>2023_Běžný provoz_Příspěvky</v>
      </c>
      <c r="J6" s="61" t="s">
        <v>400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</row>
    <row r="7">
      <c r="A7" s="81" t="s">
        <v>186</v>
      </c>
      <c r="B7" s="82">
        <v>2117.0</v>
      </c>
      <c r="C7" s="82">
        <f>SUMIFS('Rozpočet - průběžný stav'!K:K,'Rozpočet - průběžný stav'!A:A,I7)</f>
        <v>0</v>
      </c>
      <c r="D7" s="83">
        <f t="shared" si="1"/>
        <v>-2117</v>
      </c>
      <c r="E7" s="67"/>
      <c r="F7" s="84">
        <v>2023.0</v>
      </c>
      <c r="G7" s="60" t="s">
        <v>32</v>
      </c>
      <c r="H7" s="61" t="str">
        <f t="shared" si="2"/>
        <v>Přeúčtování TOM</v>
      </c>
      <c r="I7" s="67" t="str">
        <f t="shared" si="3"/>
        <v>2023_Běžný provoz_Přeúčtování TOM</v>
      </c>
      <c r="J7" s="61" t="s">
        <v>400</v>
      </c>
      <c r="K7" s="85" t="s">
        <v>42</v>
      </c>
      <c r="L7" s="67"/>
      <c r="M7" s="67"/>
      <c r="N7" s="67"/>
      <c r="O7" s="67"/>
      <c r="P7" s="67"/>
      <c r="Q7" s="67"/>
      <c r="R7" s="67"/>
      <c r="S7" s="67"/>
      <c r="T7" s="67"/>
      <c r="U7" s="67"/>
    </row>
    <row r="8">
      <c r="A8" s="81" t="s">
        <v>255</v>
      </c>
      <c r="B8" s="82">
        <v>5000.0</v>
      </c>
      <c r="C8" s="82">
        <f>SUMIFS('Rozpočet - průběžný stav'!K:K,'Rozpočet - průběžný stav'!A:A,I8)</f>
        <v>0</v>
      </c>
      <c r="D8" s="83">
        <f t="shared" si="1"/>
        <v>-5000</v>
      </c>
      <c r="E8" s="67"/>
      <c r="F8" s="84">
        <v>2023.0</v>
      </c>
      <c r="G8" s="60" t="s">
        <v>32</v>
      </c>
      <c r="H8" s="61" t="str">
        <f t="shared" si="2"/>
        <v>Příjem půjčení vleků</v>
      </c>
      <c r="I8" s="67" t="str">
        <f t="shared" si="3"/>
        <v>2023_Běžný provoz_Příjem půjčení vleků</v>
      </c>
      <c r="J8" s="61" t="s">
        <v>400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</row>
    <row r="9">
      <c r="A9" s="81" t="s">
        <v>377</v>
      </c>
      <c r="B9" s="82"/>
      <c r="C9" s="82">
        <f>SUMIFS('Rozpočet - průběžný stav'!K:K,'Rozpočet - průběžný stav'!A:A,I9)</f>
        <v>0</v>
      </c>
      <c r="D9" s="83"/>
      <c r="E9" s="67"/>
      <c r="F9" s="84">
        <v>2023.0</v>
      </c>
      <c r="G9" s="60" t="s">
        <v>32</v>
      </c>
      <c r="H9" s="61" t="str">
        <f t="shared" si="2"/>
        <v>Ostatní</v>
      </c>
      <c r="I9" s="67" t="str">
        <f t="shared" si="3"/>
        <v>2023_Běžný provoz_Ostatní</v>
      </c>
      <c r="J9" s="61" t="s">
        <v>400</v>
      </c>
      <c r="K9" s="61"/>
      <c r="L9" s="67"/>
      <c r="M9" s="67"/>
      <c r="N9" s="67"/>
      <c r="O9" s="67"/>
      <c r="P9" s="67"/>
      <c r="Q9" s="67"/>
      <c r="R9" s="67"/>
      <c r="S9" s="67"/>
      <c r="T9" s="67"/>
      <c r="U9" s="67"/>
    </row>
    <row r="10">
      <c r="A10" s="86" t="s">
        <v>401</v>
      </c>
      <c r="B10" s="87">
        <f t="shared" ref="B10:C10" si="4">SUM(B6:B9)</f>
        <v>60117</v>
      </c>
      <c r="C10" s="87">
        <f t="shared" si="4"/>
        <v>66150</v>
      </c>
      <c r="D10" s="88">
        <f>C10-B10</f>
        <v>6033</v>
      </c>
      <c r="E10" s="67"/>
      <c r="F10" s="67"/>
      <c r="G10" s="60"/>
      <c r="H10" s="67"/>
      <c r="I10" s="67"/>
      <c r="J10" s="61" t="s">
        <v>400</v>
      </c>
      <c r="K10" s="61" t="s">
        <v>402</v>
      </c>
      <c r="L10" s="61" t="s">
        <v>403</v>
      </c>
      <c r="M10" s="67"/>
      <c r="N10" s="67"/>
      <c r="O10" s="67"/>
      <c r="P10" s="67"/>
      <c r="Q10" s="67"/>
      <c r="R10" s="67"/>
      <c r="S10" s="67"/>
      <c r="T10" s="67"/>
      <c r="U10" s="67"/>
    </row>
    <row r="11" ht="6.75" customHeight="1">
      <c r="A11" s="89"/>
      <c r="B11" s="90"/>
      <c r="C11" s="90"/>
      <c r="D11" s="83"/>
      <c r="E11" s="67"/>
      <c r="F11" s="67"/>
      <c r="G11" s="60"/>
      <c r="H11" s="67"/>
      <c r="I11" s="67"/>
      <c r="J11" s="61" t="s">
        <v>400</v>
      </c>
      <c r="K11" s="61"/>
      <c r="L11" s="61"/>
      <c r="M11" s="67"/>
      <c r="N11" s="67"/>
      <c r="O11" s="67"/>
      <c r="P11" s="67"/>
      <c r="Q11" s="67"/>
      <c r="R11" s="67"/>
      <c r="S11" s="67"/>
      <c r="T11" s="67"/>
      <c r="U11" s="67"/>
    </row>
    <row r="12">
      <c r="A12" s="91" t="s">
        <v>404</v>
      </c>
      <c r="B12" s="92"/>
      <c r="C12" s="92"/>
      <c r="D12" s="93"/>
      <c r="E12" s="67"/>
      <c r="F12" s="67"/>
      <c r="G12" s="60"/>
      <c r="H12" s="67"/>
      <c r="I12" s="67"/>
      <c r="J12" s="61" t="s">
        <v>400</v>
      </c>
      <c r="K12" s="94" t="s">
        <v>405</v>
      </c>
      <c r="L12" s="94">
        <v>1000.0</v>
      </c>
      <c r="M12" s="67"/>
      <c r="N12" s="67"/>
      <c r="O12" s="67"/>
      <c r="P12" s="67"/>
      <c r="Q12" s="67"/>
      <c r="R12" s="67"/>
      <c r="S12" s="67"/>
      <c r="T12" s="67"/>
      <c r="U12" s="67"/>
    </row>
    <row r="13">
      <c r="A13" s="81" t="s">
        <v>49</v>
      </c>
      <c r="B13" s="82">
        <v>76000.0</v>
      </c>
      <c r="C13" s="82">
        <f>-SUMIFS('Rozpočet - průběžný stav'!K:K,'Rozpočet - průběžný stav'!A:A,I13)</f>
        <v>85484</v>
      </c>
      <c r="D13" s="95">
        <f t="shared" ref="D13:D19" si="5">C13-B13</f>
        <v>9484</v>
      </c>
      <c r="E13" s="67"/>
      <c r="F13" s="84">
        <v>2023.0</v>
      </c>
      <c r="G13" s="60" t="s">
        <v>32</v>
      </c>
      <c r="H13" s="61" t="str">
        <f t="shared" ref="H13:H18" si="6">A13</f>
        <v>Interní nájmy</v>
      </c>
      <c r="I13" s="67" t="str">
        <f t="shared" ref="I13:I18" si="7">F13&amp;"_"&amp;G13&amp;"_"&amp;H13</f>
        <v>2023_Běžný provoz_Interní nájmy</v>
      </c>
      <c r="J13" s="61" t="s">
        <v>400</v>
      </c>
      <c r="K13" s="94" t="s">
        <v>406</v>
      </c>
      <c r="L13" s="94">
        <v>800.0</v>
      </c>
      <c r="M13" s="67"/>
      <c r="N13" s="67"/>
      <c r="O13" s="67"/>
      <c r="P13" s="67"/>
      <c r="Q13" s="67"/>
      <c r="R13" s="67"/>
      <c r="S13" s="67"/>
      <c r="T13" s="67"/>
      <c r="U13" s="67"/>
    </row>
    <row r="14">
      <c r="A14" s="81" t="s">
        <v>407</v>
      </c>
      <c r="B14" s="96"/>
      <c r="C14" s="82">
        <f>-SUMIFS('Rozpočet - průběžný stav'!K:K,'Rozpočet - průběžný stav'!A:A,I14)</f>
        <v>0</v>
      </c>
      <c r="D14" s="83">
        <f t="shared" si="5"/>
        <v>0</v>
      </c>
      <c r="E14" s="67"/>
      <c r="F14" s="84">
        <v>2023.0</v>
      </c>
      <c r="G14" s="60" t="s">
        <v>32</v>
      </c>
      <c r="H14" s="61" t="str">
        <f t="shared" si="6"/>
        <v>Interní nájmy ostatní</v>
      </c>
      <c r="I14" s="67" t="str">
        <f t="shared" si="7"/>
        <v>2023_Běžný provoz_Interní nájmy ostatní</v>
      </c>
      <c r="J14" s="61" t="s">
        <v>400</v>
      </c>
      <c r="K14" s="84" t="s">
        <v>408</v>
      </c>
      <c r="L14" s="84">
        <v>600.0</v>
      </c>
      <c r="M14" s="67"/>
      <c r="N14" s="67"/>
      <c r="O14" s="67"/>
      <c r="P14" s="67"/>
      <c r="Q14" s="67"/>
      <c r="R14" s="67"/>
      <c r="S14" s="67"/>
      <c r="T14" s="67"/>
      <c r="U14" s="67"/>
    </row>
    <row r="15">
      <c r="A15" s="81" t="s">
        <v>33</v>
      </c>
      <c r="B15" s="82">
        <v>1300.0</v>
      </c>
      <c r="C15" s="82">
        <f>-SUMIFS('Rozpočet - průběžný stav'!K:K,'Rozpočet - průběžný stav'!A:A,I15)</f>
        <v>1370</v>
      </c>
      <c r="D15" s="83">
        <f t="shared" si="5"/>
        <v>70</v>
      </c>
      <c r="E15" s="61" t="s">
        <v>409</v>
      </c>
      <c r="F15" s="84">
        <v>2023.0</v>
      </c>
      <c r="G15" s="60" t="s">
        <v>32</v>
      </c>
      <c r="H15" s="61" t="str">
        <f t="shared" si="6"/>
        <v>Příspěvky ČSK</v>
      </c>
      <c r="I15" s="67" t="str">
        <f t="shared" si="7"/>
        <v>2023_Běžný provoz_Příspěvky ČSK</v>
      </c>
      <c r="J15" s="61" t="s">
        <v>400</v>
      </c>
      <c r="K15" s="61" t="s">
        <v>410</v>
      </c>
      <c r="L15" s="61" t="s">
        <v>403</v>
      </c>
      <c r="M15" s="67"/>
      <c r="N15" s="67"/>
      <c r="O15" s="67"/>
      <c r="P15" s="67"/>
      <c r="Q15" s="67"/>
      <c r="R15" s="67"/>
      <c r="S15" s="67"/>
      <c r="T15" s="67"/>
      <c r="U15" s="67"/>
    </row>
    <row r="16">
      <c r="A16" s="81" t="s">
        <v>71</v>
      </c>
      <c r="B16" s="82">
        <v>3000.0</v>
      </c>
      <c r="C16" s="82">
        <f>-SUMIFS('Rozpočet - průběžný stav'!K:K,'Rozpočet - průběžný stav'!A:A,I16)</f>
        <v>16663</v>
      </c>
      <c r="D16" s="83">
        <f t="shared" si="5"/>
        <v>13663</v>
      </c>
      <c r="E16" s="61" t="s">
        <v>411</v>
      </c>
      <c r="F16" s="84">
        <v>2023.0</v>
      </c>
      <c r="G16" s="60" t="s">
        <v>32</v>
      </c>
      <c r="H16" s="61" t="str">
        <f t="shared" si="6"/>
        <v>Údržba vleků</v>
      </c>
      <c r="I16" s="67" t="str">
        <f t="shared" si="7"/>
        <v>2023_Běžný provoz_Údržba vleků</v>
      </c>
      <c r="J16" s="61" t="s">
        <v>400</v>
      </c>
      <c r="K16" s="94" t="s">
        <v>412</v>
      </c>
      <c r="L16" s="94">
        <v>1000.0</v>
      </c>
      <c r="M16" s="67"/>
      <c r="N16" s="67"/>
      <c r="O16" s="67"/>
      <c r="P16" s="67"/>
      <c r="Q16" s="67"/>
      <c r="R16" s="67"/>
      <c r="S16" s="67"/>
      <c r="T16" s="67"/>
      <c r="U16" s="67"/>
    </row>
    <row r="17">
      <c r="A17" s="81" t="s">
        <v>148</v>
      </c>
      <c r="B17" s="82">
        <v>1000.0</v>
      </c>
      <c r="C17" s="82">
        <f>-SUMIFS('Rozpočet - průběžný stav'!K:K,'Rozpočet - průběžný stav'!A:A,I17)</f>
        <v>0</v>
      </c>
      <c r="D17" s="83">
        <f t="shared" si="5"/>
        <v>-1000</v>
      </c>
      <c r="E17" s="67"/>
      <c r="F17" s="84">
        <v>2023.0</v>
      </c>
      <c r="G17" s="60" t="s">
        <v>32</v>
      </c>
      <c r="H17" s="61" t="str">
        <f t="shared" si="6"/>
        <v>Materiál</v>
      </c>
      <c r="I17" s="67" t="str">
        <f t="shared" si="7"/>
        <v>2023_Běžný provoz_Materiál</v>
      </c>
      <c r="J17" s="61" t="s">
        <v>400</v>
      </c>
      <c r="K17" s="84" t="s">
        <v>413</v>
      </c>
      <c r="L17" s="84">
        <v>800.0</v>
      </c>
      <c r="M17" s="67"/>
      <c r="N17" s="67"/>
      <c r="O17" s="67"/>
      <c r="P17" s="67"/>
      <c r="Q17" s="67"/>
      <c r="R17" s="67"/>
      <c r="S17" s="67"/>
      <c r="T17" s="67"/>
      <c r="U17" s="67"/>
    </row>
    <row r="18">
      <c r="A18" s="81" t="s">
        <v>165</v>
      </c>
      <c r="B18" s="82"/>
      <c r="C18" s="82">
        <f>-SUMIFS('Rozpočet - průběžný stav'!K:K,'Rozpočet - průběžný stav'!A:A,I18)</f>
        <v>589.27</v>
      </c>
      <c r="D18" s="83">
        <f t="shared" si="5"/>
        <v>589.27</v>
      </c>
      <c r="E18" s="61" t="s">
        <v>414</v>
      </c>
      <c r="F18" s="84">
        <v>2023.0</v>
      </c>
      <c r="G18" s="60" t="s">
        <v>32</v>
      </c>
      <c r="H18" s="61" t="str">
        <f t="shared" si="6"/>
        <v>Výdaje ostatní</v>
      </c>
      <c r="I18" s="67" t="str">
        <f t="shared" si="7"/>
        <v>2023_Běžný provoz_Výdaje ostatní</v>
      </c>
      <c r="J18" s="61" t="s">
        <v>400</v>
      </c>
      <c r="K18" s="94" t="s">
        <v>415</v>
      </c>
      <c r="L18" s="94">
        <v>600.0</v>
      </c>
      <c r="M18" s="67"/>
      <c r="N18" s="67"/>
      <c r="O18" s="67"/>
      <c r="P18" s="67"/>
      <c r="Q18" s="67"/>
      <c r="R18" s="67"/>
      <c r="S18" s="67"/>
      <c r="T18" s="67"/>
      <c r="U18" s="67"/>
    </row>
    <row r="19">
      <c r="A19" s="97" t="s">
        <v>416</v>
      </c>
      <c r="B19" s="98">
        <f t="shared" ref="B19:C19" si="8">SUM(B12:B18)</f>
        <v>81300</v>
      </c>
      <c r="C19" s="98">
        <f t="shared" si="8"/>
        <v>104106.27</v>
      </c>
      <c r="D19" s="93">
        <f t="shared" si="5"/>
        <v>22806.27</v>
      </c>
      <c r="E19" s="67"/>
      <c r="F19" s="67"/>
      <c r="G19" s="60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</row>
    <row r="20" ht="10.5" customHeight="1">
      <c r="A20" s="99"/>
      <c r="B20" s="100"/>
      <c r="C20" s="100"/>
      <c r="D20" s="95"/>
      <c r="E20" s="67"/>
      <c r="F20" s="67"/>
      <c r="G20" s="60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</row>
    <row r="21">
      <c r="A21" s="101" t="s">
        <v>417</v>
      </c>
      <c r="B21" s="102">
        <f t="shared" ref="B21:C21" si="9">B10-B19</f>
        <v>-21183</v>
      </c>
      <c r="C21" s="102">
        <f t="shared" si="9"/>
        <v>-37956.27</v>
      </c>
      <c r="D21" s="104">
        <f>C21-B21</f>
        <v>-16773.27</v>
      </c>
      <c r="E21" s="67"/>
      <c r="F21" s="67"/>
      <c r="G21" s="60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</row>
    <row r="22">
      <c r="A22" s="105"/>
      <c r="B22" s="106"/>
      <c r="C22" s="106"/>
      <c r="D22" s="10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</row>
    <row r="23">
      <c r="A23" s="108" t="s">
        <v>418</v>
      </c>
      <c r="B23" s="108" t="s">
        <v>468</v>
      </c>
      <c r="C23" s="108" t="s">
        <v>469</v>
      </c>
      <c r="D23" s="109" t="s">
        <v>395</v>
      </c>
      <c r="E23" s="110"/>
      <c r="F23" s="111" t="s">
        <v>14</v>
      </c>
      <c r="G23" s="111" t="s">
        <v>1</v>
      </c>
      <c r="H23" s="111" t="s">
        <v>2</v>
      </c>
      <c r="I23" s="111" t="s">
        <v>0</v>
      </c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>
      <c r="A24" s="77" t="s">
        <v>106</v>
      </c>
      <c r="B24" s="113"/>
      <c r="C24" s="113"/>
      <c r="D24" s="88"/>
      <c r="E24" s="67"/>
      <c r="F24" s="67"/>
      <c r="G24" s="48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</row>
    <row r="25">
      <c r="A25" s="43" t="s">
        <v>419</v>
      </c>
      <c r="B25" s="114">
        <v>0.0</v>
      </c>
      <c r="C25" s="114">
        <f>SUMIFS('Rozpočet - průběžný stav'!K:K,'Rozpočet - průběžný stav'!A:A,I25)</f>
        <v>18631</v>
      </c>
      <c r="D25" s="115"/>
      <c r="E25" s="67"/>
      <c r="F25" s="84">
        <v>2023.0</v>
      </c>
      <c r="G25" s="116" t="s">
        <v>37</v>
      </c>
      <c r="H25" s="50" t="s">
        <v>95</v>
      </c>
      <c r="I25" s="67" t="str">
        <f t="shared" ref="I25:I26" si="10">F25&amp;"_"&amp;G25&amp;"_"&amp;H25</f>
        <v>2023_Hamerák-akce_Hamerák finance</v>
      </c>
      <c r="J25" s="61" t="s">
        <v>400</v>
      </c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</row>
    <row r="26">
      <c r="A26" s="43" t="s">
        <v>316</v>
      </c>
      <c r="B26" s="114">
        <v>0.0</v>
      </c>
      <c r="C26" s="114">
        <f>SUMIFS('Rozpočet - průběžný stav'!K:K,'Rozpočet - průběžný stav'!A:A,I26)</f>
        <v>3400</v>
      </c>
      <c r="D26" s="115">
        <f t="shared" ref="D26:D27" si="12">C26-B26</f>
        <v>3400</v>
      </c>
      <c r="E26" s="67"/>
      <c r="F26" s="84">
        <v>2023.0</v>
      </c>
      <c r="G26" s="48" t="s">
        <v>61</v>
      </c>
      <c r="H26" s="61" t="str">
        <f>A26</f>
        <v>Příjmy dotace a dary</v>
      </c>
      <c r="I26" s="67" t="str">
        <f t="shared" si="10"/>
        <v>2023_Podpora činnosti_Příjmy dotace a dary</v>
      </c>
      <c r="J26" s="61" t="s">
        <v>400</v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</row>
    <row r="27">
      <c r="A27" s="86" t="s">
        <v>420</v>
      </c>
      <c r="B27" s="117">
        <f t="shared" ref="B27:C27" si="11">SUM(B24:B26)</f>
        <v>0</v>
      </c>
      <c r="C27" s="117">
        <f t="shared" si="11"/>
        <v>22031</v>
      </c>
      <c r="D27" s="118">
        <f t="shared" si="12"/>
        <v>22031</v>
      </c>
      <c r="E27" s="67"/>
      <c r="F27" s="67"/>
      <c r="G27" s="48"/>
      <c r="H27" s="67"/>
      <c r="I27" s="67"/>
      <c r="J27" s="61" t="s">
        <v>400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</row>
    <row r="28" ht="7.5" customHeight="1">
      <c r="A28" s="119"/>
      <c r="B28" s="120"/>
      <c r="C28" s="120"/>
      <c r="D28" s="115"/>
      <c r="E28" s="67"/>
      <c r="F28" s="67"/>
      <c r="G28" s="48"/>
      <c r="H28" s="67"/>
      <c r="I28" s="67"/>
      <c r="J28" s="61" t="s">
        <v>400</v>
      </c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</row>
    <row r="29">
      <c r="A29" s="91" t="s">
        <v>404</v>
      </c>
      <c r="B29" s="121"/>
      <c r="C29" s="121"/>
      <c r="D29" s="93"/>
      <c r="E29" s="67"/>
      <c r="F29" s="67"/>
      <c r="G29" s="48"/>
      <c r="H29" s="67"/>
      <c r="I29" s="67"/>
      <c r="J29" s="61" t="s">
        <v>400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</row>
    <row r="30">
      <c r="A30" s="43" t="s">
        <v>296</v>
      </c>
      <c r="B30" s="114">
        <v>30000.0</v>
      </c>
      <c r="C30" s="114">
        <f>-SUMIFS('Rozpočet - průběžný stav'!K:K,'Rozpočet - průběžný stav'!A:A,I30)</f>
        <v>22110</v>
      </c>
      <c r="D30" s="115">
        <f t="shared" ref="D30:D41" si="13">C30-B30</f>
        <v>-7890</v>
      </c>
      <c r="E30" s="67"/>
      <c r="F30" s="84">
        <v>2023.0</v>
      </c>
      <c r="G30" s="48" t="s">
        <v>61</v>
      </c>
      <c r="H30" s="61" t="str">
        <f t="shared" ref="H30:H38" si="14">A30</f>
        <v>Podpora akcí</v>
      </c>
      <c r="I30" s="67" t="str">
        <f t="shared" ref="I30:I40" si="15">F30&amp;"_"&amp;G30&amp;"_"&amp;H30</f>
        <v>2023_Podpora činnosti_Podpora akcí</v>
      </c>
      <c r="J30" s="61" t="s">
        <v>400</v>
      </c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</row>
    <row r="31">
      <c r="A31" s="43" t="s">
        <v>143</v>
      </c>
      <c r="B31" s="114"/>
      <c r="C31" s="114">
        <f>-SUMIFS('Rozpočet - průběžný stav'!K:K,'Rozpočet - průběžný stav'!A:A,I31)</f>
        <v>0</v>
      </c>
      <c r="D31" s="115">
        <f t="shared" si="13"/>
        <v>0</v>
      </c>
      <c r="E31" s="67"/>
      <c r="F31" s="84">
        <v>2023.0</v>
      </c>
      <c r="G31" s="48" t="s">
        <v>61</v>
      </c>
      <c r="H31" s="61" t="str">
        <f t="shared" si="14"/>
        <v>Podpora ČPV</v>
      </c>
      <c r="I31" s="67" t="str">
        <f t="shared" si="15"/>
        <v>2023_Podpora činnosti_Podpora ČPV</v>
      </c>
      <c r="J31" s="61" t="s">
        <v>400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</row>
    <row r="32">
      <c r="A32" s="43" t="s">
        <v>470</v>
      </c>
      <c r="B32" s="114"/>
      <c r="C32" s="114">
        <f>-SUMIFS('Rozpočet - průběžný stav'!K:K,'Rozpočet - průběžný stav'!A:A,I32)</f>
        <v>0</v>
      </c>
      <c r="D32" s="115">
        <f t="shared" si="13"/>
        <v>0</v>
      </c>
      <c r="E32" s="67"/>
      <c r="F32" s="84">
        <v>2023.0</v>
      </c>
      <c r="G32" s="48" t="s">
        <v>61</v>
      </c>
      <c r="H32" s="61" t="str">
        <f t="shared" si="14"/>
        <v>Podpora eskymáků</v>
      </c>
      <c r="I32" s="67" t="str">
        <f t="shared" si="15"/>
        <v>2023_Podpora činnosti_Podpora eskymáků</v>
      </c>
      <c r="J32" s="61" t="s">
        <v>400</v>
      </c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</row>
    <row r="33">
      <c r="A33" s="43" t="s">
        <v>471</v>
      </c>
      <c r="B33" s="114"/>
      <c r="C33" s="114">
        <f>-SUMIFS('Rozpočet - průběžný stav'!K:K,'Rozpočet - průběžný stav'!A:A,I33)</f>
        <v>0</v>
      </c>
      <c r="D33" s="115">
        <f t="shared" si="13"/>
        <v>0</v>
      </c>
      <c r="E33" s="67"/>
      <c r="F33" s="84">
        <v>2023.0</v>
      </c>
      <c r="G33" s="48" t="s">
        <v>61</v>
      </c>
      <c r="H33" s="61" t="str">
        <f t="shared" si="14"/>
        <v>Podpora výcviku záchrany</v>
      </c>
      <c r="I33" s="67" t="str">
        <f t="shared" si="15"/>
        <v>2023_Podpora činnosti_Podpora výcviku záchrany</v>
      </c>
      <c r="J33" s="61" t="s">
        <v>400</v>
      </c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</row>
    <row r="34">
      <c r="A34" s="43" t="s">
        <v>153</v>
      </c>
      <c r="B34" s="114"/>
      <c r="C34" s="114">
        <f>-SUMIFS('Rozpočet - průběžný stav'!K:K,'Rozpočet - průběžný stav'!A:A,I34)</f>
        <v>0</v>
      </c>
      <c r="D34" s="115">
        <f t="shared" si="13"/>
        <v>0</v>
      </c>
      <c r="E34" s="67"/>
      <c r="F34" s="84">
        <v>2023.0</v>
      </c>
      <c r="G34" s="48" t="s">
        <v>61</v>
      </c>
      <c r="H34" s="61" t="str">
        <f t="shared" si="14"/>
        <v>Podpora zahraniční zájezd</v>
      </c>
      <c r="I34" s="67" t="str">
        <f t="shared" si="15"/>
        <v>2023_Podpora činnosti_Podpora zahraniční zájezd</v>
      </c>
      <c r="J34" s="61" t="s">
        <v>400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</row>
    <row r="35">
      <c r="A35" s="43" t="s">
        <v>64</v>
      </c>
      <c r="B35" s="114"/>
      <c r="C35" s="114">
        <f>-SUMIFS('Rozpočet - průběžný stav'!K:K,'Rozpočet - průběžný stav'!A:A,I35)</f>
        <v>0</v>
      </c>
      <c r="D35" s="115">
        <f t="shared" si="13"/>
        <v>0</v>
      </c>
      <c r="E35" s="67"/>
      <c r="F35" s="84">
        <v>2023.0</v>
      </c>
      <c r="G35" s="48" t="s">
        <v>61</v>
      </c>
      <c r="H35" s="61" t="str">
        <f t="shared" si="14"/>
        <v>Oddílový den</v>
      </c>
      <c r="I35" s="67" t="str">
        <f t="shared" si="15"/>
        <v>2023_Podpora činnosti_Oddílový den</v>
      </c>
      <c r="J35" s="61" t="s">
        <v>400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</row>
    <row r="36">
      <c r="A36" s="43" t="s">
        <v>103</v>
      </c>
      <c r="B36" s="114"/>
      <c r="C36" s="114">
        <f>-SUMIFS('Rozpočet - průběžný stav'!K:K,'Rozpočet - průběžný stav'!A:A,I36)</f>
        <v>0</v>
      </c>
      <c r="D36" s="115">
        <f t="shared" si="13"/>
        <v>0</v>
      </c>
      <c r="E36" s="67"/>
      <c r="F36" s="84">
        <v>2023.0</v>
      </c>
      <c r="G36" s="48" t="s">
        <v>61</v>
      </c>
      <c r="H36" s="61" t="str">
        <f t="shared" si="14"/>
        <v>Oddílové vánoce</v>
      </c>
      <c r="I36" s="67" t="str">
        <f t="shared" si="15"/>
        <v>2023_Podpora činnosti_Oddílové vánoce</v>
      </c>
      <c r="J36" s="61" t="s">
        <v>400</v>
      </c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</row>
    <row r="37">
      <c r="A37" s="43" t="s">
        <v>42</v>
      </c>
      <c r="B37" s="114">
        <v>0.0</v>
      </c>
      <c r="C37" s="114">
        <f>-SUMIFS('Rozpočet - průběžný stav'!K:K,'Rozpočet - průběžný stav'!A:A,I37)</f>
        <v>0</v>
      </c>
      <c r="D37" s="115">
        <f t="shared" si="13"/>
        <v>0</v>
      </c>
      <c r="E37" s="67"/>
      <c r="F37" s="84">
        <v>2023.0</v>
      </c>
      <c r="G37" s="48" t="s">
        <v>61</v>
      </c>
      <c r="H37" s="61" t="str">
        <f t="shared" si="14"/>
        <v>Oddílová soutěž</v>
      </c>
      <c r="I37" s="67" t="str">
        <f t="shared" si="15"/>
        <v>2023_Podpora činnosti_Oddílová soutěž</v>
      </c>
      <c r="J37" s="61" t="s">
        <v>400</v>
      </c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</row>
    <row r="38">
      <c r="A38" s="43" t="s">
        <v>148</v>
      </c>
      <c r="B38" s="114">
        <v>0.0</v>
      </c>
      <c r="C38" s="114">
        <f>-SUMIFS('Rozpočet - průběžný stav'!K:K,'Rozpočet - průběžný stav'!A:A,I38)</f>
        <v>0</v>
      </c>
      <c r="D38" s="115">
        <f t="shared" si="13"/>
        <v>0</v>
      </c>
      <c r="E38" s="67"/>
      <c r="F38" s="84">
        <v>2023.0</v>
      </c>
      <c r="G38" s="48" t="s">
        <v>61</v>
      </c>
      <c r="H38" s="61" t="str">
        <f t="shared" si="14"/>
        <v>Materiál</v>
      </c>
      <c r="I38" s="67" t="str">
        <f t="shared" si="15"/>
        <v>2023_Podpora činnosti_Materiál</v>
      </c>
      <c r="J38" s="61" t="s">
        <v>400</v>
      </c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</row>
    <row r="39">
      <c r="A39" s="43" t="s">
        <v>472</v>
      </c>
      <c r="B39" s="114">
        <v>0.0</v>
      </c>
      <c r="C39" s="114">
        <f>-SUMIFS('Rozpočet - průběžný stav'!K:K,'Rozpočet - průběžný stav'!A:A,I39)</f>
        <v>0</v>
      </c>
      <c r="D39" s="115">
        <f t="shared" si="13"/>
        <v>0</v>
      </c>
      <c r="E39" s="67"/>
      <c r="F39" s="84">
        <v>2023.0</v>
      </c>
      <c r="G39" s="116" t="s">
        <v>37</v>
      </c>
      <c r="H39" s="50" t="s">
        <v>136</v>
      </c>
      <c r="I39" s="67" t="str">
        <f t="shared" si="15"/>
        <v>2023_Hamerák-akce_Výbor večeře</v>
      </c>
      <c r="J39" s="61" t="s">
        <v>400</v>
      </c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</row>
    <row r="40">
      <c r="A40" s="43" t="s">
        <v>473</v>
      </c>
      <c r="B40" s="114">
        <v>0.0</v>
      </c>
      <c r="C40" s="114">
        <f>-SUMIFS('Rozpočet - průběžný stav'!K:K,'Rozpočet - průběžný stav'!A:A,I40)</f>
        <v>0</v>
      </c>
      <c r="D40" s="115">
        <f t="shared" si="13"/>
        <v>0</v>
      </c>
      <c r="E40" s="67"/>
      <c r="F40" s="84">
        <v>2023.0</v>
      </c>
      <c r="G40" s="116" t="s">
        <v>37</v>
      </c>
      <c r="H40" s="50" t="s">
        <v>158</v>
      </c>
      <c r="I40" s="67" t="str">
        <f t="shared" si="15"/>
        <v>2023_Hamerák-akce_Náklady příprava</v>
      </c>
      <c r="J40" s="61" t="s">
        <v>400</v>
      </c>
      <c r="K40" s="122" t="s">
        <v>422</v>
      </c>
      <c r="L40" s="149">
        <f>C25-C39-C40</f>
        <v>18631</v>
      </c>
      <c r="M40" s="67"/>
      <c r="N40" s="67"/>
      <c r="O40" s="67"/>
      <c r="P40" s="67"/>
      <c r="Q40" s="67"/>
      <c r="R40" s="67"/>
      <c r="S40" s="67"/>
      <c r="T40" s="67"/>
      <c r="U40" s="67"/>
    </row>
    <row r="41">
      <c r="A41" s="97" t="s">
        <v>423</v>
      </c>
      <c r="B41" s="124">
        <f t="shared" ref="B41:C41" si="16">sum(B30:B40)</f>
        <v>30000</v>
      </c>
      <c r="C41" s="124">
        <f t="shared" si="16"/>
        <v>22110</v>
      </c>
      <c r="D41" s="93">
        <f t="shared" si="13"/>
        <v>-7890</v>
      </c>
      <c r="E41" s="67"/>
      <c r="F41" s="67"/>
      <c r="G41" s="48"/>
      <c r="H41" s="67"/>
      <c r="I41" s="67"/>
      <c r="J41" s="61" t="s">
        <v>400</v>
      </c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</row>
    <row r="42" ht="9.0" customHeight="1">
      <c r="A42" s="119"/>
      <c r="B42" s="125"/>
      <c r="C42" s="125"/>
      <c r="D42" s="126"/>
      <c r="E42" s="67"/>
      <c r="F42" s="67"/>
      <c r="G42" s="48"/>
      <c r="H42" s="67"/>
      <c r="I42" s="67"/>
      <c r="J42" s="61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</row>
    <row r="43">
      <c r="A43" s="101" t="s">
        <v>424</v>
      </c>
      <c r="B43" s="127">
        <f t="shared" ref="B43:C43" si="17">B27-B41</f>
        <v>-30000</v>
      </c>
      <c r="C43" s="127">
        <f t="shared" si="17"/>
        <v>-79</v>
      </c>
      <c r="D43" s="104">
        <f>C43-B43</f>
        <v>29921</v>
      </c>
      <c r="E43" s="67"/>
      <c r="F43" s="67"/>
      <c r="G43" s="48"/>
      <c r="H43" s="67"/>
      <c r="I43" s="67"/>
      <c r="J43" s="61" t="s">
        <v>400</v>
      </c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</row>
    <row r="44" ht="9.75" customHeight="1">
      <c r="A44" s="119"/>
      <c r="B44" s="128"/>
      <c r="C44" s="128"/>
      <c r="D44" s="115"/>
      <c r="E44" s="67"/>
      <c r="F44" s="67"/>
      <c r="G44" s="67"/>
      <c r="H44" s="67"/>
      <c r="I44" s="67"/>
      <c r="J44" s="61" t="s">
        <v>400</v>
      </c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</row>
    <row r="45">
      <c r="A45" s="101" t="s">
        <v>425</v>
      </c>
      <c r="B45" s="129">
        <v>0.0</v>
      </c>
      <c r="C45" s="130">
        <f>C25-C39-C40</f>
        <v>18631</v>
      </c>
      <c r="D45" s="131"/>
      <c r="E45" s="67"/>
      <c r="F45" s="84"/>
      <c r="G45" s="61"/>
      <c r="H45" s="61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</row>
    <row r="46">
      <c r="A46" s="105"/>
      <c r="B46" s="106"/>
      <c r="C46" s="132">
        <f>-SUMIFS('Rozpočet - průběžný stav'!K:K,'Rozpočet - průběžný stav'!A:A,I46)</f>
        <v>0</v>
      </c>
      <c r="D46" s="106"/>
      <c r="E46" s="67"/>
      <c r="F46" s="84">
        <v>2023.0</v>
      </c>
      <c r="G46" s="61" t="s">
        <v>27</v>
      </c>
      <c r="H46" s="61" t="s">
        <v>426</v>
      </c>
      <c r="I46" s="67" t="str">
        <f t="shared" ref="I46:I48" si="18">F46&amp;"_"&amp;G46&amp;"_"&amp;H46</f>
        <v>2023_Převody_Převod z 2019</v>
      </c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</row>
    <row r="47">
      <c r="A47" s="105"/>
      <c r="B47" s="106"/>
      <c r="C47" s="132">
        <f>-SUMIFS('Rozpočet - průběžný stav'!K:K,'Rozpočet - průběžný stav'!A:A,I47)</f>
        <v>0</v>
      </c>
      <c r="D47" s="106"/>
      <c r="E47" s="67"/>
      <c r="F47" s="84">
        <v>2023.0</v>
      </c>
      <c r="G47" s="61" t="s">
        <v>27</v>
      </c>
      <c r="H47" s="61" t="s">
        <v>44</v>
      </c>
      <c r="I47" s="67" t="str">
        <f t="shared" si="18"/>
        <v>2023_Převody_převod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</row>
    <row r="48">
      <c r="A48" s="105"/>
      <c r="B48" s="106"/>
      <c r="C48" s="132">
        <f>-SUMIFS('Rozpočet - průběžný stav'!K:K,'Rozpočet - průběžný stav'!A:A,I48)</f>
        <v>0</v>
      </c>
      <c r="D48" s="106"/>
      <c r="E48" s="67"/>
      <c r="F48" s="84">
        <v>2023.0</v>
      </c>
      <c r="G48" s="61" t="s">
        <v>27</v>
      </c>
      <c r="H48" s="61" t="s">
        <v>22</v>
      </c>
      <c r="I48" s="67" t="str">
        <f t="shared" si="18"/>
        <v>2023_Převody_stav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</row>
    <row r="49">
      <c r="A49" s="105"/>
      <c r="B49" s="106"/>
      <c r="C49" s="106"/>
      <c r="D49" s="106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>
      <c r="A50" s="105"/>
      <c r="B50" s="106"/>
      <c r="C50" s="106"/>
      <c r="D50" s="106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</row>
    <row r="51">
      <c r="A51" s="134" t="s">
        <v>427</v>
      </c>
      <c r="B51" s="134" t="s">
        <v>468</v>
      </c>
      <c r="C51" s="134" t="s">
        <v>469</v>
      </c>
      <c r="D51" s="134" t="s">
        <v>395</v>
      </c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</row>
    <row r="52">
      <c r="A52" s="101" t="s">
        <v>474</v>
      </c>
      <c r="B52" s="130">
        <f>B2</f>
        <v>219956</v>
      </c>
      <c r="C52" s="127">
        <f>B52</f>
        <v>219956</v>
      </c>
      <c r="D52" s="150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</row>
    <row r="53">
      <c r="A53" s="138" t="s">
        <v>429</v>
      </c>
      <c r="B53" s="139">
        <f t="shared" ref="B53:C53" si="19">B10</f>
        <v>60117</v>
      </c>
      <c r="C53" s="139">
        <f t="shared" si="19"/>
        <v>66150</v>
      </c>
      <c r="D53" s="144">
        <f t="shared" ref="D53:D63" si="21">C53-B53</f>
        <v>6033</v>
      </c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</row>
    <row r="54">
      <c r="A54" s="138" t="s">
        <v>430</v>
      </c>
      <c r="B54" s="139">
        <f t="shared" ref="B54:C54" si="20">B27</f>
        <v>0</v>
      </c>
      <c r="C54" s="139">
        <f t="shared" si="20"/>
        <v>22031</v>
      </c>
      <c r="D54" s="144">
        <f t="shared" si="21"/>
        <v>22031</v>
      </c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</row>
    <row r="55">
      <c r="A55" s="77" t="s">
        <v>460</v>
      </c>
      <c r="B55" s="117">
        <f t="shared" ref="B55:C55" si="22">B53+B54</f>
        <v>60117</v>
      </c>
      <c r="C55" s="117">
        <f t="shared" si="22"/>
        <v>88181</v>
      </c>
      <c r="D55" s="117">
        <f t="shared" si="21"/>
        <v>28064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</row>
    <row r="56">
      <c r="A56" s="138" t="s">
        <v>432</v>
      </c>
      <c r="B56" s="139">
        <f t="shared" ref="B56:C56" si="23">-B19</f>
        <v>-81300</v>
      </c>
      <c r="C56" s="139">
        <f t="shared" si="23"/>
        <v>-104106.27</v>
      </c>
      <c r="D56" s="144">
        <f t="shared" si="21"/>
        <v>-22806.27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</row>
    <row r="57">
      <c r="A57" s="138" t="s">
        <v>433</v>
      </c>
      <c r="B57" s="139">
        <f t="shared" ref="B57:C57" si="24">-B41</f>
        <v>-30000</v>
      </c>
      <c r="C57" s="139">
        <f t="shared" si="24"/>
        <v>-22110</v>
      </c>
      <c r="D57" s="144">
        <f t="shared" si="21"/>
        <v>7890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</row>
    <row r="58">
      <c r="A58" s="91" t="s">
        <v>461</v>
      </c>
      <c r="B58" s="142">
        <f t="shared" ref="B58:C58" si="25">B56+B57</f>
        <v>-111300</v>
      </c>
      <c r="C58" s="142">
        <f t="shared" si="25"/>
        <v>-126216.27</v>
      </c>
      <c r="D58" s="142">
        <f t="shared" si="21"/>
        <v>-14916.27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</row>
    <row r="59">
      <c r="A59" s="138" t="s">
        <v>435</v>
      </c>
      <c r="B59" s="144">
        <f t="shared" ref="B59:C59" si="26">B53+B56</f>
        <v>-21183</v>
      </c>
      <c r="C59" s="144">
        <f t="shared" si="26"/>
        <v>-37956.27</v>
      </c>
      <c r="D59" s="144">
        <f t="shared" si="21"/>
        <v>-16773.27</v>
      </c>
      <c r="E59" s="132" t="s">
        <v>436</v>
      </c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</row>
    <row r="60">
      <c r="A60" s="138" t="s">
        <v>437</v>
      </c>
      <c r="B60" s="144">
        <f t="shared" ref="B60:C60" si="27">B54+B57</f>
        <v>-30000</v>
      </c>
      <c r="C60" s="144">
        <f t="shared" si="27"/>
        <v>-79</v>
      </c>
      <c r="D60" s="144">
        <f t="shared" si="21"/>
        <v>29921</v>
      </c>
      <c r="E60" s="132" t="s">
        <v>438</v>
      </c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</row>
    <row r="61">
      <c r="A61" s="138" t="s">
        <v>439</v>
      </c>
      <c r="B61" s="144">
        <f t="shared" ref="B61:C61" si="28">B25-B39-B40</f>
        <v>0</v>
      </c>
      <c r="C61" s="144">
        <f t="shared" si="28"/>
        <v>18631</v>
      </c>
      <c r="D61" s="144">
        <f t="shared" si="21"/>
        <v>18631</v>
      </c>
      <c r="E61" s="61" t="s">
        <v>440</v>
      </c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</row>
    <row r="62">
      <c r="A62" s="101" t="s">
        <v>462</v>
      </c>
      <c r="B62" s="127">
        <f t="shared" ref="B62:C62" si="29">B55+B58</f>
        <v>-51183</v>
      </c>
      <c r="C62" s="127">
        <f t="shared" si="29"/>
        <v>-38035.27</v>
      </c>
      <c r="D62" s="127">
        <f t="shared" si="21"/>
        <v>13147.73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</row>
    <row r="63">
      <c r="A63" s="101" t="s">
        <v>463</v>
      </c>
      <c r="B63" s="130">
        <f t="shared" ref="B63:C63" si="30">B52+B55+B58</f>
        <v>168773</v>
      </c>
      <c r="C63" s="151">
        <f t="shared" si="30"/>
        <v>181920.73</v>
      </c>
      <c r="D63" s="130">
        <f t="shared" si="21"/>
        <v>13147.73</v>
      </c>
      <c r="E63" s="132">
        <v>181920.72999999998</v>
      </c>
      <c r="F63" s="61" t="s">
        <v>475</v>
      </c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</row>
    <row r="64">
      <c r="A64" s="67"/>
      <c r="B64" s="106"/>
      <c r="C64" s="106"/>
      <c r="D64" s="106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</row>
    <row r="66">
      <c r="A66" s="146" t="s">
        <v>444</v>
      </c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</row>
    <row r="67">
      <c r="A67" s="61" t="s">
        <v>445</v>
      </c>
      <c r="B67" s="67"/>
      <c r="C67" s="61" t="s">
        <v>446</v>
      </c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</row>
    <row r="68">
      <c r="A68" s="61" t="s">
        <v>447</v>
      </c>
      <c r="B68" s="106">
        <v>80000.0</v>
      </c>
      <c r="C68" s="106">
        <v>80000.0</v>
      </c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</row>
    <row r="69">
      <c r="A69" s="61" t="s">
        <v>448</v>
      </c>
      <c r="B69" s="106">
        <f>-B57</f>
        <v>30000</v>
      </c>
      <c r="C69" s="106">
        <f>-B57</f>
        <v>30000</v>
      </c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</row>
    <row r="70">
      <c r="A70" s="61" t="s">
        <v>464</v>
      </c>
      <c r="B70" s="106">
        <f t="shared" ref="B70:C70" si="31">B63</f>
        <v>168773</v>
      </c>
      <c r="C70" s="106">
        <f t="shared" si="31"/>
        <v>181920.73</v>
      </c>
      <c r="D70" s="61" t="s">
        <v>450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</row>
    <row r="71">
      <c r="A71" s="61" t="s">
        <v>451</v>
      </c>
      <c r="B71" s="106">
        <f t="shared" ref="B71:C71" si="32">B70-B$69</f>
        <v>138773</v>
      </c>
      <c r="C71" s="106">
        <f t="shared" si="32"/>
        <v>151920.73</v>
      </c>
      <c r="D71" s="61" t="s">
        <v>452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</row>
    <row r="72">
      <c r="A72" s="61" t="s">
        <v>453</v>
      </c>
      <c r="B72" s="106">
        <f t="shared" ref="B72:C72" si="33">B71-B$69</f>
        <v>108773</v>
      </c>
      <c r="C72" s="106">
        <f t="shared" si="33"/>
        <v>121920.73</v>
      </c>
      <c r="D72" s="61" t="s">
        <v>454</v>
      </c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</row>
    <row r="73">
      <c r="A73" s="61" t="s">
        <v>455</v>
      </c>
      <c r="B73" s="106">
        <f t="shared" ref="B73:C73" si="34">B72-B$69</f>
        <v>78773</v>
      </c>
      <c r="C73" s="106">
        <f t="shared" si="34"/>
        <v>91920.73</v>
      </c>
      <c r="D73" s="61" t="s">
        <v>456</v>
      </c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</row>
    <row r="74">
      <c r="A74" s="61" t="s">
        <v>457</v>
      </c>
      <c r="B74" s="147">
        <f t="shared" ref="B74:C74" si="35">1+(B70-B68)/B69</f>
        <v>3.9591</v>
      </c>
      <c r="C74" s="147">
        <f t="shared" si="35"/>
        <v>4.397357667</v>
      </c>
      <c r="D74" s="61" t="s">
        <v>458</v>
      </c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</row>
    <row r="1002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</row>
    <row r="1003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</row>
    <row r="1004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</row>
    <row r="1005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</row>
    <row r="1006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</row>
    <row r="1007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</row>
    <row r="1008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</row>
    <row r="1009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</row>
    <row r="1010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</row>
    <row r="1011">
      <c r="A1011" s="67"/>
      <c r="B1011" s="67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</row>
    <row r="1012">
      <c r="A1012" s="67"/>
      <c r="B1012" s="67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</row>
    <row r="1013">
      <c r="A1013" s="67"/>
      <c r="B1013" s="67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</row>
    <row r="1014">
      <c r="A1014" s="67"/>
      <c r="B1014" s="67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</row>
    <row r="1015">
      <c r="A1015" s="67"/>
      <c r="B1015" s="67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</row>
    <row r="1016">
      <c r="A1016" s="67"/>
      <c r="B1016" s="67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</row>
    <row r="1017">
      <c r="A1017" s="67"/>
      <c r="B1017" s="67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</row>
    <row r="1018">
      <c r="A1018" s="67"/>
      <c r="B1018" s="67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</row>
    <row r="1019">
      <c r="A1019" s="67"/>
      <c r="B1019" s="67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</row>
    <row r="1020">
      <c r="A1020" s="67"/>
      <c r="B1020" s="67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</row>
    <row r="1021">
      <c r="A1021" s="67"/>
      <c r="B1021" s="67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</row>
    <row r="1022">
      <c r="A1022" s="67"/>
      <c r="B1022" s="67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</row>
    <row r="1023">
      <c r="A1023" s="67"/>
      <c r="B1023" s="67"/>
      <c r="C1023" s="67"/>
      <c r="D1023" s="67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</row>
    <row r="1024">
      <c r="A1024" s="67"/>
      <c r="B1024" s="67"/>
      <c r="C1024" s="67"/>
      <c r="D1024" s="67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</row>
    <row r="1025">
      <c r="A1025" s="67"/>
      <c r="B1025" s="67"/>
      <c r="C1025" s="67"/>
      <c r="D1025" s="67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</row>
    <row r="1026">
      <c r="A1026" s="67"/>
      <c r="B1026" s="67"/>
      <c r="C1026" s="67"/>
      <c r="D1026" s="67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</row>
    <row r="1027">
      <c r="A1027" s="67"/>
      <c r="B1027" s="67"/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</row>
    <row r="1028">
      <c r="A1028" s="67"/>
      <c r="B1028" s="67"/>
      <c r="C1028" s="67"/>
      <c r="D1028" s="67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</row>
    <row r="1029">
      <c r="A1029" s="67"/>
      <c r="B1029" s="67"/>
      <c r="C1029" s="67"/>
      <c r="D1029" s="67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</row>
    <row r="1030">
      <c r="A1030" s="67"/>
      <c r="B1030" s="67"/>
      <c r="C1030" s="67"/>
      <c r="D1030" s="67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</row>
  </sheetData>
  <conditionalFormatting sqref="B74:C74">
    <cfRule type="colorScale" priority="1">
      <colorScale>
        <cfvo type="formula" val="0"/>
        <cfvo type="formula" val="1"/>
        <cfvo type="formula" val="2"/>
        <color rgb="FFFF0000"/>
        <color rgb="FFFFFF00"/>
        <color rgb="FF00FF00"/>
      </colorScale>
    </cfRule>
  </conditionalFormatting>
  <conditionalFormatting sqref="B70:C73">
    <cfRule type="cellIs" dxfId="2" priority="2" operator="lessThan">
      <formula>B$68</formula>
    </cfRule>
  </conditionalFormatting>
  <conditionalFormatting sqref="B70:C73">
    <cfRule type="cellIs" dxfId="1" priority="3" operator="greaterThanOrEqual">
      <formula>B$68</formula>
    </cfRule>
  </conditionalFormatting>
  <printOptions gridLines="1" horizontalCentered="1"/>
  <pageMargins bottom="0.75" footer="0.0" header="0.0" left="0.7" right="0.7" top="0.75"/>
  <pageSetup fitToWidth="0" paperSize="9" orientation="portrait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5.0"/>
    <col customWidth="1" min="3" max="3" width="9.75"/>
    <col customWidth="1" min="4" max="4" width="15.5"/>
    <col customWidth="1" min="9" max="9" width="17.75"/>
    <col customWidth="1" min="10" max="10" width="34.63"/>
    <col customWidth="1" min="12" max="12" width="15.63"/>
  </cols>
  <sheetData>
    <row r="1">
      <c r="A1" s="64" t="s">
        <v>476</v>
      </c>
      <c r="B1" s="65" t="s">
        <v>393</v>
      </c>
      <c r="C1" s="61" t="s">
        <v>477</v>
      </c>
      <c r="D1" s="65" t="s">
        <v>394</v>
      </c>
      <c r="E1" s="65" t="s">
        <v>395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</row>
    <row r="2">
      <c r="A2" s="68" t="s">
        <v>478</v>
      </c>
      <c r="B2" s="152">
        <v>246189.0</v>
      </c>
      <c r="C2" s="67"/>
      <c r="D2" s="61" t="s">
        <v>396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</row>
    <row r="3">
      <c r="A3" s="71"/>
      <c r="B3" s="67"/>
      <c r="C3" s="67"/>
      <c r="D3" s="61"/>
      <c r="E3" s="61"/>
      <c r="F3" s="67"/>
      <c r="G3" s="73" t="s">
        <v>397</v>
      </c>
      <c r="H3" s="74"/>
      <c r="I3" s="74"/>
      <c r="J3" s="74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</row>
    <row r="4">
      <c r="A4" s="75" t="s">
        <v>398</v>
      </c>
      <c r="B4" s="75" t="s">
        <v>479</v>
      </c>
      <c r="C4" s="153" t="s">
        <v>480</v>
      </c>
      <c r="D4" s="75" t="s">
        <v>481</v>
      </c>
      <c r="E4" s="75" t="s">
        <v>395</v>
      </c>
      <c r="F4" s="74"/>
      <c r="G4" s="73" t="s">
        <v>14</v>
      </c>
      <c r="H4" s="73" t="s">
        <v>1</v>
      </c>
      <c r="I4" s="73" t="s">
        <v>2</v>
      </c>
      <c r="J4" s="73" t="s">
        <v>0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>
      <c r="A5" s="77" t="s">
        <v>106</v>
      </c>
      <c r="B5" s="78"/>
      <c r="C5" s="78"/>
      <c r="D5" s="79"/>
      <c r="E5" s="79" t="s">
        <v>399</v>
      </c>
      <c r="F5" s="67"/>
      <c r="G5" s="67"/>
      <c r="H5" s="60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</row>
    <row r="6">
      <c r="A6" s="81" t="s">
        <v>34</v>
      </c>
      <c r="B6" s="82">
        <v>40000.0</v>
      </c>
      <c r="C6" s="154">
        <v>40000.0</v>
      </c>
      <c r="D6" s="82">
        <f>SUMIFS('Rozpočet - průběžný stav'!K:K,'Rozpočet - průběžný stav'!A:A,J6)</f>
        <v>43150</v>
      </c>
      <c r="E6" s="155">
        <f>D6-B6</f>
        <v>3150</v>
      </c>
      <c r="F6" s="67"/>
      <c r="G6" s="84">
        <v>2022.0</v>
      </c>
      <c r="H6" s="60" t="s">
        <v>32</v>
      </c>
      <c r="I6" s="61" t="str">
        <f t="shared" ref="I6:I9" si="1">A6</f>
        <v>Příspěvky</v>
      </c>
      <c r="J6" s="67" t="str">
        <f t="shared" ref="J6:J9" si="2">G6&amp;"_"&amp;H6&amp;"_"&amp;I6</f>
        <v>2022_Běžný provoz_Příspěvky</v>
      </c>
      <c r="K6" s="61" t="s">
        <v>400</v>
      </c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</row>
    <row r="7">
      <c r="A7" s="81" t="s">
        <v>186</v>
      </c>
      <c r="B7" s="82">
        <v>10000.0</v>
      </c>
      <c r="C7" s="154">
        <v>5500.0</v>
      </c>
      <c r="D7" s="82">
        <f>SUMIFS('Rozpočet - průběžný stav'!K:K,'Rozpočet - průběžný stav'!A:A,J7)</f>
        <v>2117</v>
      </c>
      <c r="E7" s="155"/>
      <c r="F7" s="67"/>
      <c r="G7" s="84">
        <v>2022.0</v>
      </c>
      <c r="H7" s="60" t="s">
        <v>32</v>
      </c>
      <c r="I7" s="61" t="str">
        <f t="shared" si="1"/>
        <v>Přeúčtování TOM</v>
      </c>
      <c r="J7" s="67" t="str">
        <f t="shared" si="2"/>
        <v>2022_Běžný provoz_Přeúčtování TOM</v>
      </c>
      <c r="K7" s="61" t="s">
        <v>400</v>
      </c>
      <c r="L7" s="85" t="s">
        <v>42</v>
      </c>
      <c r="M7" s="67"/>
      <c r="N7" s="67"/>
      <c r="O7" s="67"/>
      <c r="P7" s="67"/>
      <c r="Q7" s="67"/>
      <c r="R7" s="67"/>
      <c r="S7" s="67"/>
      <c r="T7" s="67"/>
      <c r="U7" s="67"/>
      <c r="V7" s="67"/>
    </row>
    <row r="8">
      <c r="A8" s="81" t="s">
        <v>255</v>
      </c>
      <c r="B8" s="82">
        <v>5000.0</v>
      </c>
      <c r="C8" s="154">
        <v>5000.0</v>
      </c>
      <c r="D8" s="82">
        <f>SUMIFS('Rozpočet - průběžný stav'!K:K,'Rozpočet - průběžný stav'!A:A,J8)</f>
        <v>5000</v>
      </c>
      <c r="E8" s="155">
        <f>D8-B8</f>
        <v>0</v>
      </c>
      <c r="F8" s="67"/>
      <c r="G8" s="84">
        <v>2022.0</v>
      </c>
      <c r="H8" s="60" t="s">
        <v>32</v>
      </c>
      <c r="I8" s="61" t="str">
        <f t="shared" si="1"/>
        <v>Příjem půjčení vleků</v>
      </c>
      <c r="J8" s="67" t="str">
        <f t="shared" si="2"/>
        <v>2022_Běžný provoz_Příjem půjčení vleků</v>
      </c>
      <c r="K8" s="61" t="s">
        <v>400</v>
      </c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</row>
    <row r="9">
      <c r="A9" s="81" t="s">
        <v>377</v>
      </c>
      <c r="B9" s="82"/>
      <c r="C9" s="82"/>
      <c r="D9" s="82">
        <f>SUMIFS('Rozpočet - průběžný stav'!K:K,'Rozpočet - průběžný stav'!A:A,J9)</f>
        <v>0</v>
      </c>
      <c r="E9" s="155"/>
      <c r="F9" s="67"/>
      <c r="G9" s="84">
        <v>2022.0</v>
      </c>
      <c r="H9" s="60" t="s">
        <v>32</v>
      </c>
      <c r="I9" s="61" t="str">
        <f t="shared" si="1"/>
        <v>Ostatní</v>
      </c>
      <c r="J9" s="67" t="str">
        <f t="shared" si="2"/>
        <v>2022_Běžný provoz_Ostatní</v>
      </c>
      <c r="K9" s="61" t="s">
        <v>400</v>
      </c>
      <c r="L9" s="61"/>
      <c r="M9" s="67"/>
      <c r="N9" s="67"/>
      <c r="O9" s="67"/>
      <c r="P9" s="67"/>
      <c r="Q9" s="67"/>
      <c r="R9" s="67"/>
      <c r="S9" s="67"/>
      <c r="T9" s="67"/>
      <c r="U9" s="67"/>
      <c r="V9" s="67"/>
    </row>
    <row r="10">
      <c r="A10" s="86" t="s">
        <v>401</v>
      </c>
      <c r="B10" s="156">
        <f t="shared" ref="B10:D10" si="3">SUM(B6:B9)</f>
        <v>55000</v>
      </c>
      <c r="C10" s="87">
        <f t="shared" si="3"/>
        <v>50500</v>
      </c>
      <c r="D10" s="156">
        <f t="shared" si="3"/>
        <v>50267</v>
      </c>
      <c r="E10" s="157">
        <f>D10-B10</f>
        <v>-4733</v>
      </c>
      <c r="F10" s="67"/>
      <c r="G10" s="67"/>
      <c r="H10" s="60"/>
      <c r="I10" s="67"/>
      <c r="J10" s="67"/>
      <c r="K10" s="61" t="s">
        <v>400</v>
      </c>
      <c r="L10" s="61" t="s">
        <v>402</v>
      </c>
      <c r="M10" s="61" t="s">
        <v>403</v>
      </c>
      <c r="N10" s="67"/>
      <c r="O10" s="67"/>
      <c r="P10" s="67"/>
      <c r="Q10" s="67"/>
      <c r="R10" s="67"/>
      <c r="S10" s="67"/>
      <c r="T10" s="67"/>
      <c r="U10" s="67"/>
      <c r="V10" s="67"/>
    </row>
    <row r="11" ht="6.75" customHeight="1">
      <c r="A11" s="89"/>
      <c r="B11" s="90"/>
      <c r="C11" s="158"/>
      <c r="D11" s="90"/>
      <c r="E11" s="90"/>
      <c r="F11" s="67"/>
      <c r="G11" s="67"/>
      <c r="H11" s="60"/>
      <c r="I11" s="67"/>
      <c r="J11" s="67"/>
      <c r="K11" s="61" t="s">
        <v>400</v>
      </c>
      <c r="L11" s="61"/>
      <c r="M11" s="61"/>
      <c r="N11" s="67"/>
      <c r="O11" s="67"/>
      <c r="P11" s="67"/>
      <c r="Q11" s="67"/>
      <c r="R11" s="67"/>
      <c r="S11" s="67"/>
      <c r="T11" s="67"/>
      <c r="U11" s="67"/>
      <c r="V11" s="67"/>
    </row>
    <row r="12">
      <c r="A12" s="91" t="s">
        <v>404</v>
      </c>
      <c r="B12" s="92"/>
      <c r="C12" s="98"/>
      <c r="D12" s="92"/>
      <c r="E12" s="92"/>
      <c r="F12" s="67"/>
      <c r="G12" s="67"/>
      <c r="H12" s="60"/>
      <c r="I12" s="67"/>
      <c r="J12" s="67"/>
      <c r="K12" s="61" t="s">
        <v>400</v>
      </c>
      <c r="L12" s="94" t="s">
        <v>405</v>
      </c>
      <c r="M12" s="94">
        <v>1000.0</v>
      </c>
      <c r="N12" s="67"/>
      <c r="O12" s="67"/>
      <c r="P12" s="67"/>
      <c r="Q12" s="67"/>
      <c r="R12" s="67"/>
      <c r="S12" s="67"/>
      <c r="T12" s="67"/>
      <c r="U12" s="67"/>
      <c r="V12" s="67"/>
    </row>
    <row r="13">
      <c r="A13" s="81" t="s">
        <v>49</v>
      </c>
      <c r="B13" s="82">
        <v>52000.0</v>
      </c>
      <c r="C13" s="154">
        <v>50000.0</v>
      </c>
      <c r="D13" s="82">
        <f>-SUMIFS('Rozpočet - průběžný stav'!K:K,'Rozpočet - průběžný stav'!A:A,J13)</f>
        <v>58420</v>
      </c>
      <c r="E13" s="155">
        <f t="shared" ref="E13:E19" si="4">D13-B13</f>
        <v>6420</v>
      </c>
      <c r="F13" s="67"/>
      <c r="G13" s="84">
        <v>2022.0</v>
      </c>
      <c r="H13" s="60" t="s">
        <v>32</v>
      </c>
      <c r="I13" s="61" t="str">
        <f t="shared" ref="I13:I18" si="5">A13</f>
        <v>Interní nájmy</v>
      </c>
      <c r="J13" s="67" t="str">
        <f t="shared" ref="J13:J18" si="6">G13&amp;"_"&amp;H13&amp;"_"&amp;I13</f>
        <v>2022_Běžný provoz_Interní nájmy</v>
      </c>
      <c r="K13" s="61" t="s">
        <v>400</v>
      </c>
      <c r="L13" s="94" t="s">
        <v>406</v>
      </c>
      <c r="M13" s="94">
        <v>800.0</v>
      </c>
      <c r="N13" s="67"/>
      <c r="O13" s="67"/>
      <c r="P13" s="67"/>
      <c r="Q13" s="67"/>
      <c r="R13" s="67"/>
      <c r="S13" s="67"/>
      <c r="T13" s="67"/>
      <c r="U13" s="67"/>
      <c r="V13" s="67"/>
    </row>
    <row r="14">
      <c r="A14" s="81" t="s">
        <v>407</v>
      </c>
      <c r="B14" s="96"/>
      <c r="C14" s="159"/>
      <c r="D14" s="82">
        <f>-SUMIFS('Rozpočet - průběžný stav'!K:K,'Rozpočet - průběžný stav'!A:A,J14)</f>
        <v>0</v>
      </c>
      <c r="E14" s="155">
        <f t="shared" si="4"/>
        <v>0</v>
      </c>
      <c r="F14" s="67"/>
      <c r="G14" s="84">
        <v>2022.0</v>
      </c>
      <c r="H14" s="60" t="s">
        <v>32</v>
      </c>
      <c r="I14" s="61" t="str">
        <f t="shared" si="5"/>
        <v>Interní nájmy ostatní</v>
      </c>
      <c r="J14" s="67" t="str">
        <f t="shared" si="6"/>
        <v>2022_Běžný provoz_Interní nájmy ostatní</v>
      </c>
      <c r="K14" s="61" t="s">
        <v>400</v>
      </c>
      <c r="L14" s="84" t="s">
        <v>408</v>
      </c>
      <c r="M14" s="84">
        <v>600.0</v>
      </c>
      <c r="N14" s="67"/>
      <c r="O14" s="67"/>
      <c r="P14" s="67"/>
      <c r="Q14" s="67"/>
      <c r="R14" s="67"/>
      <c r="S14" s="67"/>
      <c r="T14" s="67"/>
      <c r="U14" s="67"/>
      <c r="V14" s="67"/>
    </row>
    <row r="15">
      <c r="A15" s="81" t="s">
        <v>33</v>
      </c>
      <c r="B15" s="82">
        <v>1300.0</v>
      </c>
      <c r="C15" s="154">
        <v>630.0</v>
      </c>
      <c r="D15" s="82">
        <f>-SUMIFS('Rozpočet - průběžný stav'!K:K,'Rozpočet - průběžný stav'!A:A,J15)</f>
        <v>1290</v>
      </c>
      <c r="E15" s="155">
        <f t="shared" si="4"/>
        <v>-10</v>
      </c>
      <c r="F15" s="61" t="s">
        <v>409</v>
      </c>
      <c r="G15" s="84">
        <v>2022.0</v>
      </c>
      <c r="H15" s="60" t="s">
        <v>32</v>
      </c>
      <c r="I15" s="61" t="str">
        <f t="shared" si="5"/>
        <v>Příspěvky ČSK</v>
      </c>
      <c r="J15" s="67" t="str">
        <f t="shared" si="6"/>
        <v>2022_Běžný provoz_Příspěvky ČSK</v>
      </c>
      <c r="K15" s="61" t="s">
        <v>400</v>
      </c>
      <c r="L15" s="61" t="s">
        <v>410</v>
      </c>
      <c r="M15" s="61" t="s">
        <v>403</v>
      </c>
      <c r="N15" s="67"/>
      <c r="O15" s="67"/>
      <c r="P15" s="67"/>
      <c r="Q15" s="67"/>
      <c r="R15" s="67"/>
      <c r="S15" s="67"/>
      <c r="T15" s="67"/>
      <c r="U15" s="67"/>
      <c r="V15" s="67"/>
    </row>
    <row r="16">
      <c r="A16" s="81" t="s">
        <v>71</v>
      </c>
      <c r="B16" s="82">
        <v>3000.0</v>
      </c>
      <c r="C16" s="154">
        <v>5000.0</v>
      </c>
      <c r="D16" s="82">
        <f>-SUMIFS('Rozpočet - průběžný stav'!K:K,'Rozpočet - průběžný stav'!A:A,J16)</f>
        <v>1106</v>
      </c>
      <c r="E16" s="155">
        <f t="shared" si="4"/>
        <v>-1894</v>
      </c>
      <c r="F16" s="61" t="s">
        <v>411</v>
      </c>
      <c r="G16" s="84">
        <v>2022.0</v>
      </c>
      <c r="H16" s="60" t="s">
        <v>32</v>
      </c>
      <c r="I16" s="61" t="str">
        <f t="shared" si="5"/>
        <v>Údržba vleků</v>
      </c>
      <c r="J16" s="67" t="str">
        <f t="shared" si="6"/>
        <v>2022_Běžný provoz_Údržba vleků</v>
      </c>
      <c r="K16" s="61" t="s">
        <v>400</v>
      </c>
      <c r="L16" s="94" t="s">
        <v>412</v>
      </c>
      <c r="M16" s="94">
        <v>1000.0</v>
      </c>
      <c r="N16" s="67"/>
      <c r="O16" s="67"/>
      <c r="P16" s="67"/>
      <c r="Q16" s="67"/>
      <c r="R16" s="67"/>
      <c r="S16" s="67"/>
      <c r="T16" s="67"/>
      <c r="U16" s="67"/>
      <c r="V16" s="67"/>
    </row>
    <row r="17">
      <c r="A17" s="81" t="s">
        <v>148</v>
      </c>
      <c r="B17" s="82">
        <v>1000.0</v>
      </c>
      <c r="C17" s="154">
        <v>1000.0</v>
      </c>
      <c r="D17" s="82">
        <f>-SUMIFS('Rozpočet - průběžný stav'!K:K,'Rozpočet - průběžný stav'!A:A,J17)</f>
        <v>0</v>
      </c>
      <c r="E17" s="155">
        <f t="shared" si="4"/>
        <v>-1000</v>
      </c>
      <c r="F17" s="67"/>
      <c r="G17" s="84">
        <v>2022.0</v>
      </c>
      <c r="H17" s="60" t="s">
        <v>32</v>
      </c>
      <c r="I17" s="61" t="str">
        <f t="shared" si="5"/>
        <v>Materiál</v>
      </c>
      <c r="J17" s="67" t="str">
        <f t="shared" si="6"/>
        <v>2022_Běžný provoz_Materiál</v>
      </c>
      <c r="K17" s="61" t="s">
        <v>400</v>
      </c>
      <c r="L17" s="84" t="s">
        <v>413</v>
      </c>
      <c r="M17" s="84">
        <v>800.0</v>
      </c>
      <c r="N17" s="67"/>
      <c r="O17" s="67"/>
      <c r="P17" s="67"/>
      <c r="Q17" s="67"/>
      <c r="R17" s="67"/>
      <c r="S17" s="67"/>
      <c r="T17" s="67"/>
      <c r="U17" s="67"/>
      <c r="V17" s="67"/>
    </row>
    <row r="18">
      <c r="A18" s="81" t="s">
        <v>165</v>
      </c>
      <c r="B18" s="82"/>
      <c r="C18" s="82"/>
      <c r="D18" s="82">
        <f>-SUMIFS('Rozpočet - průběžný stav'!K:K,'Rozpočet - průběžný stav'!A:A,J18)</f>
        <v>497.31</v>
      </c>
      <c r="E18" s="155">
        <f t="shared" si="4"/>
        <v>497.31</v>
      </c>
      <c r="F18" s="61" t="s">
        <v>414</v>
      </c>
      <c r="G18" s="84">
        <v>2022.0</v>
      </c>
      <c r="H18" s="60" t="s">
        <v>32</v>
      </c>
      <c r="I18" s="61" t="str">
        <f t="shared" si="5"/>
        <v>Výdaje ostatní</v>
      </c>
      <c r="J18" s="67" t="str">
        <f t="shared" si="6"/>
        <v>2022_Běžný provoz_Výdaje ostatní</v>
      </c>
      <c r="K18" s="61" t="s">
        <v>400</v>
      </c>
      <c r="L18" s="94" t="s">
        <v>415</v>
      </c>
      <c r="M18" s="94">
        <v>600.0</v>
      </c>
      <c r="N18" s="67"/>
      <c r="O18" s="67"/>
      <c r="P18" s="67"/>
      <c r="Q18" s="67"/>
      <c r="R18" s="67"/>
      <c r="S18" s="67"/>
      <c r="T18" s="67"/>
      <c r="U18" s="67"/>
      <c r="V18" s="67"/>
    </row>
    <row r="19">
      <c r="A19" s="97" t="s">
        <v>416</v>
      </c>
      <c r="B19" s="160">
        <f t="shared" ref="B19:D19" si="7">SUM(B12:B18)</f>
        <v>57300</v>
      </c>
      <c r="C19" s="98">
        <f t="shared" si="7"/>
        <v>56630</v>
      </c>
      <c r="D19" s="160">
        <f t="shared" si="7"/>
        <v>61313.31</v>
      </c>
      <c r="E19" s="161">
        <f t="shared" si="4"/>
        <v>4013.31</v>
      </c>
      <c r="F19" s="67"/>
      <c r="G19" s="67"/>
      <c r="H19" s="60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</row>
    <row r="20" ht="10.5" customHeight="1">
      <c r="A20" s="99"/>
      <c r="B20" s="100"/>
      <c r="C20" s="158"/>
      <c r="D20" s="100"/>
      <c r="E20" s="100"/>
      <c r="F20" s="67"/>
      <c r="G20" s="67"/>
      <c r="H20" s="60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</row>
    <row r="21">
      <c r="A21" s="101" t="s">
        <v>417</v>
      </c>
      <c r="B21" s="102">
        <f t="shared" ref="B21:D21" si="8">B10-B19</f>
        <v>-2300</v>
      </c>
      <c r="C21" s="162">
        <f t="shared" si="8"/>
        <v>-6130</v>
      </c>
      <c r="D21" s="102">
        <f t="shared" si="8"/>
        <v>-11046.31</v>
      </c>
      <c r="E21" s="102">
        <f>D21-B21</f>
        <v>-8746.31</v>
      </c>
      <c r="F21" s="67"/>
      <c r="G21" s="67"/>
      <c r="H21" s="60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</row>
    <row r="22">
      <c r="A22" s="105"/>
      <c r="B22" s="106"/>
      <c r="C22" s="106"/>
      <c r="D22" s="106"/>
      <c r="E22" s="106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</row>
    <row r="23">
      <c r="A23" s="108" t="s">
        <v>418</v>
      </c>
      <c r="B23" s="108" t="s">
        <v>479</v>
      </c>
      <c r="C23" s="163" t="s">
        <v>480</v>
      </c>
      <c r="D23" s="108" t="s">
        <v>481</v>
      </c>
      <c r="E23" s="108" t="s">
        <v>395</v>
      </c>
      <c r="F23" s="110"/>
      <c r="G23" s="111" t="s">
        <v>14</v>
      </c>
      <c r="H23" s="111" t="s">
        <v>1</v>
      </c>
      <c r="I23" s="111" t="s">
        <v>2</v>
      </c>
      <c r="J23" s="111" t="s">
        <v>0</v>
      </c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</row>
    <row r="24">
      <c r="A24" s="77" t="s">
        <v>106</v>
      </c>
      <c r="B24" s="113"/>
      <c r="C24" s="164"/>
      <c r="D24" s="113"/>
      <c r="E24" s="164"/>
      <c r="F24" s="67"/>
      <c r="G24" s="67"/>
      <c r="H24" s="48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</row>
    <row r="25">
      <c r="A25" s="43" t="s">
        <v>419</v>
      </c>
      <c r="B25" s="114">
        <v>0.0</v>
      </c>
      <c r="C25" s="165">
        <v>0.0</v>
      </c>
      <c r="D25" s="114">
        <f>SUMIFS('Rozpočet - průběžný stav'!K:K,'Rozpočet - průběžný stav'!A:A,J25)</f>
        <v>-2525</v>
      </c>
      <c r="E25" s="166"/>
      <c r="F25" s="67"/>
      <c r="G25" s="84">
        <v>2022.0</v>
      </c>
      <c r="H25" s="116" t="s">
        <v>37</v>
      </c>
      <c r="I25" s="50" t="s">
        <v>95</v>
      </c>
      <c r="J25" s="67" t="str">
        <f t="shared" ref="J25:J26" si="9">G25&amp;"_"&amp;H25&amp;"_"&amp;I25</f>
        <v>2022_Hamerák-akce_Hamerák finance</v>
      </c>
      <c r="K25" s="61" t="s">
        <v>400</v>
      </c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</row>
    <row r="26">
      <c r="A26" s="43" t="s">
        <v>316</v>
      </c>
      <c r="B26" s="114">
        <v>0.0</v>
      </c>
      <c r="C26" s="165">
        <v>4000.0</v>
      </c>
      <c r="D26" s="114">
        <f>SUMIFS('Rozpočet - průběžný stav'!K:K,'Rozpočet - průběžný stav'!A:A,J26)</f>
        <v>3577</v>
      </c>
      <c r="E26" s="166">
        <f t="shared" ref="E26:E27" si="11">D26-B26</f>
        <v>3577</v>
      </c>
      <c r="F26" s="67"/>
      <c r="G26" s="84">
        <v>2022.0</v>
      </c>
      <c r="H26" s="48" t="s">
        <v>61</v>
      </c>
      <c r="I26" s="61" t="str">
        <f>A26</f>
        <v>Příjmy dotace a dary</v>
      </c>
      <c r="J26" s="67" t="str">
        <f t="shared" si="9"/>
        <v>2022_Podpora činnosti_Příjmy dotace a dary</v>
      </c>
      <c r="K26" s="61" t="s">
        <v>400</v>
      </c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</row>
    <row r="27">
      <c r="A27" s="86" t="s">
        <v>420</v>
      </c>
      <c r="B27" s="117">
        <f t="shared" ref="B27:D27" si="10">SUM(B24:B26)</f>
        <v>0</v>
      </c>
      <c r="C27" s="167">
        <f t="shared" si="10"/>
        <v>4000</v>
      </c>
      <c r="D27" s="117">
        <f t="shared" si="10"/>
        <v>1052</v>
      </c>
      <c r="E27" s="168">
        <f t="shared" si="11"/>
        <v>1052</v>
      </c>
      <c r="F27" s="67"/>
      <c r="G27" s="67"/>
      <c r="H27" s="48"/>
      <c r="I27" s="67"/>
      <c r="J27" s="67"/>
      <c r="K27" s="61" t="s">
        <v>400</v>
      </c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</row>
    <row r="28" ht="7.5" customHeight="1">
      <c r="A28" s="119"/>
      <c r="B28" s="120"/>
      <c r="C28" s="120"/>
      <c r="D28" s="120"/>
      <c r="E28" s="128"/>
      <c r="F28" s="67"/>
      <c r="G28" s="67"/>
      <c r="H28" s="48"/>
      <c r="I28" s="67"/>
      <c r="J28" s="67"/>
      <c r="K28" s="61" t="s">
        <v>400</v>
      </c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</row>
    <row r="29">
      <c r="A29" s="91" t="s">
        <v>404</v>
      </c>
      <c r="B29" s="121"/>
      <c r="C29" s="169"/>
      <c r="D29" s="121"/>
      <c r="E29" s="124"/>
      <c r="F29" s="67"/>
      <c r="G29" s="67"/>
      <c r="H29" s="48"/>
      <c r="I29" s="67"/>
      <c r="J29" s="67"/>
      <c r="K29" s="61" t="s">
        <v>400</v>
      </c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</row>
    <row r="30">
      <c r="A30" s="43" t="s">
        <v>296</v>
      </c>
      <c r="B30" s="114">
        <v>30000.0</v>
      </c>
      <c r="C30" s="165"/>
      <c r="D30" s="114">
        <f>-SUMIFS('Rozpočet - průběžný stav'!K:K,'Rozpočet - průběžný stav'!A:A,J30)</f>
        <v>14839</v>
      </c>
      <c r="E30" s="166">
        <f t="shared" ref="E30:E41" si="12">D30-B30</f>
        <v>-15161</v>
      </c>
      <c r="F30" s="67"/>
      <c r="G30" s="84">
        <v>2022.0</v>
      </c>
      <c r="H30" s="48" t="s">
        <v>61</v>
      </c>
      <c r="I30" s="61" t="str">
        <f t="shared" ref="I30:I38" si="13">A30</f>
        <v>Podpora akcí</v>
      </c>
      <c r="J30" s="67" t="str">
        <f t="shared" ref="J30:J40" si="14">G30&amp;"_"&amp;H30&amp;"_"&amp;I30</f>
        <v>2022_Podpora činnosti_Podpora akcí</v>
      </c>
      <c r="K30" s="61" t="s">
        <v>400</v>
      </c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>
      <c r="A31" s="43" t="s">
        <v>143</v>
      </c>
      <c r="B31" s="114"/>
      <c r="C31" s="165">
        <v>10000.0</v>
      </c>
      <c r="D31" s="114">
        <f>-SUMIFS('Rozpočet - průběžný stav'!K:K,'Rozpočet - průběžný stav'!A:A,J31)</f>
        <v>0</v>
      </c>
      <c r="E31" s="166">
        <f t="shared" si="12"/>
        <v>0</v>
      </c>
      <c r="F31" s="67"/>
      <c r="G31" s="84">
        <v>2022.0</v>
      </c>
      <c r="H31" s="48" t="s">
        <v>61</v>
      </c>
      <c r="I31" s="61" t="str">
        <f t="shared" si="13"/>
        <v>Podpora ČPV</v>
      </c>
      <c r="J31" s="67" t="str">
        <f t="shared" si="14"/>
        <v>2022_Podpora činnosti_Podpora ČPV</v>
      </c>
      <c r="K31" s="61" t="s">
        <v>400</v>
      </c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</row>
    <row r="32">
      <c r="A32" s="43" t="s">
        <v>470</v>
      </c>
      <c r="B32" s="114"/>
      <c r="C32" s="165">
        <v>0.0</v>
      </c>
      <c r="D32" s="114">
        <f>-SUMIFS('Rozpočet - průběžný stav'!K:K,'Rozpočet - průběžný stav'!A:A,J32)</f>
        <v>0</v>
      </c>
      <c r="E32" s="166">
        <f t="shared" si="12"/>
        <v>0</v>
      </c>
      <c r="F32" s="67"/>
      <c r="G32" s="84">
        <v>2022.0</v>
      </c>
      <c r="H32" s="48" t="s">
        <v>61</v>
      </c>
      <c r="I32" s="61" t="str">
        <f t="shared" si="13"/>
        <v>Podpora eskymáků</v>
      </c>
      <c r="J32" s="67" t="str">
        <f t="shared" si="14"/>
        <v>2022_Podpora činnosti_Podpora eskymáků</v>
      </c>
      <c r="K32" s="61" t="s">
        <v>400</v>
      </c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</row>
    <row r="33">
      <c r="A33" s="43" t="s">
        <v>471</v>
      </c>
      <c r="B33" s="114"/>
      <c r="C33" s="165">
        <v>1500.0</v>
      </c>
      <c r="D33" s="114">
        <f>-SUMIFS('Rozpočet - průběžný stav'!K:K,'Rozpočet - průběžný stav'!A:A,J33)</f>
        <v>0</v>
      </c>
      <c r="E33" s="166">
        <f t="shared" si="12"/>
        <v>0</v>
      </c>
      <c r="F33" s="67"/>
      <c r="G33" s="84">
        <v>2022.0</v>
      </c>
      <c r="H33" s="48" t="s">
        <v>61</v>
      </c>
      <c r="I33" s="61" t="str">
        <f t="shared" si="13"/>
        <v>Podpora výcviku záchrany</v>
      </c>
      <c r="J33" s="67" t="str">
        <f t="shared" si="14"/>
        <v>2022_Podpora činnosti_Podpora výcviku záchrany</v>
      </c>
      <c r="K33" s="61" t="s">
        <v>400</v>
      </c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</row>
    <row r="34">
      <c r="A34" s="43" t="s">
        <v>153</v>
      </c>
      <c r="B34" s="114"/>
      <c r="C34" s="165">
        <v>4000.0</v>
      </c>
      <c r="D34" s="114">
        <f>-SUMIFS('Rozpočet - průběžný stav'!K:K,'Rozpočet - průběžný stav'!A:A,J34)</f>
        <v>0</v>
      </c>
      <c r="E34" s="166">
        <f t="shared" si="12"/>
        <v>0</v>
      </c>
      <c r="F34" s="67"/>
      <c r="G34" s="84">
        <v>2022.0</v>
      </c>
      <c r="H34" s="48" t="s">
        <v>61</v>
      </c>
      <c r="I34" s="61" t="str">
        <f t="shared" si="13"/>
        <v>Podpora zahraniční zájezd</v>
      </c>
      <c r="J34" s="67" t="str">
        <f t="shared" si="14"/>
        <v>2022_Podpora činnosti_Podpora zahraniční zájezd</v>
      </c>
      <c r="K34" s="61" t="s">
        <v>400</v>
      </c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</row>
    <row r="35">
      <c r="A35" s="43" t="s">
        <v>64</v>
      </c>
      <c r="B35" s="114"/>
      <c r="C35" s="165">
        <v>3000.0</v>
      </c>
      <c r="D35" s="114">
        <f>-SUMIFS('Rozpočet - průběžný stav'!K:K,'Rozpočet - průběžný stav'!A:A,J35)</f>
        <v>0</v>
      </c>
      <c r="E35" s="166">
        <f t="shared" si="12"/>
        <v>0</v>
      </c>
      <c r="F35" s="67"/>
      <c r="G35" s="84">
        <v>2022.0</v>
      </c>
      <c r="H35" s="48" t="s">
        <v>61</v>
      </c>
      <c r="I35" s="61" t="str">
        <f t="shared" si="13"/>
        <v>Oddílový den</v>
      </c>
      <c r="J35" s="67" t="str">
        <f t="shared" si="14"/>
        <v>2022_Podpora činnosti_Oddílový den</v>
      </c>
      <c r="K35" s="61" t="s">
        <v>400</v>
      </c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</row>
    <row r="36">
      <c r="A36" s="43" t="s">
        <v>103</v>
      </c>
      <c r="B36" s="114"/>
      <c r="C36" s="165">
        <v>3000.0</v>
      </c>
      <c r="D36" s="114">
        <f>-SUMIFS('Rozpočet - průběžný stav'!K:K,'Rozpočet - průběžný stav'!A:A,J36)</f>
        <v>0</v>
      </c>
      <c r="E36" s="166">
        <f t="shared" si="12"/>
        <v>0</v>
      </c>
      <c r="F36" s="67"/>
      <c r="G36" s="84">
        <v>2022.0</v>
      </c>
      <c r="H36" s="48" t="s">
        <v>61</v>
      </c>
      <c r="I36" s="61" t="str">
        <f t="shared" si="13"/>
        <v>Oddílové vánoce</v>
      </c>
      <c r="J36" s="67" t="str">
        <f t="shared" si="14"/>
        <v>2022_Podpora činnosti_Oddílové vánoce</v>
      </c>
      <c r="K36" s="61" t="s">
        <v>400</v>
      </c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</row>
    <row r="37">
      <c r="A37" s="43" t="s">
        <v>42</v>
      </c>
      <c r="B37" s="114">
        <v>4800.0</v>
      </c>
      <c r="C37" s="165">
        <v>4800.0</v>
      </c>
      <c r="D37" s="114">
        <f>-SUMIFS('Rozpočet - průběžný stav'!K:K,'Rozpočet - průběžný stav'!A:A,J37)</f>
        <v>1400</v>
      </c>
      <c r="E37" s="166">
        <f t="shared" si="12"/>
        <v>-3400</v>
      </c>
      <c r="F37" s="67"/>
      <c r="G37" s="84">
        <v>2022.0</v>
      </c>
      <c r="H37" s="48" t="s">
        <v>61</v>
      </c>
      <c r="I37" s="61" t="str">
        <f t="shared" si="13"/>
        <v>Oddílová soutěž</v>
      </c>
      <c r="J37" s="67" t="str">
        <f t="shared" si="14"/>
        <v>2022_Podpora činnosti_Oddílová soutěž</v>
      </c>
      <c r="K37" s="61" t="s">
        <v>400</v>
      </c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</row>
    <row r="38">
      <c r="A38" s="43" t="s">
        <v>148</v>
      </c>
      <c r="B38" s="114">
        <v>0.0</v>
      </c>
      <c r="C38" s="165">
        <v>0.0</v>
      </c>
      <c r="D38" s="114">
        <f>-SUMIFS('Rozpočet - průběžný stav'!K:K,'Rozpočet - průběžný stav'!A:A,J38)</f>
        <v>0</v>
      </c>
      <c r="E38" s="166">
        <f t="shared" si="12"/>
        <v>0</v>
      </c>
      <c r="F38" s="67"/>
      <c r="G38" s="84">
        <v>2022.0</v>
      </c>
      <c r="H38" s="48" t="s">
        <v>61</v>
      </c>
      <c r="I38" s="61" t="str">
        <f t="shared" si="13"/>
        <v>Materiál</v>
      </c>
      <c r="J38" s="67" t="str">
        <f t="shared" si="14"/>
        <v>2022_Podpora činnosti_Materiál</v>
      </c>
      <c r="K38" s="61" t="s">
        <v>400</v>
      </c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</row>
    <row r="39">
      <c r="A39" s="43" t="s">
        <v>472</v>
      </c>
      <c r="B39" s="114">
        <v>0.0</v>
      </c>
      <c r="C39" s="165">
        <v>5000.0</v>
      </c>
      <c r="D39" s="114">
        <f>-SUMIFS('Rozpočet - průběžný stav'!K:K,'Rozpočet - průběžný stav'!A:A,J39)</f>
        <v>0</v>
      </c>
      <c r="E39" s="166">
        <f t="shared" si="12"/>
        <v>0</v>
      </c>
      <c r="F39" s="67"/>
      <c r="G39" s="84">
        <v>2022.0</v>
      </c>
      <c r="H39" s="116" t="s">
        <v>37</v>
      </c>
      <c r="I39" s="50" t="s">
        <v>136</v>
      </c>
      <c r="J39" s="67" t="str">
        <f t="shared" si="14"/>
        <v>2022_Hamerák-akce_Výbor večeře</v>
      </c>
      <c r="K39" s="61" t="s">
        <v>400</v>
      </c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</row>
    <row r="40">
      <c r="A40" s="43" t="s">
        <v>473</v>
      </c>
      <c r="B40" s="114">
        <v>0.0</v>
      </c>
      <c r="C40" s="165">
        <v>0.0</v>
      </c>
      <c r="D40" s="114">
        <f>-SUMIFS('Rozpočet - průběžný stav'!K:K,'Rozpočet - průběžný stav'!A:A,J40)</f>
        <v>0</v>
      </c>
      <c r="E40" s="166">
        <f t="shared" si="12"/>
        <v>0</v>
      </c>
      <c r="F40" s="67"/>
      <c r="G40" s="84">
        <v>2022.0</v>
      </c>
      <c r="H40" s="116" t="s">
        <v>37</v>
      </c>
      <c r="I40" s="50" t="s">
        <v>158</v>
      </c>
      <c r="J40" s="67" t="str">
        <f t="shared" si="14"/>
        <v>2022_Hamerák-akce_Náklady příprava</v>
      </c>
      <c r="K40" s="61" t="s">
        <v>400</v>
      </c>
      <c r="L40" s="122" t="s">
        <v>422</v>
      </c>
      <c r="M40" s="149">
        <f>D25-D39-D40</f>
        <v>-2525</v>
      </c>
      <c r="N40" s="67"/>
      <c r="O40" s="67"/>
      <c r="P40" s="67"/>
      <c r="Q40" s="67"/>
      <c r="R40" s="67"/>
      <c r="S40" s="67"/>
      <c r="T40" s="67"/>
      <c r="U40" s="67"/>
      <c r="V40" s="67"/>
    </row>
    <row r="41">
      <c r="A41" s="97" t="s">
        <v>423</v>
      </c>
      <c r="B41" s="170">
        <f t="shared" ref="B41:D41" si="15">sum(B30:B40)</f>
        <v>34800</v>
      </c>
      <c r="C41" s="169">
        <f t="shared" si="15"/>
        <v>31300</v>
      </c>
      <c r="D41" s="170">
        <f t="shared" si="15"/>
        <v>16239</v>
      </c>
      <c r="E41" s="170">
        <f t="shared" si="12"/>
        <v>-18561</v>
      </c>
      <c r="F41" s="67"/>
      <c r="G41" s="67"/>
      <c r="H41" s="48"/>
      <c r="I41" s="67"/>
      <c r="J41" s="67"/>
      <c r="K41" s="61" t="s">
        <v>400</v>
      </c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</row>
    <row r="42" ht="9.0" customHeight="1">
      <c r="A42" s="119"/>
      <c r="B42" s="125"/>
      <c r="C42" s="120"/>
      <c r="D42" s="125"/>
      <c r="E42" s="125"/>
      <c r="F42" s="67"/>
      <c r="G42" s="67"/>
      <c r="H42" s="48"/>
      <c r="I42" s="67"/>
      <c r="J42" s="67"/>
      <c r="K42" s="61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</row>
    <row r="43">
      <c r="A43" s="101" t="s">
        <v>424</v>
      </c>
      <c r="B43" s="127">
        <f t="shared" ref="B43:D43" si="16">B27-B41</f>
        <v>-34800</v>
      </c>
      <c r="C43" s="171">
        <f t="shared" si="16"/>
        <v>-27300</v>
      </c>
      <c r="D43" s="127">
        <f t="shared" si="16"/>
        <v>-15187</v>
      </c>
      <c r="E43" s="127">
        <f>D43-B43</f>
        <v>19613</v>
      </c>
      <c r="F43" s="67"/>
      <c r="G43" s="67"/>
      <c r="H43" s="48"/>
      <c r="I43" s="67"/>
      <c r="J43" s="67"/>
      <c r="K43" s="61" t="s">
        <v>400</v>
      </c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</row>
    <row r="44" ht="9.75" customHeight="1">
      <c r="A44" s="119"/>
      <c r="B44" s="128"/>
      <c r="C44" s="120"/>
      <c r="D44" s="128"/>
      <c r="E44" s="128"/>
      <c r="F44" s="67"/>
      <c r="G44" s="67"/>
      <c r="H44" s="67"/>
      <c r="I44" s="67"/>
      <c r="J44" s="67"/>
      <c r="K44" s="61" t="s">
        <v>400</v>
      </c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</row>
    <row r="45">
      <c r="A45" s="101" t="s">
        <v>425</v>
      </c>
      <c r="B45" s="129">
        <v>0.0</v>
      </c>
      <c r="C45" s="171">
        <v>0.0</v>
      </c>
      <c r="D45" s="130">
        <f>D25-D39-D40</f>
        <v>-2525</v>
      </c>
      <c r="E45" s="150"/>
      <c r="F45" s="67"/>
      <c r="G45" s="84"/>
      <c r="H45" s="61"/>
      <c r="I45" s="61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</row>
    <row r="46">
      <c r="A46" s="105"/>
      <c r="B46" s="106"/>
      <c r="C46" s="172"/>
      <c r="D46" s="132">
        <f>-SUMIFS('Rozpočet - průběžný stav'!K:K,'Rozpočet - průběžný stav'!A:A,J46)</f>
        <v>0</v>
      </c>
      <c r="E46" s="106"/>
      <c r="F46" s="67"/>
      <c r="G46" s="84">
        <v>2022.0</v>
      </c>
      <c r="H46" s="61" t="s">
        <v>27</v>
      </c>
      <c r="I46" s="61" t="s">
        <v>426</v>
      </c>
      <c r="J46" s="67" t="str">
        <f t="shared" ref="J46:J48" si="17">G46&amp;"_"&amp;H46&amp;"_"&amp;I46</f>
        <v>2022_Převody_Převod z 2019</v>
      </c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</row>
    <row r="47">
      <c r="A47" s="105"/>
      <c r="B47" s="106"/>
      <c r="C47" s="106"/>
      <c r="D47" s="132">
        <f>-SUMIFS('Rozpočet - průběžný stav'!K:K,'Rozpočet - průběžný stav'!A:A,J47)</f>
        <v>0</v>
      </c>
      <c r="E47" s="106"/>
      <c r="F47" s="67"/>
      <c r="G47" s="84">
        <v>2022.0</v>
      </c>
      <c r="H47" s="61" t="s">
        <v>27</v>
      </c>
      <c r="I47" s="61" t="s">
        <v>44</v>
      </c>
      <c r="J47" s="67" t="str">
        <f t="shared" si="17"/>
        <v>2022_Převody_převod</v>
      </c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</row>
    <row r="48">
      <c r="A48" s="105"/>
      <c r="B48" s="106"/>
      <c r="C48" s="106"/>
      <c r="D48" s="132">
        <f>-SUMIFS('Rozpočet - průběžný stav'!K:K,'Rozpočet - průběžný stav'!A:A,J48)</f>
        <v>0</v>
      </c>
      <c r="E48" s="106"/>
      <c r="F48" s="67"/>
      <c r="G48" s="84">
        <v>2022.0</v>
      </c>
      <c r="H48" s="61" t="s">
        <v>27</v>
      </c>
      <c r="I48" s="61" t="s">
        <v>22</v>
      </c>
      <c r="J48" s="67" t="str">
        <f t="shared" si="17"/>
        <v>2022_Převody_stav</v>
      </c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</row>
    <row r="49">
      <c r="A49" s="105"/>
      <c r="B49" s="106"/>
      <c r="C49" s="106"/>
      <c r="D49" s="106"/>
      <c r="E49" s="106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</row>
    <row r="50">
      <c r="A50" s="105"/>
      <c r="B50" s="106"/>
      <c r="C50" s="67"/>
      <c r="D50" s="106"/>
      <c r="E50" s="106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</row>
    <row r="51">
      <c r="A51" s="134" t="s">
        <v>427</v>
      </c>
      <c r="B51" s="134" t="s">
        <v>479</v>
      </c>
      <c r="C51" s="173" t="s">
        <v>480</v>
      </c>
      <c r="D51" s="134" t="s">
        <v>481</v>
      </c>
      <c r="E51" s="134" t="s">
        <v>395</v>
      </c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</row>
    <row r="52">
      <c r="A52" s="101" t="s">
        <v>482</v>
      </c>
      <c r="B52" s="130">
        <f>B2</f>
        <v>246189</v>
      </c>
      <c r="C52" s="150">
        <f>B52</f>
        <v>246189</v>
      </c>
      <c r="D52" s="127">
        <f>B52</f>
        <v>246189</v>
      </c>
      <c r="E52" s="15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</row>
    <row r="53">
      <c r="A53" s="138" t="s">
        <v>429</v>
      </c>
      <c r="B53" s="139">
        <f t="shared" ref="B53:D53" si="18">B10</f>
        <v>55000</v>
      </c>
      <c r="C53" s="139">
        <f t="shared" si="18"/>
        <v>50500</v>
      </c>
      <c r="D53" s="139">
        <f t="shared" si="18"/>
        <v>50267</v>
      </c>
      <c r="E53" s="144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</row>
    <row r="54">
      <c r="A54" s="138" t="s">
        <v>430</v>
      </c>
      <c r="B54" s="139">
        <f t="shared" ref="B54:D54" si="19">B27</f>
        <v>0</v>
      </c>
      <c r="C54" s="139">
        <f t="shared" si="19"/>
        <v>4000</v>
      </c>
      <c r="D54" s="139">
        <f t="shared" si="19"/>
        <v>1052</v>
      </c>
      <c r="E54" s="14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</row>
    <row r="55">
      <c r="A55" s="77" t="s">
        <v>483</v>
      </c>
      <c r="B55" s="117">
        <f t="shared" ref="B55:D55" si="20">B53+B54</f>
        <v>55000</v>
      </c>
      <c r="C55" s="117">
        <f t="shared" si="20"/>
        <v>54500</v>
      </c>
      <c r="D55" s="117">
        <f t="shared" si="20"/>
        <v>51319</v>
      </c>
      <c r="E55" s="164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</row>
    <row r="56">
      <c r="A56" s="138" t="s">
        <v>432</v>
      </c>
      <c r="B56" s="139">
        <f t="shared" ref="B56:D56" si="21">-B19</f>
        <v>-57300</v>
      </c>
      <c r="C56" s="139">
        <f t="shared" si="21"/>
        <v>-56630</v>
      </c>
      <c r="D56" s="139">
        <f t="shared" si="21"/>
        <v>-61313.31</v>
      </c>
      <c r="E56" s="144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</row>
    <row r="57">
      <c r="A57" s="138" t="s">
        <v>433</v>
      </c>
      <c r="B57" s="139">
        <f t="shared" ref="B57:D57" si="22">-B41</f>
        <v>-34800</v>
      </c>
      <c r="C57" s="139">
        <f t="shared" si="22"/>
        <v>-31300</v>
      </c>
      <c r="D57" s="139">
        <f t="shared" si="22"/>
        <v>-16239</v>
      </c>
      <c r="E57" s="144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</row>
    <row r="58">
      <c r="A58" s="91" t="s">
        <v>484</v>
      </c>
      <c r="B58" s="142">
        <f t="shared" ref="B58:D58" si="23">B56+B57</f>
        <v>-92100</v>
      </c>
      <c r="C58" s="142">
        <f t="shared" si="23"/>
        <v>-87930</v>
      </c>
      <c r="D58" s="142">
        <f t="shared" si="23"/>
        <v>-77552.31</v>
      </c>
      <c r="E58" s="124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</row>
    <row r="59">
      <c r="A59" s="138" t="s">
        <v>435</v>
      </c>
      <c r="B59" s="144">
        <f t="shared" ref="B59:D59" si="24">B53+B56</f>
        <v>-2300</v>
      </c>
      <c r="C59" s="144">
        <f t="shared" si="24"/>
        <v>-6130</v>
      </c>
      <c r="D59" s="144">
        <f t="shared" si="24"/>
        <v>-11046.31</v>
      </c>
      <c r="E59" s="144"/>
      <c r="F59" s="132" t="s">
        <v>436</v>
      </c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</row>
    <row r="60">
      <c r="A60" s="138" t="s">
        <v>437</v>
      </c>
      <c r="B60" s="144">
        <f t="shared" ref="B60:D60" si="25">B54+B57</f>
        <v>-34800</v>
      </c>
      <c r="C60" s="144">
        <f t="shared" si="25"/>
        <v>-27300</v>
      </c>
      <c r="D60" s="144">
        <f t="shared" si="25"/>
        <v>-15187</v>
      </c>
      <c r="E60" s="144"/>
      <c r="F60" s="132" t="s">
        <v>438</v>
      </c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</row>
    <row r="61">
      <c r="A61" s="138" t="s">
        <v>439</v>
      </c>
      <c r="B61" s="145">
        <f t="shared" ref="B61:D61" si="26">B25-B39-B40</f>
        <v>0</v>
      </c>
      <c r="C61" s="145">
        <f t="shared" si="26"/>
        <v>-5000</v>
      </c>
      <c r="D61" s="145">
        <f t="shared" si="26"/>
        <v>-2525</v>
      </c>
      <c r="E61" s="144"/>
      <c r="F61" s="61" t="s">
        <v>440</v>
      </c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</row>
    <row r="62">
      <c r="A62" s="101" t="s">
        <v>485</v>
      </c>
      <c r="B62" s="127">
        <f t="shared" ref="B62:D62" si="27">B55+B58</f>
        <v>-37100</v>
      </c>
      <c r="C62" s="127">
        <f t="shared" si="27"/>
        <v>-33430</v>
      </c>
      <c r="D62" s="127">
        <f t="shared" si="27"/>
        <v>-26233.31</v>
      </c>
      <c r="E62" s="150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</row>
    <row r="63">
      <c r="A63" s="101" t="s">
        <v>464</v>
      </c>
      <c r="B63" s="130">
        <f t="shared" ref="B63:D63" si="28">B52+B55+B58</f>
        <v>209089</v>
      </c>
      <c r="C63" s="130">
        <f t="shared" si="28"/>
        <v>212759</v>
      </c>
      <c r="D63" s="69">
        <f t="shared" si="28"/>
        <v>219955.69</v>
      </c>
      <c r="E63" s="150"/>
      <c r="F63" s="132">
        <v>219955.69</v>
      </c>
      <c r="G63" s="61" t="s">
        <v>475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</row>
    <row r="64">
      <c r="A64" s="67"/>
      <c r="B64" s="106"/>
      <c r="C64" s="106"/>
      <c r="D64" s="106"/>
      <c r="E64" s="106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</row>
    <row r="66">
      <c r="A66" s="146" t="s">
        <v>444</v>
      </c>
      <c r="B66" s="146"/>
      <c r="C66" s="174" t="s">
        <v>477</v>
      </c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</row>
    <row r="67">
      <c r="A67" s="61" t="s">
        <v>445</v>
      </c>
      <c r="B67" s="67"/>
      <c r="C67" s="67"/>
      <c r="D67" s="61" t="s">
        <v>446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</row>
    <row r="68">
      <c r="A68" s="61" t="s">
        <v>447</v>
      </c>
      <c r="B68" s="106">
        <v>80000.0</v>
      </c>
      <c r="C68" s="132"/>
      <c r="D68" s="106">
        <v>80000.0</v>
      </c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</row>
    <row r="69">
      <c r="A69" s="61" t="s">
        <v>448</v>
      </c>
      <c r="B69" s="106">
        <f>-B57</f>
        <v>34800</v>
      </c>
      <c r="C69" s="67"/>
      <c r="D69" s="106">
        <f>-B57</f>
        <v>34800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</row>
    <row r="70">
      <c r="A70" s="61" t="s">
        <v>464</v>
      </c>
      <c r="B70" s="106">
        <f>B63</f>
        <v>209089</v>
      </c>
      <c r="C70" s="67"/>
      <c r="D70" s="106">
        <f>D63</f>
        <v>219955.69</v>
      </c>
      <c r="E70" s="61" t="s">
        <v>450</v>
      </c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</row>
    <row r="71">
      <c r="A71" s="61" t="s">
        <v>451</v>
      </c>
      <c r="B71" s="106">
        <f t="shared" ref="B71:B73" si="29">B70-B$69</f>
        <v>174289</v>
      </c>
      <c r="C71" s="67"/>
      <c r="D71" s="106">
        <f t="shared" ref="D71:D73" si="30">D70-D$69</f>
        <v>185155.69</v>
      </c>
      <c r="E71" s="61" t="s">
        <v>452</v>
      </c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</row>
    <row r="72">
      <c r="A72" s="61" t="s">
        <v>453</v>
      </c>
      <c r="B72" s="106">
        <f t="shared" si="29"/>
        <v>139489</v>
      </c>
      <c r="C72" s="67"/>
      <c r="D72" s="106">
        <f t="shared" si="30"/>
        <v>150355.69</v>
      </c>
      <c r="E72" s="61" t="s">
        <v>454</v>
      </c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</row>
    <row r="73">
      <c r="A73" s="61" t="s">
        <v>455</v>
      </c>
      <c r="B73" s="106">
        <f t="shared" si="29"/>
        <v>104689</v>
      </c>
      <c r="C73" s="67"/>
      <c r="D73" s="106">
        <f t="shared" si="30"/>
        <v>115555.69</v>
      </c>
      <c r="E73" s="61" t="s">
        <v>456</v>
      </c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</row>
    <row r="74">
      <c r="A74" s="61" t="s">
        <v>457</v>
      </c>
      <c r="B74" s="147">
        <f>1+(B70-B68)/B69</f>
        <v>4.709454023</v>
      </c>
      <c r="C74" s="147"/>
      <c r="D74" s="147">
        <f>1+(D70-D68)/D69</f>
        <v>5.02171523</v>
      </c>
      <c r="E74" s="61" t="s">
        <v>458</v>
      </c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</row>
    <row r="1002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</row>
    <row r="1003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</row>
    <row r="1004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</row>
    <row r="1005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</row>
    <row r="1006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</row>
    <row r="1007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</row>
    <row r="1008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</row>
    <row r="1009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</row>
    <row r="1010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</row>
    <row r="1011">
      <c r="A1011" s="67"/>
      <c r="B1011" s="67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</row>
    <row r="1012">
      <c r="A1012" s="67"/>
      <c r="B1012" s="67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</row>
    <row r="1013">
      <c r="A1013" s="67"/>
      <c r="B1013" s="67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</row>
    <row r="1014">
      <c r="A1014" s="67"/>
      <c r="B1014" s="67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</row>
    <row r="1015">
      <c r="A1015" s="67"/>
      <c r="B1015" s="67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</row>
    <row r="1016">
      <c r="A1016" s="67"/>
      <c r="B1016" s="67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</row>
    <row r="1017">
      <c r="A1017" s="67"/>
      <c r="B1017" s="67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</row>
    <row r="1018">
      <c r="A1018" s="67"/>
      <c r="B1018" s="67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</row>
    <row r="1019">
      <c r="A1019" s="67"/>
      <c r="B1019" s="67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</row>
    <row r="1020">
      <c r="A1020" s="67"/>
      <c r="B1020" s="67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</row>
    <row r="1021">
      <c r="A1021" s="67"/>
      <c r="B1021" s="67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</row>
    <row r="1022">
      <c r="A1022" s="67"/>
      <c r="B1022" s="67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</row>
    <row r="1023">
      <c r="A1023" s="67"/>
      <c r="B1023" s="67"/>
      <c r="C1023" s="67"/>
      <c r="D1023" s="67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</row>
    <row r="1024">
      <c r="A1024" s="67"/>
      <c r="B1024" s="67"/>
      <c r="C1024" s="67"/>
      <c r="D1024" s="67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</row>
    <row r="1025">
      <c r="A1025" s="67"/>
      <c r="B1025" s="67"/>
      <c r="C1025" s="67"/>
      <c r="D1025" s="67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</row>
    <row r="1026">
      <c r="A1026" s="67"/>
      <c r="B1026" s="67"/>
      <c r="C1026" s="67"/>
      <c r="D1026" s="67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</row>
    <row r="1027">
      <c r="A1027" s="67"/>
      <c r="B1027" s="67"/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</row>
    <row r="1028">
      <c r="A1028" s="67"/>
      <c r="B1028" s="67"/>
      <c r="C1028" s="67"/>
      <c r="D1028" s="67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</row>
    <row r="1029">
      <c r="A1029" s="67"/>
      <c r="B1029" s="67"/>
      <c r="C1029" s="67"/>
      <c r="D1029" s="67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</row>
    <row r="1030">
      <c r="A1030" s="67"/>
      <c r="B1030" s="67"/>
      <c r="C1030" s="67"/>
      <c r="D1030" s="67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</row>
  </sheetData>
  <conditionalFormatting sqref="B74:D74">
    <cfRule type="colorScale" priority="1">
      <colorScale>
        <cfvo type="formula" val="0"/>
        <cfvo type="formula" val="1"/>
        <cfvo type="formula" val="2"/>
        <color rgb="FFFF0000"/>
        <color rgb="FFFFFF00"/>
        <color rgb="FF00FF00"/>
      </colorScale>
    </cfRule>
  </conditionalFormatting>
  <conditionalFormatting sqref="B70:D73">
    <cfRule type="cellIs" dxfId="2" priority="2" operator="lessThan">
      <formula>B$68</formula>
    </cfRule>
  </conditionalFormatting>
  <conditionalFormatting sqref="B70:D73">
    <cfRule type="cellIs" dxfId="1" priority="3" operator="greaterThanOrEqual">
      <formula>B$68</formula>
    </cfRule>
  </conditionalFormatting>
  <printOptions gridLines="1" horizontalCentered="1"/>
  <pageMargins bottom="0.75" footer="0.0" header="0.0" left="0.7" right="0.7" top="0.75"/>
  <pageSetup fitToWidth="0" paperSize="9" orientation="portrait" pageOrder="overThenDow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5.0"/>
    <col customWidth="1" min="3" max="3" width="9.75"/>
    <col customWidth="1" min="4" max="4" width="15.5"/>
    <col customWidth="1" min="9" max="9" width="17.75"/>
    <col customWidth="1" min="10" max="10" width="34.63"/>
    <col customWidth="1" min="12" max="12" width="15.63"/>
  </cols>
  <sheetData>
    <row r="1">
      <c r="A1" s="64" t="s">
        <v>486</v>
      </c>
      <c r="B1" s="65" t="s">
        <v>393</v>
      </c>
      <c r="C1" s="61" t="s">
        <v>487</v>
      </c>
      <c r="D1" s="65" t="s">
        <v>394</v>
      </c>
      <c r="E1" s="65" t="s">
        <v>395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</row>
    <row r="2">
      <c r="A2" s="68" t="s">
        <v>488</v>
      </c>
      <c r="B2" s="152">
        <v>192476.0</v>
      </c>
      <c r="C2" s="67"/>
      <c r="D2" s="61" t="s">
        <v>396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</row>
    <row r="3">
      <c r="A3" s="71"/>
      <c r="B3" s="67"/>
      <c r="C3" s="67"/>
      <c r="D3" s="61"/>
      <c r="E3" s="61"/>
      <c r="F3" s="67"/>
      <c r="G3" s="73" t="s">
        <v>397</v>
      </c>
      <c r="H3" s="74"/>
      <c r="I3" s="74"/>
      <c r="J3" s="74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</row>
    <row r="4">
      <c r="A4" s="75" t="s">
        <v>398</v>
      </c>
      <c r="B4" s="75" t="s">
        <v>393</v>
      </c>
      <c r="C4" s="75" t="s">
        <v>489</v>
      </c>
      <c r="D4" s="75" t="s">
        <v>490</v>
      </c>
      <c r="E4" s="75" t="s">
        <v>395</v>
      </c>
      <c r="F4" s="74"/>
      <c r="G4" s="73" t="s">
        <v>14</v>
      </c>
      <c r="H4" s="73" t="s">
        <v>1</v>
      </c>
      <c r="I4" s="73" t="s">
        <v>2</v>
      </c>
      <c r="J4" s="73" t="s">
        <v>0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>
      <c r="A5" s="77" t="s">
        <v>491</v>
      </c>
      <c r="B5" s="78"/>
      <c r="C5" s="78"/>
      <c r="D5" s="79"/>
      <c r="E5" s="79" t="s">
        <v>399</v>
      </c>
      <c r="F5" s="67"/>
      <c r="G5" s="67"/>
      <c r="H5" s="60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</row>
    <row r="6">
      <c r="A6" s="81" t="s">
        <v>34</v>
      </c>
      <c r="B6" s="82">
        <v>40000.0</v>
      </c>
      <c r="C6" s="82">
        <v>60000.0</v>
      </c>
      <c r="D6" s="82">
        <f>SUMIFS('Rozpočet - průběžný stav'!K:K,'Rozpočet - průběžný stav'!A:A,J6)</f>
        <v>45000</v>
      </c>
      <c r="E6" s="155">
        <f>D6-B6</f>
        <v>5000</v>
      </c>
      <c r="F6" s="67"/>
      <c r="G6" s="84">
        <v>2021.0</v>
      </c>
      <c r="H6" s="60" t="s">
        <v>32</v>
      </c>
      <c r="I6" s="61" t="str">
        <f t="shared" ref="I6:I9" si="1">A6</f>
        <v>Příspěvky</v>
      </c>
      <c r="J6" s="67" t="str">
        <f t="shared" ref="J6:J9" si="2">G6&amp;"_"&amp;H6&amp;"_"&amp;I6</f>
        <v>2021_Běžný provoz_Příspěvky</v>
      </c>
      <c r="K6" s="61" t="s">
        <v>400</v>
      </c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</row>
    <row r="7">
      <c r="A7" s="81" t="s">
        <v>186</v>
      </c>
      <c r="B7" s="82">
        <v>5500.0</v>
      </c>
      <c r="C7" s="82">
        <v>5500.0</v>
      </c>
      <c r="D7" s="82">
        <f>SUMIFS('Rozpočet - průběžný stav'!K:K,'Rozpočet - průběžný stav'!A:A,J7)</f>
        <v>0</v>
      </c>
      <c r="E7" s="155"/>
      <c r="F7" s="67"/>
      <c r="G7" s="84">
        <v>2021.0</v>
      </c>
      <c r="H7" s="60" t="s">
        <v>32</v>
      </c>
      <c r="I7" s="61" t="str">
        <f t="shared" si="1"/>
        <v>Přeúčtování TOM</v>
      </c>
      <c r="J7" s="67" t="str">
        <f t="shared" si="2"/>
        <v>2021_Běžný provoz_Přeúčtování TOM</v>
      </c>
      <c r="K7" s="61" t="s">
        <v>400</v>
      </c>
      <c r="L7" s="85" t="s">
        <v>42</v>
      </c>
      <c r="M7" s="67"/>
      <c r="N7" s="67"/>
      <c r="O7" s="67"/>
      <c r="P7" s="67"/>
      <c r="Q7" s="67"/>
      <c r="R7" s="67"/>
      <c r="S7" s="67"/>
      <c r="T7" s="67"/>
      <c r="U7" s="67"/>
      <c r="V7" s="67"/>
    </row>
    <row r="8">
      <c r="A8" s="81" t="s">
        <v>255</v>
      </c>
      <c r="B8" s="82">
        <v>5000.0</v>
      </c>
      <c r="C8" s="82">
        <v>5000.0</v>
      </c>
      <c r="D8" s="82">
        <f>SUMIFS('Rozpočet - průběžný stav'!K:K,'Rozpočet - průběžný stav'!A:A,J8)</f>
        <v>5000</v>
      </c>
      <c r="E8" s="155">
        <f>D8-B8</f>
        <v>0</v>
      </c>
      <c r="F8" s="67"/>
      <c r="G8" s="84">
        <v>2021.0</v>
      </c>
      <c r="H8" s="60" t="s">
        <v>32</v>
      </c>
      <c r="I8" s="61" t="str">
        <f t="shared" si="1"/>
        <v>Příjem půjčení vleků</v>
      </c>
      <c r="J8" s="67" t="str">
        <f t="shared" si="2"/>
        <v>2021_Běžný provoz_Příjem půjčení vleků</v>
      </c>
      <c r="K8" s="61" t="s">
        <v>400</v>
      </c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</row>
    <row r="9">
      <c r="A9" s="81" t="s">
        <v>377</v>
      </c>
      <c r="B9" s="82"/>
      <c r="C9" s="82"/>
      <c r="D9" s="82">
        <f>SUMIFS('Rozpočet - průběžný stav'!K:K,'Rozpočet - průběžný stav'!A:A,J9)</f>
        <v>0</v>
      </c>
      <c r="E9" s="155"/>
      <c r="F9" s="67"/>
      <c r="G9" s="84">
        <v>2021.0</v>
      </c>
      <c r="H9" s="60" t="s">
        <v>32</v>
      </c>
      <c r="I9" s="61" t="str">
        <f t="shared" si="1"/>
        <v>Ostatní</v>
      </c>
      <c r="J9" s="67" t="str">
        <f t="shared" si="2"/>
        <v>2021_Běžný provoz_Ostatní</v>
      </c>
      <c r="K9" s="61" t="s">
        <v>400</v>
      </c>
      <c r="L9" s="61"/>
      <c r="M9" s="67"/>
      <c r="N9" s="67"/>
      <c r="O9" s="67"/>
      <c r="P9" s="67"/>
      <c r="Q9" s="67"/>
      <c r="R9" s="67"/>
      <c r="S9" s="67"/>
      <c r="T9" s="67"/>
      <c r="U9" s="67"/>
      <c r="V9" s="67"/>
    </row>
    <row r="10">
      <c r="A10" s="86" t="s">
        <v>401</v>
      </c>
      <c r="B10" s="156">
        <f t="shared" ref="B10:D10" si="3">SUM(B6:B9)</f>
        <v>50500</v>
      </c>
      <c r="C10" s="87">
        <f t="shared" si="3"/>
        <v>70500</v>
      </c>
      <c r="D10" s="156">
        <f t="shared" si="3"/>
        <v>50000</v>
      </c>
      <c r="E10" s="157">
        <f>D10-B10</f>
        <v>-500</v>
      </c>
      <c r="F10" s="67"/>
      <c r="G10" s="67"/>
      <c r="H10" s="60"/>
      <c r="I10" s="67"/>
      <c r="J10" s="67"/>
      <c r="K10" s="61" t="s">
        <v>400</v>
      </c>
      <c r="L10" s="61" t="s">
        <v>402</v>
      </c>
      <c r="M10" s="61" t="s">
        <v>403</v>
      </c>
      <c r="N10" s="67"/>
      <c r="O10" s="67"/>
      <c r="P10" s="67"/>
      <c r="Q10" s="67"/>
      <c r="R10" s="67"/>
      <c r="S10" s="67"/>
      <c r="T10" s="67"/>
      <c r="U10" s="67"/>
      <c r="V10" s="67"/>
    </row>
    <row r="11" ht="6.75" customHeight="1">
      <c r="A11" s="175"/>
      <c r="B11" s="176"/>
      <c r="C11" s="177"/>
      <c r="D11" s="176"/>
      <c r="E11" s="176"/>
      <c r="F11" s="67"/>
      <c r="G11" s="67"/>
      <c r="H11" s="60"/>
      <c r="I11" s="67"/>
      <c r="J11" s="67"/>
      <c r="K11" s="61" t="s">
        <v>400</v>
      </c>
      <c r="L11" s="61"/>
      <c r="M11" s="61"/>
      <c r="N11" s="67"/>
      <c r="O11" s="67"/>
      <c r="P11" s="67"/>
      <c r="Q11" s="67"/>
      <c r="R11" s="67"/>
      <c r="S11" s="67"/>
      <c r="T11" s="67"/>
      <c r="U11" s="67"/>
      <c r="V11" s="67"/>
    </row>
    <row r="12">
      <c r="A12" s="91" t="s">
        <v>492</v>
      </c>
      <c r="B12" s="92"/>
      <c r="C12" s="98"/>
      <c r="D12" s="92"/>
      <c r="E12" s="92"/>
      <c r="F12" s="67"/>
      <c r="G12" s="67"/>
      <c r="H12" s="60"/>
      <c r="I12" s="67"/>
      <c r="J12" s="67"/>
      <c r="K12" s="61" t="s">
        <v>400</v>
      </c>
      <c r="L12" s="178" t="s">
        <v>493</v>
      </c>
      <c r="M12" s="178">
        <v>1000.0</v>
      </c>
      <c r="N12" s="67"/>
      <c r="O12" s="67"/>
      <c r="P12" s="67"/>
      <c r="Q12" s="67"/>
      <c r="R12" s="67"/>
      <c r="S12" s="67"/>
      <c r="T12" s="67"/>
      <c r="U12" s="67"/>
      <c r="V12" s="67"/>
    </row>
    <row r="13">
      <c r="A13" s="81" t="s">
        <v>49</v>
      </c>
      <c r="B13" s="82">
        <v>50000.0</v>
      </c>
      <c r="C13" s="82">
        <v>50000.0</v>
      </c>
      <c r="D13" s="82">
        <f>-SUMIFS('Rozpočet - průběžný stav'!K:K,'Rozpočet - průběžný stav'!A:A,J13)</f>
        <v>22414</v>
      </c>
      <c r="E13" s="179">
        <f t="shared" ref="E13:E20" si="4">D13-B13</f>
        <v>-27586</v>
      </c>
      <c r="F13" s="67"/>
      <c r="G13" s="84">
        <v>2021.0</v>
      </c>
      <c r="H13" s="60" t="s">
        <v>32</v>
      </c>
      <c r="I13" s="61" t="str">
        <f t="shared" ref="I13:I19" si="5">A13</f>
        <v>Interní nájmy</v>
      </c>
      <c r="J13" s="67" t="str">
        <f t="shared" ref="J13:J19" si="6">G13&amp;"_"&amp;H13&amp;"_"&amp;I13</f>
        <v>2021_Běžný provoz_Interní nájmy</v>
      </c>
      <c r="K13" s="61" t="s">
        <v>400</v>
      </c>
      <c r="L13" s="94" t="s">
        <v>494</v>
      </c>
      <c r="M13" s="94">
        <v>800.0</v>
      </c>
      <c r="N13" s="67"/>
      <c r="O13" s="67"/>
      <c r="P13" s="67"/>
      <c r="Q13" s="67"/>
      <c r="R13" s="67"/>
      <c r="S13" s="67"/>
      <c r="T13" s="67"/>
      <c r="U13" s="67"/>
      <c r="V13" s="67"/>
    </row>
    <row r="14">
      <c r="A14" s="81" t="s">
        <v>407</v>
      </c>
      <c r="B14" s="96"/>
      <c r="C14" s="82"/>
      <c r="D14" s="82">
        <f>-SUMIFS('Rozpočet - průběžný stav'!K:K,'Rozpočet - průběžný stav'!A:A,J14)</f>
        <v>0</v>
      </c>
      <c r="E14" s="155">
        <f t="shared" si="4"/>
        <v>0</v>
      </c>
      <c r="F14" s="67"/>
      <c r="G14" s="84">
        <v>2021.0</v>
      </c>
      <c r="H14" s="60" t="s">
        <v>32</v>
      </c>
      <c r="I14" s="61" t="str">
        <f t="shared" si="5"/>
        <v>Interní nájmy ostatní</v>
      </c>
      <c r="J14" s="67" t="str">
        <f t="shared" si="6"/>
        <v>2021_Běžný provoz_Interní nájmy ostatní</v>
      </c>
      <c r="K14" s="61" t="s">
        <v>400</v>
      </c>
      <c r="L14" s="94" t="s">
        <v>406</v>
      </c>
      <c r="M14" s="94">
        <v>600.0</v>
      </c>
      <c r="N14" s="67"/>
      <c r="O14" s="67"/>
      <c r="P14" s="67"/>
      <c r="Q14" s="67"/>
      <c r="R14" s="67"/>
      <c r="S14" s="67"/>
      <c r="T14" s="67"/>
      <c r="U14" s="67"/>
      <c r="V14" s="67"/>
    </row>
    <row r="15">
      <c r="A15" s="81" t="s">
        <v>495</v>
      </c>
      <c r="B15" s="82"/>
      <c r="C15" s="82"/>
      <c r="D15" s="82">
        <f>-SUMIFS('Rozpočet - průběžný stav'!K:K,'Rozpočet - průběžný stav'!A:A,J15)</f>
        <v>0</v>
      </c>
      <c r="E15" s="155">
        <f t="shared" si="4"/>
        <v>0</v>
      </c>
      <c r="F15" s="67"/>
      <c r="G15" s="84">
        <v>2021.0</v>
      </c>
      <c r="H15" s="60" t="s">
        <v>32</v>
      </c>
      <c r="I15" s="61" t="str">
        <f t="shared" si="5"/>
        <v>Interní nájmy - srovnání TOM</v>
      </c>
      <c r="J15" s="67" t="str">
        <f t="shared" si="6"/>
        <v>2021_Běžný provoz_Interní nájmy - srovnání TOM</v>
      </c>
      <c r="K15" s="61" t="s">
        <v>400</v>
      </c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</row>
    <row r="16">
      <c r="A16" s="81" t="s">
        <v>33</v>
      </c>
      <c r="B16" s="82">
        <v>630.0</v>
      </c>
      <c r="C16" s="82">
        <v>630.0</v>
      </c>
      <c r="D16" s="82">
        <f>-SUMIFS('Rozpočet - průběžný stav'!K:K,'Rozpočet - průběžný stav'!A:A,J16)</f>
        <v>1330</v>
      </c>
      <c r="E16" s="155">
        <f t="shared" si="4"/>
        <v>700</v>
      </c>
      <c r="F16" s="61" t="s">
        <v>409</v>
      </c>
      <c r="G16" s="84">
        <v>2021.0</v>
      </c>
      <c r="H16" s="60" t="s">
        <v>32</v>
      </c>
      <c r="I16" s="61" t="str">
        <f t="shared" si="5"/>
        <v>Příspěvky ČSK</v>
      </c>
      <c r="J16" s="67" t="str">
        <f t="shared" si="6"/>
        <v>2021_Běžný provoz_Příspěvky ČSK</v>
      </c>
      <c r="K16" s="61" t="s">
        <v>400</v>
      </c>
      <c r="L16" s="61" t="s">
        <v>410</v>
      </c>
      <c r="M16" s="61" t="s">
        <v>403</v>
      </c>
      <c r="N16" s="67"/>
      <c r="O16" s="67"/>
      <c r="P16" s="67"/>
      <c r="Q16" s="67"/>
      <c r="R16" s="67"/>
      <c r="S16" s="67"/>
      <c r="T16" s="67"/>
      <c r="U16" s="67"/>
      <c r="V16" s="67"/>
    </row>
    <row r="17">
      <c r="A17" s="81" t="s">
        <v>71</v>
      </c>
      <c r="B17" s="82">
        <v>5000.0</v>
      </c>
      <c r="C17" s="82">
        <v>2000.0</v>
      </c>
      <c r="D17" s="82">
        <f>-SUMIFS('Rozpočet - průběžný stav'!K:K,'Rozpočet - průběžný stav'!A:A,J17)</f>
        <v>212</v>
      </c>
      <c r="E17" s="155">
        <f t="shared" si="4"/>
        <v>-4788</v>
      </c>
      <c r="F17" s="61" t="s">
        <v>411</v>
      </c>
      <c r="G17" s="84">
        <v>2021.0</v>
      </c>
      <c r="H17" s="60" t="s">
        <v>32</v>
      </c>
      <c r="I17" s="61" t="str">
        <f t="shared" si="5"/>
        <v>Údržba vleků</v>
      </c>
      <c r="J17" s="67" t="str">
        <f t="shared" si="6"/>
        <v>2021_Běžný provoz_Údržba vleků</v>
      </c>
      <c r="K17" s="61" t="s">
        <v>400</v>
      </c>
      <c r="L17" s="94" t="s">
        <v>413</v>
      </c>
      <c r="M17" s="94">
        <v>1000.0</v>
      </c>
      <c r="N17" s="67"/>
      <c r="O17" s="67"/>
      <c r="P17" s="67"/>
      <c r="Q17" s="67"/>
      <c r="R17" s="67"/>
      <c r="S17" s="67"/>
      <c r="T17" s="67"/>
      <c r="U17" s="67"/>
      <c r="V17" s="67"/>
    </row>
    <row r="18">
      <c r="A18" s="81" t="s">
        <v>148</v>
      </c>
      <c r="B18" s="82">
        <v>1000.0</v>
      </c>
      <c r="C18" s="82">
        <v>2000.0</v>
      </c>
      <c r="D18" s="82">
        <f>-SUMIFS('Rozpočet - průběžný stav'!K:K,'Rozpočet - průběžný stav'!A:A,J18)</f>
        <v>0</v>
      </c>
      <c r="E18" s="155">
        <f t="shared" si="4"/>
        <v>-1000</v>
      </c>
      <c r="F18" s="67"/>
      <c r="G18" s="84">
        <v>2021.0</v>
      </c>
      <c r="H18" s="60" t="s">
        <v>32</v>
      </c>
      <c r="I18" s="61" t="str">
        <f t="shared" si="5"/>
        <v>Materiál</v>
      </c>
      <c r="J18" s="67" t="str">
        <f t="shared" si="6"/>
        <v>2021_Běžný provoz_Materiál</v>
      </c>
      <c r="K18" s="61" t="s">
        <v>400</v>
      </c>
      <c r="L18" s="94" t="s">
        <v>496</v>
      </c>
      <c r="M18" s="94">
        <v>800.0</v>
      </c>
      <c r="N18" s="67"/>
      <c r="O18" s="67"/>
      <c r="P18" s="67"/>
      <c r="Q18" s="67"/>
      <c r="R18" s="67"/>
      <c r="S18" s="67"/>
      <c r="T18" s="67"/>
      <c r="U18" s="67"/>
      <c r="V18" s="67"/>
    </row>
    <row r="19">
      <c r="A19" s="81" t="s">
        <v>165</v>
      </c>
      <c r="B19" s="82"/>
      <c r="C19" s="82"/>
      <c r="D19" s="82">
        <f>-SUMIFS('Rozpočet - průběžný stav'!K:K,'Rozpočet - průběžný stav'!A:A,J19)</f>
        <v>497.31</v>
      </c>
      <c r="E19" s="155">
        <f t="shared" si="4"/>
        <v>497.31</v>
      </c>
      <c r="F19" s="61" t="s">
        <v>414</v>
      </c>
      <c r="G19" s="84">
        <v>2021.0</v>
      </c>
      <c r="H19" s="60" t="s">
        <v>32</v>
      </c>
      <c r="I19" s="61" t="str">
        <f t="shared" si="5"/>
        <v>Výdaje ostatní</v>
      </c>
      <c r="J19" s="67" t="str">
        <f t="shared" si="6"/>
        <v>2021_Běžný provoz_Výdaje ostatní</v>
      </c>
      <c r="K19" s="61" t="s">
        <v>400</v>
      </c>
      <c r="L19" s="94" t="s">
        <v>415</v>
      </c>
      <c r="M19" s="94">
        <v>600.0</v>
      </c>
      <c r="N19" s="67"/>
      <c r="O19" s="67"/>
      <c r="P19" s="67"/>
      <c r="Q19" s="67"/>
      <c r="R19" s="67"/>
      <c r="S19" s="67"/>
      <c r="T19" s="67"/>
      <c r="U19" s="67"/>
      <c r="V19" s="67"/>
    </row>
    <row r="20">
      <c r="A20" s="97" t="s">
        <v>416</v>
      </c>
      <c r="B20" s="160">
        <f t="shared" ref="B20:D20" si="7">SUM(B12:B19)</f>
        <v>56630</v>
      </c>
      <c r="C20" s="98">
        <f t="shared" si="7"/>
        <v>54630</v>
      </c>
      <c r="D20" s="160">
        <f t="shared" si="7"/>
        <v>24453.31</v>
      </c>
      <c r="E20" s="161">
        <f t="shared" si="4"/>
        <v>-32176.69</v>
      </c>
      <c r="F20" s="67"/>
      <c r="G20" s="67"/>
      <c r="H20" s="60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</row>
    <row r="21" ht="10.5" customHeight="1">
      <c r="A21" s="180"/>
      <c r="B21" s="181"/>
      <c r="C21" s="177"/>
      <c r="D21" s="181"/>
      <c r="E21" s="181"/>
      <c r="F21" s="67"/>
      <c r="G21" s="67"/>
      <c r="H21" s="60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</row>
    <row r="22">
      <c r="A22" s="101" t="s">
        <v>417</v>
      </c>
      <c r="B22" s="102">
        <f t="shared" ref="B22:D22" si="8">B10-B20</f>
        <v>-6130</v>
      </c>
      <c r="C22" s="162">
        <f t="shared" si="8"/>
        <v>15870</v>
      </c>
      <c r="D22" s="102">
        <f t="shared" si="8"/>
        <v>25546.69</v>
      </c>
      <c r="E22" s="102">
        <f>D22-B22</f>
        <v>31676.69</v>
      </c>
      <c r="F22" s="67"/>
      <c r="G22" s="67"/>
      <c r="H22" s="60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</row>
    <row r="23">
      <c r="A23" s="105"/>
      <c r="B23" s="106"/>
      <c r="C23" s="106"/>
      <c r="D23" s="106"/>
      <c r="E23" s="106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</row>
    <row r="24">
      <c r="A24" s="108" t="s">
        <v>418</v>
      </c>
      <c r="B24" s="108" t="s">
        <v>393</v>
      </c>
      <c r="C24" s="108" t="s">
        <v>489</v>
      </c>
      <c r="D24" s="108" t="s">
        <v>490</v>
      </c>
      <c r="E24" s="108" t="s">
        <v>395</v>
      </c>
      <c r="F24" s="110"/>
      <c r="G24" s="111" t="s">
        <v>14</v>
      </c>
      <c r="H24" s="111" t="s">
        <v>1</v>
      </c>
      <c r="I24" s="111" t="s">
        <v>2</v>
      </c>
      <c r="J24" s="111" t="s">
        <v>0</v>
      </c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</row>
    <row r="25">
      <c r="A25" s="77" t="s">
        <v>491</v>
      </c>
      <c r="B25" s="113"/>
      <c r="C25" s="164"/>
      <c r="D25" s="113"/>
      <c r="E25" s="164"/>
      <c r="F25" s="67"/>
      <c r="G25" s="67"/>
      <c r="H25" s="48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</row>
    <row r="26">
      <c r="A26" s="43" t="s">
        <v>497</v>
      </c>
      <c r="B26" s="114">
        <v>0.0</v>
      </c>
      <c r="C26" s="165">
        <v>0.0</v>
      </c>
      <c r="D26" s="114">
        <f>SUMIFS('Rozpočet - průběžný stav'!K:K,'Rozpočet - průběžný stav'!A:A,J26)</f>
        <v>44518.6</v>
      </c>
      <c r="E26" s="166"/>
      <c r="F26" s="67"/>
      <c r="G26" s="84">
        <v>2021.0</v>
      </c>
      <c r="H26" s="116" t="s">
        <v>37</v>
      </c>
      <c r="I26" s="50" t="s">
        <v>95</v>
      </c>
      <c r="J26" s="67" t="str">
        <f t="shared" ref="J26:J29" si="9">G26&amp;"_"&amp;H26&amp;"_"&amp;I26</f>
        <v>2021_Hamerák-akce_Hamerák finance</v>
      </c>
      <c r="K26" s="61" t="s">
        <v>400</v>
      </c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</row>
    <row r="27">
      <c r="A27" s="43" t="s">
        <v>122</v>
      </c>
      <c r="B27" s="114">
        <v>2000.0</v>
      </c>
      <c r="C27" s="165">
        <v>2000.0</v>
      </c>
      <c r="D27" s="114">
        <f>SUMIFS('Rozpočet - průběžný stav'!K:K,'Rozpočet - průběžný stav'!A:A,J27)</f>
        <v>0</v>
      </c>
      <c r="E27" s="166">
        <f t="shared" ref="E27:E30" si="10">D27-B27</f>
        <v>-2000</v>
      </c>
      <c r="F27" s="67"/>
      <c r="G27" s="84">
        <v>2021.0</v>
      </c>
      <c r="H27" s="48" t="s">
        <v>61</v>
      </c>
      <c r="I27" s="61" t="str">
        <f t="shared" ref="I27:I29" si="11">A27</f>
        <v>Příjmy dotace</v>
      </c>
      <c r="J27" s="67" t="str">
        <f t="shared" si="9"/>
        <v>2021_Podpora činnosti_Příjmy dotace</v>
      </c>
      <c r="K27" s="61" t="s">
        <v>400</v>
      </c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</row>
    <row r="28">
      <c r="A28" s="43" t="s">
        <v>181</v>
      </c>
      <c r="B28" s="114">
        <v>2000.0</v>
      </c>
      <c r="C28" s="165">
        <v>2000.0</v>
      </c>
      <c r="D28" s="114">
        <f>SUMIFS('Rozpočet - průběžný stav'!K:K,'Rozpočet - průběžný stav'!A:A,J28)</f>
        <v>0</v>
      </c>
      <c r="E28" s="166">
        <f t="shared" si="10"/>
        <v>-2000</v>
      </c>
      <c r="F28" s="67"/>
      <c r="G28" s="84">
        <v>2021.0</v>
      </c>
      <c r="H28" s="48" t="s">
        <v>61</v>
      </c>
      <c r="I28" s="61" t="str">
        <f t="shared" si="11"/>
        <v>Příjmy dary</v>
      </c>
      <c r="J28" s="67" t="str">
        <f t="shared" si="9"/>
        <v>2021_Podpora činnosti_Příjmy dary</v>
      </c>
      <c r="K28" s="61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</row>
    <row r="29">
      <c r="A29" s="43" t="s">
        <v>140</v>
      </c>
      <c r="B29" s="114"/>
      <c r="C29" s="165"/>
      <c r="D29" s="114">
        <f>SUMIFS('Rozpočet - průběžný stav'!K:K,'Rozpočet - průběžný stav'!A:A,J29)</f>
        <v>0</v>
      </c>
      <c r="E29" s="166">
        <f t="shared" si="10"/>
        <v>0</v>
      </c>
      <c r="F29" s="67"/>
      <c r="G29" s="84">
        <v>2021.0</v>
      </c>
      <c r="H29" s="48" t="s">
        <v>61</v>
      </c>
      <c r="I29" s="61" t="str">
        <f t="shared" si="11"/>
        <v>Příjmy ostatní</v>
      </c>
      <c r="J29" s="67" t="str">
        <f t="shared" si="9"/>
        <v>2021_Podpora činnosti_Příjmy ostatní</v>
      </c>
      <c r="K29" s="61" t="s">
        <v>400</v>
      </c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</row>
    <row r="30">
      <c r="A30" s="86" t="s">
        <v>420</v>
      </c>
      <c r="B30" s="117">
        <f t="shared" ref="B30:D30" si="12">SUM(B25:B29)</f>
        <v>4000</v>
      </c>
      <c r="C30" s="167">
        <f t="shared" si="12"/>
        <v>4000</v>
      </c>
      <c r="D30" s="117">
        <f t="shared" si="12"/>
        <v>44518.6</v>
      </c>
      <c r="E30" s="168">
        <f t="shared" si="10"/>
        <v>40518.6</v>
      </c>
      <c r="F30" s="67"/>
      <c r="G30" s="67"/>
      <c r="H30" s="48"/>
      <c r="I30" s="67"/>
      <c r="J30" s="67"/>
      <c r="K30" s="61" t="s">
        <v>400</v>
      </c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ht="7.5" customHeight="1">
      <c r="A31" s="119"/>
      <c r="B31" s="120"/>
      <c r="C31" s="120"/>
      <c r="D31" s="120"/>
      <c r="E31" s="128"/>
      <c r="F31" s="67"/>
      <c r="G31" s="67"/>
      <c r="H31" s="48"/>
      <c r="I31" s="67"/>
      <c r="J31" s="67"/>
      <c r="K31" s="61" t="s">
        <v>400</v>
      </c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</row>
    <row r="32">
      <c r="A32" s="91" t="s">
        <v>492</v>
      </c>
      <c r="B32" s="121"/>
      <c r="C32" s="169"/>
      <c r="D32" s="121"/>
      <c r="E32" s="124"/>
      <c r="F32" s="67"/>
      <c r="G32" s="67"/>
      <c r="H32" s="48"/>
      <c r="I32" s="67"/>
      <c r="J32" s="67"/>
      <c r="K32" s="61" t="s">
        <v>400</v>
      </c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</row>
    <row r="33">
      <c r="A33" s="43" t="s">
        <v>143</v>
      </c>
      <c r="B33" s="114">
        <v>10000.0</v>
      </c>
      <c r="C33" s="165">
        <v>10000.0</v>
      </c>
      <c r="D33" s="114">
        <f>-SUMIFS('Rozpočet - průběžný stav'!K:K,'Rozpočet - průběžný stav'!A:A,J33)</f>
        <v>4500</v>
      </c>
      <c r="E33" s="166">
        <f t="shared" ref="E33:E43" si="13">D33-B33</f>
        <v>-5500</v>
      </c>
      <c r="F33" s="67"/>
      <c r="G33" s="84">
        <v>2021.0</v>
      </c>
      <c r="H33" s="48" t="s">
        <v>61</v>
      </c>
      <c r="I33" s="61" t="str">
        <f t="shared" ref="I33:I40" si="14">A33</f>
        <v>Podpora ČPV</v>
      </c>
      <c r="J33" s="67" t="str">
        <f t="shared" ref="J33:J42" si="15">G33&amp;"_"&amp;H33&amp;"_"&amp;I33</f>
        <v>2021_Podpora činnosti_Podpora ČPV</v>
      </c>
      <c r="K33" s="61" t="s">
        <v>400</v>
      </c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</row>
    <row r="34">
      <c r="A34" s="43" t="s">
        <v>470</v>
      </c>
      <c r="B34" s="114">
        <v>0.0</v>
      </c>
      <c r="C34" s="165">
        <v>0.0</v>
      </c>
      <c r="D34" s="114">
        <f>-SUMIFS('Rozpočet - průběžný stav'!K:K,'Rozpočet - průběžný stav'!A:A,J34)</f>
        <v>0</v>
      </c>
      <c r="E34" s="166">
        <f t="shared" si="13"/>
        <v>0</v>
      </c>
      <c r="F34" s="67"/>
      <c r="G34" s="84">
        <v>2021.0</v>
      </c>
      <c r="H34" s="48" t="s">
        <v>61</v>
      </c>
      <c r="I34" s="61" t="str">
        <f t="shared" si="14"/>
        <v>Podpora eskymáků</v>
      </c>
      <c r="J34" s="67" t="str">
        <f t="shared" si="15"/>
        <v>2021_Podpora činnosti_Podpora eskymáků</v>
      </c>
      <c r="K34" s="61" t="s">
        <v>400</v>
      </c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</row>
    <row r="35">
      <c r="A35" s="43" t="s">
        <v>471</v>
      </c>
      <c r="B35" s="114">
        <v>1500.0</v>
      </c>
      <c r="C35" s="165">
        <v>1500.0</v>
      </c>
      <c r="D35" s="114">
        <f>-SUMIFS('Rozpočet - průběžný stav'!K:K,'Rozpočet - průběžný stav'!A:A,J35)</f>
        <v>0</v>
      </c>
      <c r="E35" s="166">
        <f t="shared" si="13"/>
        <v>-1500</v>
      </c>
      <c r="F35" s="67"/>
      <c r="G35" s="84">
        <v>2021.0</v>
      </c>
      <c r="H35" s="48" t="s">
        <v>61</v>
      </c>
      <c r="I35" s="61" t="str">
        <f t="shared" si="14"/>
        <v>Podpora výcviku záchrany</v>
      </c>
      <c r="J35" s="67" t="str">
        <f t="shared" si="15"/>
        <v>2021_Podpora činnosti_Podpora výcviku záchrany</v>
      </c>
      <c r="K35" s="61" t="s">
        <v>400</v>
      </c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</row>
    <row r="36">
      <c r="A36" s="43" t="s">
        <v>153</v>
      </c>
      <c r="B36" s="114">
        <v>4000.0</v>
      </c>
      <c r="C36" s="165">
        <v>4000.0</v>
      </c>
      <c r="D36" s="114">
        <f>-SUMIFS('Rozpočet - průběžný stav'!K:K,'Rozpočet - průběžný stav'!A:A,J36)</f>
        <v>0</v>
      </c>
      <c r="E36" s="166">
        <f t="shared" si="13"/>
        <v>-4000</v>
      </c>
      <c r="F36" s="67"/>
      <c r="G36" s="84">
        <v>2021.0</v>
      </c>
      <c r="H36" s="48" t="s">
        <v>61</v>
      </c>
      <c r="I36" s="61" t="str">
        <f t="shared" si="14"/>
        <v>Podpora zahraniční zájezd</v>
      </c>
      <c r="J36" s="67" t="str">
        <f t="shared" si="15"/>
        <v>2021_Podpora činnosti_Podpora zahraniční zájezd</v>
      </c>
      <c r="K36" s="61" t="s">
        <v>400</v>
      </c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</row>
    <row r="37">
      <c r="A37" s="43" t="s">
        <v>64</v>
      </c>
      <c r="B37" s="114">
        <v>3000.0</v>
      </c>
      <c r="C37" s="165">
        <v>3000.0</v>
      </c>
      <c r="D37" s="114">
        <f>-SUMIFS('Rozpočet - průběžný stav'!K:K,'Rozpočet - průběžný stav'!A:A,J37)</f>
        <v>0</v>
      </c>
      <c r="E37" s="166">
        <f t="shared" si="13"/>
        <v>-3000</v>
      </c>
      <c r="F37" s="67"/>
      <c r="G37" s="84">
        <v>2021.0</v>
      </c>
      <c r="H37" s="48" t="s">
        <v>61</v>
      </c>
      <c r="I37" s="61" t="str">
        <f t="shared" si="14"/>
        <v>Oddílový den</v>
      </c>
      <c r="J37" s="67" t="str">
        <f t="shared" si="15"/>
        <v>2021_Podpora činnosti_Oddílový den</v>
      </c>
      <c r="K37" s="61" t="s">
        <v>400</v>
      </c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</row>
    <row r="38">
      <c r="A38" s="43" t="s">
        <v>103</v>
      </c>
      <c r="B38" s="114">
        <v>3000.0</v>
      </c>
      <c r="C38" s="165">
        <v>3000.0</v>
      </c>
      <c r="D38" s="114">
        <f>-SUMIFS('Rozpočet - průběžný stav'!K:K,'Rozpočet - průběžný stav'!A:A,J38)</f>
        <v>4252.57</v>
      </c>
      <c r="E38" s="166">
        <f t="shared" si="13"/>
        <v>1252.57</v>
      </c>
      <c r="F38" s="67"/>
      <c r="G38" s="84">
        <v>2021.0</v>
      </c>
      <c r="H38" s="48" t="s">
        <v>61</v>
      </c>
      <c r="I38" s="61" t="str">
        <f t="shared" si="14"/>
        <v>Oddílové vánoce</v>
      </c>
      <c r="J38" s="67" t="str">
        <f t="shared" si="15"/>
        <v>2021_Podpora činnosti_Oddílové vánoce</v>
      </c>
      <c r="K38" s="61" t="s">
        <v>400</v>
      </c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</row>
    <row r="39">
      <c r="A39" s="43" t="s">
        <v>42</v>
      </c>
      <c r="B39" s="114">
        <v>4800.0</v>
      </c>
      <c r="C39" s="165">
        <v>4800.0</v>
      </c>
      <c r="D39" s="114">
        <f>-SUMIFS('Rozpočet - průběžný stav'!K:K,'Rozpočet - průběžný stav'!A:A,J39)</f>
        <v>2600</v>
      </c>
      <c r="E39" s="166">
        <f t="shared" si="13"/>
        <v>-2200</v>
      </c>
      <c r="F39" s="67"/>
      <c r="G39" s="84">
        <v>2021.0</v>
      </c>
      <c r="H39" s="48" t="s">
        <v>61</v>
      </c>
      <c r="I39" s="61" t="str">
        <f t="shared" si="14"/>
        <v>Oddílová soutěž</v>
      </c>
      <c r="J39" s="67" t="str">
        <f t="shared" si="15"/>
        <v>2021_Podpora činnosti_Oddílová soutěž</v>
      </c>
      <c r="K39" s="61" t="s">
        <v>400</v>
      </c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</row>
    <row r="40">
      <c r="A40" s="43" t="s">
        <v>148</v>
      </c>
      <c r="B40" s="114">
        <v>0.0</v>
      </c>
      <c r="C40" s="165">
        <v>0.0</v>
      </c>
      <c r="D40" s="114">
        <f>-SUMIFS('Rozpočet - průběžný stav'!K:K,'Rozpočet - průběžný stav'!A:A,J40)</f>
        <v>0</v>
      </c>
      <c r="E40" s="166">
        <f t="shared" si="13"/>
        <v>0</v>
      </c>
      <c r="F40" s="67"/>
      <c r="G40" s="84">
        <v>2021.0</v>
      </c>
      <c r="H40" s="48" t="s">
        <v>61</v>
      </c>
      <c r="I40" s="61" t="str">
        <f t="shared" si="14"/>
        <v>Materiál</v>
      </c>
      <c r="J40" s="67" t="str">
        <f t="shared" si="15"/>
        <v>2021_Podpora činnosti_Materiál</v>
      </c>
      <c r="K40" s="61" t="s">
        <v>400</v>
      </c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</row>
    <row r="41">
      <c r="A41" s="43" t="s">
        <v>472</v>
      </c>
      <c r="B41" s="114">
        <v>5000.0</v>
      </c>
      <c r="C41" s="165">
        <v>5000.0</v>
      </c>
      <c r="D41" s="114">
        <f>-SUMIFS('Rozpočet - průběžný stav'!K:K,'Rozpočet - průběžný stav'!A:A,J41)</f>
        <v>5000</v>
      </c>
      <c r="E41" s="166">
        <f t="shared" si="13"/>
        <v>0</v>
      </c>
      <c r="F41" s="67"/>
      <c r="G41" s="84">
        <v>2021.0</v>
      </c>
      <c r="H41" s="116" t="s">
        <v>37</v>
      </c>
      <c r="I41" s="50" t="s">
        <v>136</v>
      </c>
      <c r="J41" s="67" t="str">
        <f t="shared" si="15"/>
        <v>2021_Hamerák-akce_Výbor večeře</v>
      </c>
      <c r="K41" s="61" t="s">
        <v>400</v>
      </c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</row>
    <row r="42">
      <c r="A42" s="43" t="s">
        <v>473</v>
      </c>
      <c r="B42" s="114">
        <v>0.0</v>
      </c>
      <c r="C42" s="165">
        <v>0.0</v>
      </c>
      <c r="D42" s="114">
        <f>-SUMIFS('Rozpočet - průběžný stav'!K:K,'Rozpočet - průběžný stav'!A:A,J42)</f>
        <v>0</v>
      </c>
      <c r="E42" s="166">
        <f t="shared" si="13"/>
        <v>0</v>
      </c>
      <c r="F42" s="67"/>
      <c r="G42" s="84">
        <v>2021.0</v>
      </c>
      <c r="H42" s="116" t="s">
        <v>37</v>
      </c>
      <c r="I42" s="50" t="s">
        <v>158</v>
      </c>
      <c r="J42" s="67" t="str">
        <f t="shared" si="15"/>
        <v>2021_Hamerák-akce_Náklady příprava</v>
      </c>
      <c r="K42" s="61" t="s">
        <v>400</v>
      </c>
      <c r="L42" s="122" t="s">
        <v>422</v>
      </c>
      <c r="M42" s="149">
        <f>D26-D41-D42</f>
        <v>39518.6</v>
      </c>
      <c r="N42" s="67"/>
      <c r="O42" s="67"/>
      <c r="P42" s="67"/>
      <c r="Q42" s="67"/>
      <c r="R42" s="67"/>
      <c r="S42" s="67"/>
      <c r="T42" s="67"/>
      <c r="U42" s="67"/>
      <c r="V42" s="67"/>
    </row>
    <row r="43">
      <c r="A43" s="97" t="s">
        <v>423</v>
      </c>
      <c r="B43" s="170">
        <f t="shared" ref="B43:D43" si="16">sum(B33:B42)</f>
        <v>31300</v>
      </c>
      <c r="C43" s="169">
        <f t="shared" si="16"/>
        <v>31300</v>
      </c>
      <c r="D43" s="170">
        <f t="shared" si="16"/>
        <v>16352.57</v>
      </c>
      <c r="E43" s="170">
        <f t="shared" si="13"/>
        <v>-14947.43</v>
      </c>
      <c r="F43" s="67"/>
      <c r="G43" s="67"/>
      <c r="H43" s="48"/>
      <c r="I43" s="67"/>
      <c r="J43" s="67"/>
      <c r="K43" s="61" t="s">
        <v>400</v>
      </c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</row>
    <row r="44" ht="9.0" customHeight="1">
      <c r="A44" s="119"/>
      <c r="B44" s="125"/>
      <c r="C44" s="120"/>
      <c r="D44" s="125"/>
      <c r="E44" s="125"/>
      <c r="F44" s="67"/>
      <c r="G44" s="67"/>
      <c r="H44" s="48"/>
      <c r="I44" s="67"/>
      <c r="J44" s="67"/>
      <c r="K44" s="61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</row>
    <row r="45">
      <c r="A45" s="101" t="s">
        <v>424</v>
      </c>
      <c r="B45" s="127">
        <f t="shared" ref="B45:D45" si="17">B30-B43</f>
        <v>-27300</v>
      </c>
      <c r="C45" s="171">
        <f t="shared" si="17"/>
        <v>-27300</v>
      </c>
      <c r="D45" s="127">
        <f t="shared" si="17"/>
        <v>28166.03</v>
      </c>
      <c r="E45" s="127">
        <f>D45-B45</f>
        <v>55466.03</v>
      </c>
      <c r="F45" s="67"/>
      <c r="G45" s="67"/>
      <c r="H45" s="48"/>
      <c r="I45" s="67"/>
      <c r="J45" s="67"/>
      <c r="K45" s="61" t="s">
        <v>400</v>
      </c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</row>
    <row r="46" ht="9.75" customHeight="1">
      <c r="A46" s="119"/>
      <c r="B46" s="128"/>
      <c r="C46" s="120"/>
      <c r="D46" s="128"/>
      <c r="E46" s="128"/>
      <c r="F46" s="67"/>
      <c r="G46" s="67"/>
      <c r="H46" s="67"/>
      <c r="I46" s="67"/>
      <c r="J46" s="67"/>
      <c r="K46" s="61" t="s">
        <v>400</v>
      </c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</row>
    <row r="47">
      <c r="A47" s="101" t="s">
        <v>425</v>
      </c>
      <c r="B47" s="129">
        <v>0.0</v>
      </c>
      <c r="C47" s="171">
        <v>0.0</v>
      </c>
      <c r="D47" s="130">
        <f>D26-D41-D42</f>
        <v>39518.6</v>
      </c>
      <c r="E47" s="150"/>
      <c r="F47" s="67"/>
      <c r="G47" s="84"/>
      <c r="H47" s="61"/>
      <c r="I47" s="61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</row>
    <row r="48">
      <c r="A48" s="105"/>
      <c r="B48" s="106"/>
      <c r="C48" s="172"/>
      <c r="D48" s="132">
        <f>-SUMIFS('Rozpočet - průběžný stav'!K:K,'Rozpočet - průběžný stav'!A:A,J48)</f>
        <v>0</v>
      </c>
      <c r="E48" s="106"/>
      <c r="F48" s="67"/>
      <c r="G48" s="84">
        <v>2021.0</v>
      </c>
      <c r="H48" s="61" t="s">
        <v>27</v>
      </c>
      <c r="I48" s="61" t="s">
        <v>426</v>
      </c>
      <c r="J48" s="67" t="str">
        <f t="shared" ref="J48:J50" si="18">G48&amp;"_"&amp;H48&amp;"_"&amp;I48</f>
        <v>2021_Převody_Převod z 2019</v>
      </c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</row>
    <row r="49">
      <c r="A49" s="105"/>
      <c r="B49" s="106"/>
      <c r="C49" s="106"/>
      <c r="D49" s="132">
        <f>-SUMIFS('Rozpočet - průběžný stav'!K:K,'Rozpočet - průběžný stav'!A:A,J49)</f>
        <v>0</v>
      </c>
      <c r="E49" s="106"/>
      <c r="F49" s="67"/>
      <c r="G49" s="84">
        <v>2021.0</v>
      </c>
      <c r="H49" s="61" t="s">
        <v>27</v>
      </c>
      <c r="I49" s="61" t="s">
        <v>44</v>
      </c>
      <c r="J49" s="67" t="str">
        <f t="shared" si="18"/>
        <v>2021_Převody_převod</v>
      </c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</row>
    <row r="50">
      <c r="A50" s="105"/>
      <c r="B50" s="106"/>
      <c r="C50" s="106"/>
      <c r="D50" s="132">
        <f>-SUMIFS('Rozpočet - průběžný stav'!K:K,'Rozpočet - průběžný stav'!A:A,J50)</f>
        <v>0</v>
      </c>
      <c r="E50" s="106"/>
      <c r="F50" s="67"/>
      <c r="G50" s="84">
        <v>2021.0</v>
      </c>
      <c r="H50" s="61" t="s">
        <v>27</v>
      </c>
      <c r="I50" s="61" t="s">
        <v>22</v>
      </c>
      <c r="J50" s="67" t="str">
        <f t="shared" si="18"/>
        <v>2021_Převody_stav</v>
      </c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</row>
    <row r="51">
      <c r="A51" s="105"/>
      <c r="B51" s="106"/>
      <c r="C51" s="106"/>
      <c r="D51" s="106"/>
      <c r="E51" s="106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</row>
    <row r="52">
      <c r="A52" s="105"/>
      <c r="B52" s="106"/>
      <c r="C52" s="67"/>
      <c r="D52" s="106"/>
      <c r="E52" s="106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</row>
    <row r="53">
      <c r="A53" s="134" t="s">
        <v>427</v>
      </c>
      <c r="B53" s="134" t="s">
        <v>393</v>
      </c>
      <c r="C53" s="134"/>
      <c r="D53" s="134" t="s">
        <v>394</v>
      </c>
      <c r="E53" s="134" t="s">
        <v>395</v>
      </c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</row>
    <row r="54">
      <c r="A54" s="101" t="s">
        <v>498</v>
      </c>
      <c r="B54" s="130">
        <f>B2</f>
        <v>192476</v>
      </c>
      <c r="C54" s="150"/>
      <c r="D54" s="127">
        <f>B54</f>
        <v>192476</v>
      </c>
      <c r="E54" s="150">
        <f t="shared" ref="E54:E65" si="19">D54-B54</f>
        <v>0</v>
      </c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</row>
    <row r="55">
      <c r="A55" s="138" t="s">
        <v>429</v>
      </c>
      <c r="B55" s="139">
        <f>B10</f>
        <v>50500</v>
      </c>
      <c r="C55" s="139"/>
      <c r="D55" s="139">
        <f>D10</f>
        <v>50000</v>
      </c>
      <c r="E55" s="139">
        <f t="shared" si="19"/>
        <v>-500</v>
      </c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</row>
    <row r="56">
      <c r="A56" s="138" t="s">
        <v>430</v>
      </c>
      <c r="B56" s="139">
        <f>B30</f>
        <v>4000</v>
      </c>
      <c r="C56" s="139"/>
      <c r="D56" s="139">
        <f>D30</f>
        <v>44518.6</v>
      </c>
      <c r="E56" s="139">
        <f t="shared" si="19"/>
        <v>40518.6</v>
      </c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</row>
    <row r="57">
      <c r="A57" s="77" t="s">
        <v>499</v>
      </c>
      <c r="B57" s="117">
        <f>B55+B56</f>
        <v>54500</v>
      </c>
      <c r="C57" s="113"/>
      <c r="D57" s="117">
        <f>D55+D56</f>
        <v>94518.6</v>
      </c>
      <c r="E57" s="117">
        <f t="shared" si="19"/>
        <v>40018.6</v>
      </c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</row>
    <row r="58">
      <c r="A58" s="138" t="s">
        <v>432</v>
      </c>
      <c r="B58" s="139">
        <f>-B20</f>
        <v>-56630</v>
      </c>
      <c r="C58" s="139"/>
      <c r="D58" s="139">
        <f>-D20</f>
        <v>-24453.31</v>
      </c>
      <c r="E58" s="139">
        <f t="shared" si="19"/>
        <v>32176.69</v>
      </c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</row>
    <row r="59">
      <c r="A59" s="138" t="s">
        <v>433</v>
      </c>
      <c r="B59" s="139">
        <f>-B43</f>
        <v>-31300</v>
      </c>
      <c r="C59" s="139"/>
      <c r="D59" s="139">
        <f>-D43</f>
        <v>-16352.57</v>
      </c>
      <c r="E59" s="139">
        <f t="shared" si="19"/>
        <v>14947.43</v>
      </c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</row>
    <row r="60">
      <c r="A60" s="91" t="s">
        <v>500</v>
      </c>
      <c r="B60" s="142">
        <f>B58+B59</f>
        <v>-87930</v>
      </c>
      <c r="C60" s="121"/>
      <c r="D60" s="142">
        <f>D58+D59</f>
        <v>-40805.88</v>
      </c>
      <c r="E60" s="142">
        <f t="shared" si="19"/>
        <v>47124.12</v>
      </c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</row>
    <row r="61">
      <c r="A61" s="138" t="s">
        <v>435</v>
      </c>
      <c r="B61" s="144">
        <f t="shared" ref="B61:B62" si="20">B55+B58</f>
        <v>-6130</v>
      </c>
      <c r="C61" s="144"/>
      <c r="D61" s="144">
        <f t="shared" ref="D61:D62" si="21">D55+D58</f>
        <v>25546.69</v>
      </c>
      <c r="E61" s="139">
        <f t="shared" si="19"/>
        <v>31676.69</v>
      </c>
      <c r="F61" s="132" t="s">
        <v>436</v>
      </c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</row>
    <row r="62">
      <c r="A62" s="138" t="s">
        <v>437</v>
      </c>
      <c r="B62" s="144">
        <f t="shared" si="20"/>
        <v>-27300</v>
      </c>
      <c r="C62" s="144"/>
      <c r="D62" s="144">
        <f t="shared" si="21"/>
        <v>28166.03</v>
      </c>
      <c r="E62" s="139">
        <f t="shared" si="19"/>
        <v>55466.03</v>
      </c>
      <c r="F62" s="132" t="s">
        <v>438</v>
      </c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</row>
    <row r="63">
      <c r="A63" s="138" t="s">
        <v>439</v>
      </c>
      <c r="B63" s="145">
        <f>B26-B41-B42</f>
        <v>-5000</v>
      </c>
      <c r="C63" s="144"/>
      <c r="D63" s="145">
        <f>D26-D41-D42</f>
        <v>39518.6</v>
      </c>
      <c r="E63" s="139">
        <f t="shared" si="19"/>
        <v>44518.6</v>
      </c>
      <c r="F63" s="61" t="s">
        <v>440</v>
      </c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</row>
    <row r="64">
      <c r="A64" s="101" t="s">
        <v>501</v>
      </c>
      <c r="B64" s="127">
        <f>B57+B60</f>
        <v>-33430</v>
      </c>
      <c r="C64" s="150"/>
      <c r="D64" s="127">
        <f>D57+D60</f>
        <v>53712.72</v>
      </c>
      <c r="E64" s="127">
        <f t="shared" si="19"/>
        <v>87142.72</v>
      </c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</row>
    <row r="65">
      <c r="A65" s="101" t="s">
        <v>502</v>
      </c>
      <c r="B65" s="130">
        <f>B54+B57+B60</f>
        <v>159046</v>
      </c>
      <c r="C65" s="130"/>
      <c r="D65" s="130">
        <f>D54+D57+D60</f>
        <v>246188.72</v>
      </c>
      <c r="E65" s="127">
        <f t="shared" si="19"/>
        <v>87142.72</v>
      </c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</row>
    <row r="66">
      <c r="A66" s="67"/>
      <c r="B66" s="106"/>
      <c r="C66" s="106"/>
      <c r="D66" s="106"/>
      <c r="E66" s="106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</row>
    <row r="68">
      <c r="A68" s="146" t="s">
        <v>444</v>
      </c>
      <c r="B68" s="146"/>
      <c r="C68" s="174" t="s">
        <v>487</v>
      </c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</row>
    <row r="69">
      <c r="A69" s="61" t="s">
        <v>445</v>
      </c>
      <c r="B69" s="67"/>
      <c r="C69" s="67"/>
      <c r="D69" s="61" t="s">
        <v>503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</row>
    <row r="70">
      <c r="A70" s="61" t="s">
        <v>447</v>
      </c>
      <c r="B70" s="106">
        <v>80000.0</v>
      </c>
      <c r="C70" s="132"/>
      <c r="D70" s="106">
        <v>80000.0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</row>
    <row r="71">
      <c r="A71" s="61" t="s">
        <v>448</v>
      </c>
      <c r="B71" s="106">
        <f>-B59</f>
        <v>31300</v>
      </c>
      <c r="C71" s="67"/>
      <c r="D71" s="106">
        <f>-B59</f>
        <v>31300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</row>
    <row r="72">
      <c r="A72" s="61" t="s">
        <v>502</v>
      </c>
      <c r="B72" s="106">
        <f>B65</f>
        <v>159046</v>
      </c>
      <c r="C72" s="67"/>
      <c r="D72" s="106">
        <f>D65</f>
        <v>246188.72</v>
      </c>
      <c r="E72" s="61" t="s">
        <v>504</v>
      </c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</row>
    <row r="73">
      <c r="A73" s="61" t="s">
        <v>451</v>
      </c>
      <c r="B73" s="106">
        <f t="shared" ref="B73:B75" si="22">B72-B$71</f>
        <v>127746</v>
      </c>
      <c r="C73" s="67"/>
      <c r="D73" s="106">
        <f t="shared" ref="D73:D75" si="23">D72-D$71</f>
        <v>214888.72</v>
      </c>
      <c r="E73" s="61" t="s">
        <v>450</v>
      </c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</row>
    <row r="74">
      <c r="A74" s="61" t="s">
        <v>453</v>
      </c>
      <c r="B74" s="106">
        <f t="shared" si="22"/>
        <v>96446</v>
      </c>
      <c r="C74" s="67"/>
      <c r="D74" s="106">
        <f t="shared" si="23"/>
        <v>183588.72</v>
      </c>
      <c r="E74" s="61" t="s">
        <v>452</v>
      </c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</row>
    <row r="75">
      <c r="A75" s="61" t="s">
        <v>455</v>
      </c>
      <c r="B75" s="106">
        <f t="shared" si="22"/>
        <v>65146</v>
      </c>
      <c r="C75" s="67"/>
      <c r="D75" s="106">
        <f t="shared" si="23"/>
        <v>152288.72</v>
      </c>
      <c r="E75" s="61" t="s">
        <v>454</v>
      </c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</row>
    <row r="76">
      <c r="A76" s="61" t="s">
        <v>457</v>
      </c>
      <c r="B76" s="147">
        <f>1+(B72-B70)/B71</f>
        <v>3.52543131</v>
      </c>
      <c r="C76" s="147"/>
      <c r="D76" s="147">
        <f>1+(D72-D70)/D71</f>
        <v>6.30954377</v>
      </c>
      <c r="E76" s="61" t="s">
        <v>458</v>
      </c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</row>
    <row r="1002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</row>
    <row r="1003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</row>
    <row r="1004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</row>
    <row r="1005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</row>
    <row r="1006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</row>
    <row r="1007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</row>
    <row r="1008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</row>
    <row r="1009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</row>
    <row r="1010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</row>
    <row r="1011">
      <c r="A1011" s="67"/>
      <c r="B1011" s="67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</row>
    <row r="1012">
      <c r="A1012" s="67"/>
      <c r="B1012" s="67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</row>
    <row r="1013">
      <c r="A1013" s="67"/>
      <c r="B1013" s="67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</row>
    <row r="1014">
      <c r="A1014" s="67"/>
      <c r="B1014" s="67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</row>
    <row r="1015">
      <c r="A1015" s="67"/>
      <c r="B1015" s="67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</row>
    <row r="1016">
      <c r="A1016" s="67"/>
      <c r="B1016" s="67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</row>
    <row r="1017">
      <c r="A1017" s="67"/>
      <c r="B1017" s="67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</row>
    <row r="1018">
      <c r="A1018" s="67"/>
      <c r="B1018" s="67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</row>
    <row r="1019">
      <c r="A1019" s="67"/>
      <c r="B1019" s="67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</row>
    <row r="1020">
      <c r="A1020" s="67"/>
      <c r="B1020" s="67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</row>
    <row r="1021">
      <c r="A1021" s="67"/>
      <c r="B1021" s="67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</row>
    <row r="1022">
      <c r="A1022" s="67"/>
      <c r="B1022" s="67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</row>
    <row r="1023">
      <c r="A1023" s="67"/>
      <c r="B1023" s="67"/>
      <c r="C1023" s="67"/>
      <c r="D1023" s="67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</row>
    <row r="1024">
      <c r="A1024" s="67"/>
      <c r="B1024" s="67"/>
      <c r="C1024" s="67"/>
      <c r="D1024" s="67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</row>
    <row r="1025">
      <c r="A1025" s="67"/>
      <c r="B1025" s="67"/>
      <c r="C1025" s="67"/>
      <c r="D1025" s="67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</row>
    <row r="1026">
      <c r="A1026" s="67"/>
      <c r="B1026" s="67"/>
      <c r="C1026" s="67"/>
      <c r="D1026" s="67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</row>
    <row r="1027">
      <c r="A1027" s="67"/>
      <c r="B1027" s="67"/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</row>
    <row r="1028">
      <c r="A1028" s="67"/>
      <c r="B1028" s="67"/>
      <c r="C1028" s="67"/>
      <c r="D1028" s="67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</row>
    <row r="1029">
      <c r="A1029" s="67"/>
      <c r="B1029" s="67"/>
      <c r="C1029" s="67"/>
      <c r="D1029" s="67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</row>
    <row r="1030">
      <c r="A1030" s="67"/>
      <c r="B1030" s="67"/>
      <c r="C1030" s="67"/>
      <c r="D1030" s="67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</row>
    <row r="1031">
      <c r="A1031" s="67"/>
      <c r="B1031" s="67"/>
      <c r="C1031" s="67"/>
      <c r="D1031" s="67"/>
      <c r="E1031" s="67"/>
      <c r="F1031" s="67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</row>
    <row r="1032">
      <c r="A1032" s="67"/>
      <c r="B1032" s="67"/>
      <c r="C1032" s="67"/>
      <c r="D1032" s="67"/>
      <c r="E1032" s="67"/>
      <c r="F1032" s="67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</row>
  </sheetData>
  <conditionalFormatting sqref="B76:D76">
    <cfRule type="colorScale" priority="1">
      <colorScale>
        <cfvo type="formula" val="0"/>
        <cfvo type="formula" val="1"/>
        <cfvo type="formula" val="2"/>
        <color rgb="FFFF0000"/>
        <color rgb="FFFFFF00"/>
        <color rgb="FF00FF00"/>
      </colorScale>
    </cfRule>
  </conditionalFormatting>
  <conditionalFormatting sqref="B72:D75">
    <cfRule type="cellIs" dxfId="2" priority="2" operator="lessThan">
      <formula>B$70</formula>
    </cfRule>
  </conditionalFormatting>
  <conditionalFormatting sqref="B72:D75">
    <cfRule type="cellIs" dxfId="1" priority="3" operator="greaterThanOrEqual">
      <formula>B$70</formula>
    </cfRule>
  </conditionalFormatting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5.0"/>
    <col customWidth="1" min="3" max="3" width="9.75"/>
    <col customWidth="1" min="4" max="4" width="15.5"/>
    <col customWidth="1" min="9" max="9" width="17.75"/>
    <col customWidth="1" min="10" max="10" width="34.63"/>
    <col customWidth="1" min="12" max="12" width="15.63"/>
  </cols>
  <sheetData>
    <row r="1">
      <c r="A1" s="64" t="s">
        <v>505</v>
      </c>
      <c r="B1" s="65" t="s">
        <v>393</v>
      </c>
      <c r="C1" s="61" t="s">
        <v>506</v>
      </c>
      <c r="D1" s="65" t="s">
        <v>394</v>
      </c>
      <c r="E1" s="65" t="s">
        <v>395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</row>
    <row r="2">
      <c r="A2" s="68" t="s">
        <v>507</v>
      </c>
      <c r="B2" s="152">
        <v>169424.0</v>
      </c>
      <c r="C2" s="67"/>
      <c r="D2" s="61" t="s">
        <v>396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</row>
    <row r="3">
      <c r="A3" s="71"/>
      <c r="B3" s="67"/>
      <c r="C3" s="67"/>
      <c r="D3" s="61"/>
      <c r="E3" s="61"/>
      <c r="F3" s="67"/>
      <c r="G3" s="73" t="s">
        <v>397</v>
      </c>
      <c r="H3" s="74"/>
      <c r="I3" s="74"/>
      <c r="J3" s="74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</row>
    <row r="4">
      <c r="A4" s="75" t="s">
        <v>398</v>
      </c>
      <c r="B4" s="75" t="s">
        <v>393</v>
      </c>
      <c r="C4" s="75" t="s">
        <v>508</v>
      </c>
      <c r="D4" s="75" t="s">
        <v>509</v>
      </c>
      <c r="E4" s="75" t="s">
        <v>395</v>
      </c>
      <c r="F4" s="74"/>
      <c r="G4" s="73" t="s">
        <v>14</v>
      </c>
      <c r="H4" s="73" t="s">
        <v>1</v>
      </c>
      <c r="I4" s="73" t="s">
        <v>2</v>
      </c>
      <c r="J4" s="73" t="s">
        <v>0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>
      <c r="A5" s="77" t="s">
        <v>510</v>
      </c>
      <c r="B5" s="78"/>
      <c r="C5" s="78"/>
      <c r="D5" s="79"/>
      <c r="E5" s="79" t="s">
        <v>399</v>
      </c>
      <c r="F5" s="67"/>
      <c r="G5" s="67"/>
      <c r="H5" s="60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</row>
    <row r="6">
      <c r="A6" s="81" t="s">
        <v>34</v>
      </c>
      <c r="B6" s="82">
        <v>60000.0</v>
      </c>
      <c r="C6" s="82">
        <v>60000.0</v>
      </c>
      <c r="D6" s="82">
        <f>SUMIFS('Rozpočet - průběžný stav'!K:K,'Rozpočet - průběžný stav'!A:A,J6)</f>
        <v>40950</v>
      </c>
      <c r="E6" s="155">
        <f>D6-B6</f>
        <v>-19050</v>
      </c>
      <c r="F6" s="67"/>
      <c r="G6" s="84">
        <v>2020.0</v>
      </c>
      <c r="H6" s="60" t="s">
        <v>32</v>
      </c>
      <c r="I6" s="61" t="str">
        <f t="shared" ref="I6:I9" si="1">A6</f>
        <v>Příspěvky</v>
      </c>
      <c r="J6" s="67" t="str">
        <f t="shared" ref="J6:J9" si="2">G6&amp;"_"&amp;H6&amp;"_"&amp;I6</f>
        <v>2020_Běžný provoz_Příspěvky</v>
      </c>
      <c r="K6" s="61" t="s">
        <v>400</v>
      </c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</row>
    <row r="7">
      <c r="A7" s="81" t="s">
        <v>186</v>
      </c>
      <c r="B7" s="82">
        <v>5500.0</v>
      </c>
      <c r="C7" s="82">
        <v>2722.0</v>
      </c>
      <c r="D7" s="82">
        <f>SUMIFS('Rozpočet - průběžný stav'!K:K,'Rozpočet - průběžný stav'!A:A,J7)</f>
        <v>2702</v>
      </c>
      <c r="E7" s="155"/>
      <c r="F7" s="67"/>
      <c r="G7" s="84">
        <v>2020.0</v>
      </c>
      <c r="H7" s="60" t="s">
        <v>32</v>
      </c>
      <c r="I7" s="61" t="str">
        <f t="shared" si="1"/>
        <v>Přeúčtování TOM</v>
      </c>
      <c r="J7" s="67" t="str">
        <f t="shared" si="2"/>
        <v>2020_Běžný provoz_Přeúčtování TOM</v>
      </c>
      <c r="K7" s="61" t="s">
        <v>400</v>
      </c>
      <c r="L7" s="85" t="s">
        <v>42</v>
      </c>
      <c r="M7" s="67"/>
      <c r="N7" s="67"/>
      <c r="O7" s="67"/>
      <c r="P7" s="67"/>
      <c r="Q7" s="67"/>
      <c r="R7" s="67"/>
      <c r="S7" s="67"/>
      <c r="T7" s="67"/>
      <c r="U7" s="67"/>
      <c r="V7" s="67"/>
    </row>
    <row r="8">
      <c r="A8" s="81" t="s">
        <v>255</v>
      </c>
      <c r="B8" s="82">
        <v>5000.0</v>
      </c>
      <c r="C8" s="82">
        <v>0.0</v>
      </c>
      <c r="D8" s="82">
        <f>SUMIFS('Rozpočet - průběžný stav'!K:K,'Rozpočet - průběžný stav'!A:A,J8)</f>
        <v>5000</v>
      </c>
      <c r="E8" s="155">
        <f>D8-B8</f>
        <v>0</v>
      </c>
      <c r="F8" s="67"/>
      <c r="G8" s="84">
        <v>2020.0</v>
      </c>
      <c r="H8" s="60" t="s">
        <v>32</v>
      </c>
      <c r="I8" s="61" t="str">
        <f t="shared" si="1"/>
        <v>Příjem půjčení vleků</v>
      </c>
      <c r="J8" s="67" t="str">
        <f t="shared" si="2"/>
        <v>2020_Běžný provoz_Příjem půjčení vleků</v>
      </c>
      <c r="K8" s="61" t="s">
        <v>400</v>
      </c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</row>
    <row r="9">
      <c r="A9" s="81" t="s">
        <v>377</v>
      </c>
      <c r="B9" s="82"/>
      <c r="C9" s="82"/>
      <c r="D9" s="82">
        <f>SUMIFS('Rozpočet - průběžný stav'!K:K,'Rozpočet - průběžný stav'!A:A,J9)</f>
        <v>0</v>
      </c>
      <c r="E9" s="155"/>
      <c r="F9" s="67"/>
      <c r="G9" s="84">
        <v>2020.0</v>
      </c>
      <c r="H9" s="60" t="s">
        <v>32</v>
      </c>
      <c r="I9" s="61" t="str">
        <f t="shared" si="1"/>
        <v>Ostatní</v>
      </c>
      <c r="J9" s="67" t="str">
        <f t="shared" si="2"/>
        <v>2020_Běžný provoz_Ostatní</v>
      </c>
      <c r="K9" s="61" t="s">
        <v>400</v>
      </c>
      <c r="L9" s="61"/>
      <c r="M9" s="67"/>
      <c r="N9" s="67"/>
      <c r="O9" s="67"/>
      <c r="P9" s="67"/>
      <c r="Q9" s="67"/>
      <c r="R9" s="67"/>
      <c r="S9" s="67"/>
      <c r="T9" s="67"/>
      <c r="U9" s="67"/>
      <c r="V9" s="67"/>
    </row>
    <row r="10">
      <c r="A10" s="86" t="s">
        <v>401</v>
      </c>
      <c r="B10" s="156">
        <f t="shared" ref="B10:D10" si="3">SUM(B6:B9)</f>
        <v>70500</v>
      </c>
      <c r="C10" s="87">
        <f t="shared" si="3"/>
        <v>62722</v>
      </c>
      <c r="D10" s="156">
        <f t="shared" si="3"/>
        <v>48652</v>
      </c>
      <c r="E10" s="157">
        <f>D10-B10</f>
        <v>-21848</v>
      </c>
      <c r="F10" s="67"/>
      <c r="G10" s="67"/>
      <c r="H10" s="60"/>
      <c r="I10" s="67"/>
      <c r="J10" s="67"/>
      <c r="K10" s="61" t="s">
        <v>400</v>
      </c>
      <c r="L10" s="61" t="s">
        <v>402</v>
      </c>
      <c r="M10" s="61" t="s">
        <v>403</v>
      </c>
      <c r="N10" s="67"/>
      <c r="O10" s="67"/>
      <c r="P10" s="67"/>
      <c r="Q10" s="67"/>
      <c r="R10" s="67"/>
      <c r="S10" s="67"/>
      <c r="T10" s="67"/>
      <c r="U10" s="67"/>
      <c r="V10" s="67"/>
    </row>
    <row r="11" ht="6.75" customHeight="1">
      <c r="A11" s="175"/>
      <c r="B11" s="176"/>
      <c r="C11" s="177"/>
      <c r="D11" s="176"/>
      <c r="E11" s="176"/>
      <c r="F11" s="67"/>
      <c r="G11" s="67"/>
      <c r="H11" s="60"/>
      <c r="I11" s="67"/>
      <c r="J11" s="67"/>
      <c r="K11" s="61" t="s">
        <v>400</v>
      </c>
      <c r="L11" s="61"/>
      <c r="M11" s="61"/>
      <c r="N11" s="67"/>
      <c r="O11" s="67"/>
      <c r="P11" s="67"/>
      <c r="Q11" s="67"/>
      <c r="R11" s="67"/>
      <c r="S11" s="67"/>
      <c r="T11" s="67"/>
      <c r="U11" s="67"/>
      <c r="V11" s="67"/>
    </row>
    <row r="12">
      <c r="A12" s="91" t="s">
        <v>511</v>
      </c>
      <c r="B12" s="92"/>
      <c r="C12" s="98"/>
      <c r="D12" s="92"/>
      <c r="E12" s="92"/>
      <c r="F12" s="67"/>
      <c r="G12" s="67"/>
      <c r="H12" s="60"/>
      <c r="I12" s="67"/>
      <c r="J12" s="67"/>
      <c r="K12" s="61" t="s">
        <v>400</v>
      </c>
      <c r="L12" s="94" t="s">
        <v>494</v>
      </c>
      <c r="M12" s="94">
        <v>1000.0</v>
      </c>
      <c r="N12" s="67"/>
      <c r="O12" s="67"/>
      <c r="P12" s="67"/>
      <c r="Q12" s="67"/>
      <c r="R12" s="67"/>
      <c r="S12" s="67"/>
      <c r="T12" s="67"/>
      <c r="U12" s="67"/>
      <c r="V12" s="67"/>
    </row>
    <row r="13">
      <c r="A13" s="81" t="s">
        <v>49</v>
      </c>
      <c r="B13" s="82">
        <v>50000.0</v>
      </c>
      <c r="C13" s="82">
        <f>62224-8437</f>
        <v>53787</v>
      </c>
      <c r="D13" s="82">
        <f>-SUMIFS('Rozpočet - průběžný stav'!K:K,'Rozpočet - průběžný stav'!A:A,J13)</f>
        <v>38362</v>
      </c>
      <c r="E13" s="179">
        <f t="shared" ref="E13:E20" si="4">D13-B13</f>
        <v>-11638</v>
      </c>
      <c r="F13" s="67"/>
      <c r="G13" s="84">
        <v>2020.0</v>
      </c>
      <c r="H13" s="60" t="s">
        <v>32</v>
      </c>
      <c r="I13" s="61" t="str">
        <f t="shared" ref="I13:I19" si="5">A13</f>
        <v>Interní nájmy</v>
      </c>
      <c r="J13" s="67" t="str">
        <f t="shared" ref="J13:J19" si="6">G13&amp;"_"&amp;H13&amp;"_"&amp;I13</f>
        <v>2020_Běžný provoz_Interní nájmy</v>
      </c>
      <c r="K13" s="61" t="s">
        <v>400</v>
      </c>
      <c r="L13" s="94" t="s">
        <v>512</v>
      </c>
      <c r="M13" s="94">
        <v>800.0</v>
      </c>
      <c r="N13" s="67"/>
      <c r="O13" s="67"/>
      <c r="P13" s="67"/>
      <c r="Q13" s="67"/>
      <c r="R13" s="67"/>
      <c r="S13" s="67"/>
      <c r="T13" s="67"/>
      <c r="U13" s="67"/>
      <c r="V13" s="67"/>
    </row>
    <row r="14">
      <c r="A14" s="81" t="s">
        <v>407</v>
      </c>
      <c r="B14" s="96"/>
      <c r="C14" s="82"/>
      <c r="D14" s="82">
        <f>-SUMIFS('Rozpočet - průběžný stav'!K:K,'Rozpočet - průběžný stav'!A:A,J14)</f>
        <v>0</v>
      </c>
      <c r="E14" s="155">
        <f t="shared" si="4"/>
        <v>0</v>
      </c>
      <c r="F14" s="67"/>
      <c r="G14" s="84">
        <v>2020.0</v>
      </c>
      <c r="H14" s="60" t="s">
        <v>32</v>
      </c>
      <c r="I14" s="61" t="str">
        <f t="shared" si="5"/>
        <v>Interní nájmy ostatní</v>
      </c>
      <c r="J14" s="67" t="str">
        <f t="shared" si="6"/>
        <v>2020_Běžný provoz_Interní nájmy ostatní</v>
      </c>
      <c r="K14" s="61" t="s">
        <v>400</v>
      </c>
      <c r="L14" s="94" t="s">
        <v>513</v>
      </c>
      <c r="M14" s="94">
        <v>600.0</v>
      </c>
      <c r="N14" s="67"/>
      <c r="O14" s="67"/>
      <c r="P14" s="67"/>
      <c r="Q14" s="67"/>
      <c r="R14" s="67"/>
      <c r="S14" s="67"/>
      <c r="T14" s="67"/>
      <c r="U14" s="67"/>
      <c r="V14" s="67"/>
    </row>
    <row r="15">
      <c r="A15" s="81" t="s">
        <v>495</v>
      </c>
      <c r="B15" s="82"/>
      <c r="C15" s="82"/>
      <c r="D15" s="82">
        <f>-SUMIFS('Rozpočet - průběžný stav'!K:K,'Rozpočet - průběžný stav'!A:A,J15)</f>
        <v>0</v>
      </c>
      <c r="E15" s="155">
        <f t="shared" si="4"/>
        <v>0</v>
      </c>
      <c r="F15" s="67"/>
      <c r="G15" s="84">
        <v>2020.0</v>
      </c>
      <c r="H15" s="60" t="s">
        <v>32</v>
      </c>
      <c r="I15" s="61" t="str">
        <f t="shared" si="5"/>
        <v>Interní nájmy - srovnání TOM</v>
      </c>
      <c r="J15" s="67" t="str">
        <f t="shared" si="6"/>
        <v>2020_Běžný provoz_Interní nájmy - srovnání TOM</v>
      </c>
      <c r="K15" s="61" t="s">
        <v>400</v>
      </c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</row>
    <row r="16">
      <c r="A16" s="81" t="s">
        <v>33</v>
      </c>
      <c r="B16" s="82">
        <v>630.0</v>
      </c>
      <c r="C16" s="82">
        <v>630.0</v>
      </c>
      <c r="D16" s="82">
        <f>-SUMIFS('Rozpočet - průběžný stav'!K:K,'Rozpočet - průběžný stav'!A:A,J16)</f>
        <v>1330</v>
      </c>
      <c r="E16" s="155">
        <f t="shared" si="4"/>
        <v>700</v>
      </c>
      <c r="F16" s="61" t="s">
        <v>409</v>
      </c>
      <c r="G16" s="84">
        <v>2020.0</v>
      </c>
      <c r="H16" s="60" t="s">
        <v>32</v>
      </c>
      <c r="I16" s="61" t="str">
        <f t="shared" si="5"/>
        <v>Příspěvky ČSK</v>
      </c>
      <c r="J16" s="67" t="str">
        <f t="shared" si="6"/>
        <v>2020_Běžný provoz_Příspěvky ČSK</v>
      </c>
      <c r="K16" s="61" t="s">
        <v>400</v>
      </c>
      <c r="L16" s="61" t="s">
        <v>410</v>
      </c>
      <c r="M16" s="61" t="s">
        <v>403</v>
      </c>
      <c r="N16" s="67"/>
      <c r="O16" s="67"/>
      <c r="P16" s="67"/>
      <c r="Q16" s="67"/>
      <c r="R16" s="67"/>
      <c r="S16" s="67"/>
      <c r="T16" s="67"/>
      <c r="U16" s="67"/>
      <c r="V16" s="67"/>
    </row>
    <row r="17">
      <c r="A17" s="81" t="s">
        <v>71</v>
      </c>
      <c r="B17" s="82">
        <v>2000.0</v>
      </c>
      <c r="C17" s="82">
        <v>2000.0</v>
      </c>
      <c r="D17" s="82">
        <f>-SUMIFS('Rozpočet - průběžný stav'!K:K,'Rozpočet - průběžný stav'!A:A,J17)</f>
        <v>4621</v>
      </c>
      <c r="E17" s="155">
        <f t="shared" si="4"/>
        <v>2621</v>
      </c>
      <c r="F17" s="61" t="s">
        <v>411</v>
      </c>
      <c r="G17" s="84">
        <v>2020.0</v>
      </c>
      <c r="H17" s="60" t="s">
        <v>32</v>
      </c>
      <c r="I17" s="61" t="str">
        <f t="shared" si="5"/>
        <v>Údržba vleků</v>
      </c>
      <c r="J17" s="67" t="str">
        <f t="shared" si="6"/>
        <v>2020_Běžný provoz_Údržba vleků</v>
      </c>
      <c r="K17" s="61" t="s">
        <v>400</v>
      </c>
      <c r="L17" s="94" t="s">
        <v>413</v>
      </c>
      <c r="M17" s="94">
        <v>1000.0</v>
      </c>
      <c r="N17" s="67"/>
      <c r="O17" s="67"/>
      <c r="P17" s="67"/>
      <c r="Q17" s="67"/>
      <c r="R17" s="67"/>
      <c r="S17" s="67"/>
      <c r="T17" s="67"/>
      <c r="U17" s="67"/>
      <c r="V17" s="67"/>
    </row>
    <row r="18">
      <c r="A18" s="81" t="s">
        <v>148</v>
      </c>
      <c r="B18" s="82">
        <v>2000.0</v>
      </c>
      <c r="C18" s="82">
        <v>1000.0</v>
      </c>
      <c r="D18" s="82">
        <f>-SUMIFS('Rozpočet - průběžný stav'!K:K,'Rozpočet - průběžný stav'!A:A,J18)</f>
        <v>0</v>
      </c>
      <c r="E18" s="155">
        <f t="shared" si="4"/>
        <v>-2000</v>
      </c>
      <c r="F18" s="67"/>
      <c r="G18" s="84">
        <v>2020.0</v>
      </c>
      <c r="H18" s="60" t="s">
        <v>32</v>
      </c>
      <c r="I18" s="61" t="str">
        <f t="shared" si="5"/>
        <v>Materiál</v>
      </c>
      <c r="J18" s="67" t="str">
        <f t="shared" si="6"/>
        <v>2020_Běžný provoz_Materiál</v>
      </c>
      <c r="K18" s="61" t="s">
        <v>400</v>
      </c>
      <c r="L18" s="94" t="s">
        <v>514</v>
      </c>
      <c r="M18" s="94">
        <v>800.0</v>
      </c>
      <c r="N18" s="67"/>
      <c r="O18" s="67"/>
      <c r="P18" s="67"/>
      <c r="Q18" s="67"/>
      <c r="R18" s="67"/>
      <c r="S18" s="67"/>
      <c r="T18" s="67"/>
      <c r="U18" s="67"/>
      <c r="V18" s="67"/>
    </row>
    <row r="19">
      <c r="A19" s="81" t="s">
        <v>165</v>
      </c>
      <c r="B19" s="82"/>
      <c r="C19" s="82"/>
      <c r="D19" s="82">
        <f>-SUMIFS('Rozpočet - průběžný stav'!K:K,'Rozpočet - průběžný stav'!A:A,J19)</f>
        <v>997.31</v>
      </c>
      <c r="E19" s="155">
        <f t="shared" si="4"/>
        <v>997.31</v>
      </c>
      <c r="F19" s="61" t="s">
        <v>414</v>
      </c>
      <c r="G19" s="84">
        <v>2020.0</v>
      </c>
      <c r="H19" s="60" t="s">
        <v>32</v>
      </c>
      <c r="I19" s="61" t="str">
        <f t="shared" si="5"/>
        <v>Výdaje ostatní</v>
      </c>
      <c r="J19" s="67" t="str">
        <f t="shared" si="6"/>
        <v>2020_Běžný provoz_Výdaje ostatní</v>
      </c>
      <c r="K19" s="61" t="s">
        <v>400</v>
      </c>
      <c r="L19" s="94" t="s">
        <v>515</v>
      </c>
      <c r="M19" s="94">
        <v>600.0</v>
      </c>
      <c r="N19" s="67"/>
      <c r="O19" s="67"/>
      <c r="P19" s="67"/>
      <c r="Q19" s="67"/>
      <c r="R19" s="67"/>
      <c r="S19" s="67"/>
      <c r="T19" s="67"/>
      <c r="U19" s="67"/>
      <c r="V19" s="67"/>
    </row>
    <row r="20">
      <c r="A20" s="97" t="s">
        <v>416</v>
      </c>
      <c r="B20" s="160">
        <f t="shared" ref="B20:D20" si="7">SUM(B12:B19)</f>
        <v>54630</v>
      </c>
      <c r="C20" s="98">
        <f t="shared" si="7"/>
        <v>57417</v>
      </c>
      <c r="D20" s="160">
        <f t="shared" si="7"/>
        <v>45310.31</v>
      </c>
      <c r="E20" s="161">
        <f t="shared" si="4"/>
        <v>-9319.69</v>
      </c>
      <c r="F20" s="67"/>
      <c r="G20" s="67"/>
      <c r="H20" s="60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</row>
    <row r="21" ht="10.5" customHeight="1">
      <c r="A21" s="180"/>
      <c r="B21" s="181"/>
      <c r="C21" s="177"/>
      <c r="D21" s="181"/>
      <c r="E21" s="181"/>
      <c r="F21" s="67"/>
      <c r="G21" s="67"/>
      <c r="H21" s="60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</row>
    <row r="22">
      <c r="A22" s="101" t="s">
        <v>417</v>
      </c>
      <c r="B22" s="102">
        <f t="shared" ref="B22:D22" si="8">B10-B20</f>
        <v>15870</v>
      </c>
      <c r="C22" s="162">
        <f t="shared" si="8"/>
        <v>5305</v>
      </c>
      <c r="D22" s="102">
        <f t="shared" si="8"/>
        <v>3341.69</v>
      </c>
      <c r="E22" s="102">
        <f>D22-B22</f>
        <v>-12528.31</v>
      </c>
      <c r="F22" s="67"/>
      <c r="G22" s="67"/>
      <c r="H22" s="60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</row>
    <row r="23">
      <c r="A23" s="105"/>
      <c r="B23" s="106"/>
      <c r="C23" s="106"/>
      <c r="D23" s="106"/>
      <c r="E23" s="106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</row>
    <row r="24">
      <c r="A24" s="108" t="s">
        <v>418</v>
      </c>
      <c r="B24" s="108" t="s">
        <v>393</v>
      </c>
      <c r="C24" s="108" t="s">
        <v>508</v>
      </c>
      <c r="D24" s="108" t="s">
        <v>509</v>
      </c>
      <c r="E24" s="108" t="s">
        <v>395</v>
      </c>
      <c r="F24" s="110"/>
      <c r="G24" s="111" t="s">
        <v>14</v>
      </c>
      <c r="H24" s="111" t="s">
        <v>1</v>
      </c>
      <c r="I24" s="111" t="s">
        <v>2</v>
      </c>
      <c r="J24" s="111" t="s">
        <v>0</v>
      </c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</row>
    <row r="25">
      <c r="A25" s="77" t="s">
        <v>510</v>
      </c>
      <c r="B25" s="113"/>
      <c r="C25" s="164"/>
      <c r="D25" s="113"/>
      <c r="E25" s="164"/>
      <c r="F25" s="67"/>
      <c r="G25" s="67"/>
      <c r="H25" s="48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</row>
    <row r="26">
      <c r="A26" s="43" t="s">
        <v>516</v>
      </c>
      <c r="B26" s="114">
        <v>0.0</v>
      </c>
      <c r="C26" s="165">
        <v>0.0</v>
      </c>
      <c r="D26" s="114">
        <f>SUMIFS('Rozpočet - průběžný stav'!K:K,'Rozpočet - průběžný stav'!A:A,J26)</f>
        <v>0</v>
      </c>
      <c r="E26" s="166"/>
      <c r="F26" s="67"/>
      <c r="G26" s="84">
        <v>2020.0</v>
      </c>
      <c r="H26" s="116" t="s">
        <v>37</v>
      </c>
      <c r="I26" s="50" t="s">
        <v>95</v>
      </c>
      <c r="J26" s="67" t="str">
        <f t="shared" ref="J26:J29" si="9">G26&amp;"_"&amp;H26&amp;"_"&amp;I26</f>
        <v>2020_Hamerák-akce_Hamerák finance</v>
      </c>
      <c r="K26" s="61" t="s">
        <v>400</v>
      </c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</row>
    <row r="27">
      <c r="A27" s="43" t="s">
        <v>122</v>
      </c>
      <c r="B27" s="114">
        <v>2000.0</v>
      </c>
      <c r="C27" s="165">
        <v>4000.0</v>
      </c>
      <c r="D27" s="114">
        <f>SUMIFS('Rozpočet - průběžný stav'!K:K,'Rozpočet - průběžný stav'!A:A,J27)</f>
        <v>29000</v>
      </c>
      <c r="E27" s="166">
        <f t="shared" ref="E27:E30" si="10">D27-B27</f>
        <v>27000</v>
      </c>
      <c r="F27" s="67"/>
      <c r="G27" s="84">
        <v>2020.0</v>
      </c>
      <c r="H27" s="48" t="s">
        <v>61</v>
      </c>
      <c r="I27" s="61" t="str">
        <f t="shared" ref="I27:I29" si="11">A27</f>
        <v>Příjmy dotace</v>
      </c>
      <c r="J27" s="67" t="str">
        <f t="shared" si="9"/>
        <v>2020_Podpora činnosti_Příjmy dotace</v>
      </c>
      <c r="K27" s="61" t="s">
        <v>400</v>
      </c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</row>
    <row r="28">
      <c r="A28" s="43" t="s">
        <v>181</v>
      </c>
      <c r="B28" s="114">
        <v>2000.0</v>
      </c>
      <c r="C28" s="165">
        <v>2000.0</v>
      </c>
      <c r="D28" s="114">
        <f>SUMIFS('Rozpočet - průběžný stav'!K:K,'Rozpočet - průběžný stav'!A:A,J28)</f>
        <v>0</v>
      </c>
      <c r="E28" s="166">
        <f t="shared" si="10"/>
        <v>-2000</v>
      </c>
      <c r="F28" s="67"/>
      <c r="G28" s="84">
        <v>2020.0</v>
      </c>
      <c r="H28" s="48" t="s">
        <v>61</v>
      </c>
      <c r="I28" s="61" t="str">
        <f t="shared" si="11"/>
        <v>Příjmy dary</v>
      </c>
      <c r="J28" s="67" t="str">
        <f t="shared" si="9"/>
        <v>2020_Podpora činnosti_Příjmy dary</v>
      </c>
      <c r="K28" s="61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</row>
    <row r="29">
      <c r="A29" s="43" t="s">
        <v>140</v>
      </c>
      <c r="B29" s="114"/>
      <c r="C29" s="165"/>
      <c r="D29" s="114">
        <f>SUMIFS('Rozpočet - průběžný stav'!K:K,'Rozpočet - průběžný stav'!A:A,J29)</f>
        <v>0</v>
      </c>
      <c r="E29" s="166">
        <f t="shared" si="10"/>
        <v>0</v>
      </c>
      <c r="F29" s="67"/>
      <c r="G29" s="84">
        <v>2020.0</v>
      </c>
      <c r="H29" s="48" t="s">
        <v>61</v>
      </c>
      <c r="I29" s="61" t="str">
        <f t="shared" si="11"/>
        <v>Příjmy ostatní</v>
      </c>
      <c r="J29" s="67" t="str">
        <f t="shared" si="9"/>
        <v>2020_Podpora činnosti_Příjmy ostatní</v>
      </c>
      <c r="K29" s="61" t="s">
        <v>400</v>
      </c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</row>
    <row r="30">
      <c r="A30" s="86" t="s">
        <v>420</v>
      </c>
      <c r="B30" s="117">
        <f t="shared" ref="B30:D30" si="12">SUM(B25:B29)</f>
        <v>4000</v>
      </c>
      <c r="C30" s="167">
        <f t="shared" si="12"/>
        <v>6000</v>
      </c>
      <c r="D30" s="117">
        <f t="shared" si="12"/>
        <v>29000</v>
      </c>
      <c r="E30" s="168">
        <f t="shared" si="10"/>
        <v>25000</v>
      </c>
      <c r="F30" s="67"/>
      <c r="G30" s="67"/>
      <c r="H30" s="48"/>
      <c r="I30" s="67"/>
      <c r="J30" s="67"/>
      <c r="K30" s="61" t="s">
        <v>400</v>
      </c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ht="7.5" customHeight="1">
      <c r="A31" s="119"/>
      <c r="B31" s="120"/>
      <c r="C31" s="120"/>
      <c r="D31" s="120"/>
      <c r="E31" s="128"/>
      <c r="F31" s="67"/>
      <c r="G31" s="67"/>
      <c r="H31" s="48"/>
      <c r="I31" s="67"/>
      <c r="J31" s="67"/>
      <c r="K31" s="61" t="s">
        <v>400</v>
      </c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</row>
    <row r="32">
      <c r="A32" s="91" t="s">
        <v>511</v>
      </c>
      <c r="B32" s="121"/>
      <c r="C32" s="169"/>
      <c r="D32" s="121"/>
      <c r="E32" s="124"/>
      <c r="F32" s="67"/>
      <c r="G32" s="67"/>
      <c r="H32" s="48"/>
      <c r="I32" s="67"/>
      <c r="J32" s="67"/>
      <c r="K32" s="61" t="s">
        <v>400</v>
      </c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</row>
    <row r="33">
      <c r="A33" s="43" t="s">
        <v>143</v>
      </c>
      <c r="B33" s="114">
        <v>10000.0</v>
      </c>
      <c r="C33" s="165">
        <v>10000.0</v>
      </c>
      <c r="D33" s="114">
        <f>-SUMIFS('Rozpočet - průběžný stav'!K:K,'Rozpočet - průběžný stav'!A:A,J33)</f>
        <v>3984</v>
      </c>
      <c r="E33" s="166">
        <f t="shared" ref="E33:E43" si="13">D33-B33</f>
        <v>-6016</v>
      </c>
      <c r="F33" s="67"/>
      <c r="G33" s="84">
        <v>2020.0</v>
      </c>
      <c r="H33" s="48" t="s">
        <v>61</v>
      </c>
      <c r="I33" s="61" t="str">
        <f t="shared" ref="I33:I40" si="14">A33</f>
        <v>Podpora ČPV</v>
      </c>
      <c r="J33" s="67" t="str">
        <f t="shared" ref="J33:J42" si="15">G33&amp;"_"&amp;H33&amp;"_"&amp;I33</f>
        <v>2020_Podpora činnosti_Podpora ČPV</v>
      </c>
      <c r="K33" s="61" t="s">
        <v>400</v>
      </c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</row>
    <row r="34">
      <c r="A34" s="43" t="s">
        <v>470</v>
      </c>
      <c r="B34" s="114">
        <v>0.0</v>
      </c>
      <c r="C34" s="165">
        <v>0.0</v>
      </c>
      <c r="D34" s="114">
        <f>-SUMIFS('Rozpočet - průběžný stav'!K:K,'Rozpočet - průběžný stav'!A:A,J34)</f>
        <v>0</v>
      </c>
      <c r="E34" s="166">
        <f t="shared" si="13"/>
        <v>0</v>
      </c>
      <c r="F34" s="67"/>
      <c r="G34" s="84">
        <v>2020.0</v>
      </c>
      <c r="H34" s="48" t="s">
        <v>61</v>
      </c>
      <c r="I34" s="61" t="str">
        <f t="shared" si="14"/>
        <v>Podpora eskymáků</v>
      </c>
      <c r="J34" s="67" t="str">
        <f t="shared" si="15"/>
        <v>2020_Podpora činnosti_Podpora eskymáků</v>
      </c>
      <c r="K34" s="61" t="s">
        <v>400</v>
      </c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</row>
    <row r="35">
      <c r="A35" s="43" t="s">
        <v>471</v>
      </c>
      <c r="B35" s="114">
        <v>1500.0</v>
      </c>
      <c r="C35" s="165">
        <v>1500.0</v>
      </c>
      <c r="D35" s="114">
        <f>-SUMIFS('Rozpočet - průběžný stav'!K:K,'Rozpočet - průběžný stav'!A:A,J35)</f>
        <v>0</v>
      </c>
      <c r="E35" s="166">
        <f t="shared" si="13"/>
        <v>-1500</v>
      </c>
      <c r="F35" s="67"/>
      <c r="G35" s="84">
        <v>2020.0</v>
      </c>
      <c r="H35" s="48" t="s">
        <v>61</v>
      </c>
      <c r="I35" s="61" t="str">
        <f t="shared" si="14"/>
        <v>Podpora výcviku záchrany</v>
      </c>
      <c r="J35" s="67" t="str">
        <f t="shared" si="15"/>
        <v>2020_Podpora činnosti_Podpora výcviku záchrany</v>
      </c>
      <c r="K35" s="61" t="s">
        <v>400</v>
      </c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</row>
    <row r="36">
      <c r="A36" s="43" t="s">
        <v>153</v>
      </c>
      <c r="B36" s="114">
        <v>4000.0</v>
      </c>
      <c r="C36" s="165">
        <v>4000.0</v>
      </c>
      <c r="D36" s="114">
        <f>-SUMIFS('Rozpočet - průběžný stav'!K:K,'Rozpočet - průběžný stav'!A:A,J36)</f>
        <v>3000</v>
      </c>
      <c r="E36" s="166">
        <f t="shared" si="13"/>
        <v>-1000</v>
      </c>
      <c r="F36" s="67"/>
      <c r="G36" s="84">
        <v>2020.0</v>
      </c>
      <c r="H36" s="48" t="s">
        <v>61</v>
      </c>
      <c r="I36" s="61" t="str">
        <f t="shared" si="14"/>
        <v>Podpora zahraniční zájezd</v>
      </c>
      <c r="J36" s="67" t="str">
        <f t="shared" si="15"/>
        <v>2020_Podpora činnosti_Podpora zahraniční zájezd</v>
      </c>
      <c r="K36" s="61" t="s">
        <v>400</v>
      </c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</row>
    <row r="37">
      <c r="A37" s="43" t="s">
        <v>64</v>
      </c>
      <c r="B37" s="114">
        <v>3000.0</v>
      </c>
      <c r="C37" s="165">
        <v>3000.0</v>
      </c>
      <c r="D37" s="114">
        <f>-SUMIFS('Rozpočet - průběžný stav'!K:K,'Rozpočet - průběžný stav'!A:A,J37)</f>
        <v>0</v>
      </c>
      <c r="E37" s="166">
        <f t="shared" si="13"/>
        <v>-3000</v>
      </c>
      <c r="F37" s="67"/>
      <c r="G37" s="84">
        <v>2020.0</v>
      </c>
      <c r="H37" s="48" t="s">
        <v>61</v>
      </c>
      <c r="I37" s="61" t="str">
        <f t="shared" si="14"/>
        <v>Oddílový den</v>
      </c>
      <c r="J37" s="67" t="str">
        <f t="shared" si="15"/>
        <v>2020_Podpora činnosti_Oddílový den</v>
      </c>
      <c r="K37" s="61" t="s">
        <v>400</v>
      </c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</row>
    <row r="38">
      <c r="A38" s="43" t="s">
        <v>103</v>
      </c>
      <c r="B38" s="114">
        <v>3000.0</v>
      </c>
      <c r="C38" s="165">
        <v>3000.0</v>
      </c>
      <c r="D38" s="114">
        <f>-SUMIFS('Rozpočet - průběžný stav'!K:K,'Rozpočet - průběžný stav'!A:A,J38)</f>
        <v>0</v>
      </c>
      <c r="E38" s="166">
        <f t="shared" si="13"/>
        <v>-3000</v>
      </c>
      <c r="F38" s="67"/>
      <c r="G38" s="84">
        <v>2020.0</v>
      </c>
      <c r="H38" s="48" t="s">
        <v>61</v>
      </c>
      <c r="I38" s="61" t="str">
        <f t="shared" si="14"/>
        <v>Oddílové vánoce</v>
      </c>
      <c r="J38" s="67" t="str">
        <f t="shared" si="15"/>
        <v>2020_Podpora činnosti_Oddílové vánoce</v>
      </c>
      <c r="K38" s="61" t="s">
        <v>400</v>
      </c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</row>
    <row r="39">
      <c r="A39" s="43" t="s">
        <v>42</v>
      </c>
      <c r="B39" s="114">
        <v>4800.0</v>
      </c>
      <c r="C39" s="165">
        <v>4800.0</v>
      </c>
      <c r="D39" s="114">
        <f>-SUMIFS('Rozpočet - průběžný stav'!K:K,'Rozpočet - průběžný stav'!A:A,J39)</f>
        <v>0</v>
      </c>
      <c r="E39" s="166">
        <f t="shared" si="13"/>
        <v>-4800</v>
      </c>
      <c r="F39" s="67"/>
      <c r="G39" s="84">
        <v>2020.0</v>
      </c>
      <c r="H39" s="48" t="s">
        <v>61</v>
      </c>
      <c r="I39" s="61" t="str">
        <f t="shared" si="14"/>
        <v>Oddílová soutěž</v>
      </c>
      <c r="J39" s="67" t="str">
        <f t="shared" si="15"/>
        <v>2020_Podpora činnosti_Oddílová soutěž</v>
      </c>
      <c r="K39" s="61" t="s">
        <v>400</v>
      </c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</row>
    <row r="40">
      <c r="A40" s="43" t="s">
        <v>148</v>
      </c>
      <c r="B40" s="114">
        <v>0.0</v>
      </c>
      <c r="C40" s="165">
        <v>1000.0</v>
      </c>
      <c r="D40" s="114">
        <f>-SUMIFS('Rozpočet - průběžný stav'!K:K,'Rozpočet - průběžný stav'!A:A,J40)</f>
        <v>0</v>
      </c>
      <c r="E40" s="166">
        <f t="shared" si="13"/>
        <v>0</v>
      </c>
      <c r="F40" s="67"/>
      <c r="G40" s="84">
        <v>2020.0</v>
      </c>
      <c r="H40" s="48" t="s">
        <v>61</v>
      </c>
      <c r="I40" s="61" t="str">
        <f t="shared" si="14"/>
        <v>Materiál</v>
      </c>
      <c r="J40" s="67" t="str">
        <f t="shared" si="15"/>
        <v>2020_Podpora činnosti_Materiál</v>
      </c>
      <c r="K40" s="61" t="s">
        <v>400</v>
      </c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</row>
    <row r="41">
      <c r="A41" s="43" t="s">
        <v>472</v>
      </c>
      <c r="B41" s="114">
        <v>5000.0</v>
      </c>
      <c r="C41" s="165">
        <v>3000.0</v>
      </c>
      <c r="D41" s="114">
        <f>-SUMIFS('Rozpočet - průběžný stav'!K:K,'Rozpočet - průběžný stav'!A:A,J41)</f>
        <v>0</v>
      </c>
      <c r="E41" s="166">
        <f t="shared" si="13"/>
        <v>-5000</v>
      </c>
      <c r="F41" s="67"/>
      <c r="G41" s="84">
        <v>2020.0</v>
      </c>
      <c r="H41" s="116" t="s">
        <v>37</v>
      </c>
      <c r="I41" s="50" t="s">
        <v>136</v>
      </c>
      <c r="J41" s="67" t="str">
        <f t="shared" si="15"/>
        <v>2020_Hamerák-akce_Výbor večeře</v>
      </c>
      <c r="K41" s="61" t="s">
        <v>400</v>
      </c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</row>
    <row r="42">
      <c r="A42" s="43" t="s">
        <v>473</v>
      </c>
      <c r="B42" s="114">
        <v>0.0</v>
      </c>
      <c r="C42" s="165">
        <v>0.0</v>
      </c>
      <c r="D42" s="114">
        <f>-SUMIFS('Rozpočet - průběžný stav'!K:K,'Rozpočet - průběžný stav'!A:A,J42)</f>
        <v>2305.53</v>
      </c>
      <c r="E42" s="166">
        <f t="shared" si="13"/>
        <v>2305.53</v>
      </c>
      <c r="F42" s="67"/>
      <c r="G42" s="84">
        <v>2020.0</v>
      </c>
      <c r="H42" s="116" t="s">
        <v>37</v>
      </c>
      <c r="I42" s="50" t="s">
        <v>158</v>
      </c>
      <c r="J42" s="67" t="str">
        <f t="shared" si="15"/>
        <v>2020_Hamerák-akce_Náklady příprava</v>
      </c>
      <c r="K42" s="61" t="s">
        <v>400</v>
      </c>
      <c r="L42" s="122" t="s">
        <v>422</v>
      </c>
      <c r="M42" s="149">
        <f>D26-D41-D42</f>
        <v>-2305.53</v>
      </c>
      <c r="N42" s="67"/>
      <c r="O42" s="67"/>
      <c r="P42" s="67"/>
      <c r="Q42" s="67"/>
      <c r="R42" s="67"/>
      <c r="S42" s="67"/>
      <c r="T42" s="67"/>
      <c r="U42" s="67"/>
      <c r="V42" s="67"/>
    </row>
    <row r="43">
      <c r="A43" s="97" t="s">
        <v>423</v>
      </c>
      <c r="B43" s="170">
        <f t="shared" ref="B43:D43" si="16">sum(B33:B42)</f>
        <v>31300</v>
      </c>
      <c r="C43" s="169">
        <f t="shared" si="16"/>
        <v>30300</v>
      </c>
      <c r="D43" s="170">
        <f t="shared" si="16"/>
        <v>9289.53</v>
      </c>
      <c r="E43" s="170">
        <f t="shared" si="13"/>
        <v>-22010.47</v>
      </c>
      <c r="F43" s="67"/>
      <c r="G43" s="67"/>
      <c r="H43" s="48"/>
      <c r="I43" s="67"/>
      <c r="J43" s="67"/>
      <c r="K43" s="61" t="s">
        <v>400</v>
      </c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</row>
    <row r="44" ht="9.0" customHeight="1">
      <c r="A44" s="119"/>
      <c r="B44" s="125"/>
      <c r="C44" s="120"/>
      <c r="D44" s="125"/>
      <c r="E44" s="125"/>
      <c r="F44" s="67"/>
      <c r="G44" s="67"/>
      <c r="H44" s="48"/>
      <c r="I44" s="67"/>
      <c r="J44" s="67"/>
      <c r="K44" s="61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</row>
    <row r="45">
      <c r="A45" s="101" t="s">
        <v>424</v>
      </c>
      <c r="B45" s="127">
        <f t="shared" ref="B45:D45" si="17">B30-B43</f>
        <v>-27300</v>
      </c>
      <c r="C45" s="171">
        <f t="shared" si="17"/>
        <v>-24300</v>
      </c>
      <c r="D45" s="127">
        <f t="shared" si="17"/>
        <v>19710.47</v>
      </c>
      <c r="E45" s="127">
        <f>D45-B45</f>
        <v>47010.47</v>
      </c>
      <c r="F45" s="67"/>
      <c r="G45" s="67"/>
      <c r="H45" s="48"/>
      <c r="I45" s="67"/>
      <c r="J45" s="67"/>
      <c r="K45" s="61" t="s">
        <v>400</v>
      </c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</row>
    <row r="46" ht="9.75" customHeight="1">
      <c r="A46" s="119"/>
      <c r="B46" s="128"/>
      <c r="C46" s="120"/>
      <c r="D46" s="128"/>
      <c r="E46" s="128"/>
      <c r="F46" s="67"/>
      <c r="G46" s="67"/>
      <c r="H46" s="67"/>
      <c r="I46" s="67"/>
      <c r="J46" s="67"/>
      <c r="K46" s="61" t="s">
        <v>400</v>
      </c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</row>
    <row r="47">
      <c r="A47" s="101" t="s">
        <v>425</v>
      </c>
      <c r="B47" s="129">
        <v>0.0</v>
      </c>
      <c r="C47" s="171">
        <v>0.0</v>
      </c>
      <c r="D47" s="130">
        <f>D26-D41-D42</f>
        <v>-2305.53</v>
      </c>
      <c r="E47" s="150"/>
      <c r="F47" s="67"/>
      <c r="G47" s="84"/>
      <c r="H47" s="61"/>
      <c r="I47" s="61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</row>
    <row r="48">
      <c r="A48" s="105"/>
      <c r="B48" s="106"/>
      <c r="C48" s="172"/>
      <c r="D48" s="132">
        <f>-SUMIFS('Rozpočet - průběžný stav'!K:K,'Rozpočet - průběžný stav'!A:A,J48)</f>
        <v>0</v>
      </c>
      <c r="E48" s="106"/>
      <c r="F48" s="67"/>
      <c r="G48" s="84">
        <v>2020.0</v>
      </c>
      <c r="H48" s="61" t="s">
        <v>27</v>
      </c>
      <c r="I48" s="61" t="s">
        <v>426</v>
      </c>
      <c r="J48" s="67" t="str">
        <f t="shared" ref="J48:J50" si="18">G48&amp;"_"&amp;H48&amp;"_"&amp;I48</f>
        <v>2020_Převody_Převod z 2019</v>
      </c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</row>
    <row r="49">
      <c r="A49" s="105"/>
      <c r="B49" s="106"/>
      <c r="C49" s="106"/>
      <c r="D49" s="132">
        <f>-SUMIFS('Rozpočet - průběžný stav'!K:K,'Rozpočet - průběžný stav'!A:A,J49)</f>
        <v>0</v>
      </c>
      <c r="E49" s="106"/>
      <c r="F49" s="67"/>
      <c r="G49" s="84">
        <v>2020.0</v>
      </c>
      <c r="H49" s="61" t="s">
        <v>27</v>
      </c>
      <c r="I49" s="61" t="s">
        <v>44</v>
      </c>
      <c r="J49" s="67" t="str">
        <f t="shared" si="18"/>
        <v>2020_Převody_převod</v>
      </c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</row>
    <row r="50">
      <c r="A50" s="105"/>
      <c r="B50" s="106"/>
      <c r="C50" s="106"/>
      <c r="D50" s="132">
        <f>-SUMIFS('Rozpočet - průběžný stav'!K:K,'Rozpočet - průběžný stav'!A:A,J50)</f>
        <v>0</v>
      </c>
      <c r="E50" s="106"/>
      <c r="F50" s="67"/>
      <c r="G50" s="84">
        <v>2020.0</v>
      </c>
      <c r="H50" s="61" t="s">
        <v>27</v>
      </c>
      <c r="I50" s="61" t="s">
        <v>22</v>
      </c>
      <c r="J50" s="67" t="str">
        <f t="shared" si="18"/>
        <v>2020_Převody_stav</v>
      </c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</row>
    <row r="51">
      <c r="A51" s="105"/>
      <c r="B51" s="106"/>
      <c r="C51" s="106"/>
      <c r="D51" s="106"/>
      <c r="E51" s="106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</row>
    <row r="52">
      <c r="A52" s="105"/>
      <c r="B52" s="106"/>
      <c r="C52" s="67"/>
      <c r="D52" s="106"/>
      <c r="E52" s="106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</row>
    <row r="53">
      <c r="A53" s="134" t="s">
        <v>427</v>
      </c>
      <c r="B53" s="134" t="s">
        <v>393</v>
      </c>
      <c r="C53" s="134" t="s">
        <v>508</v>
      </c>
      <c r="D53" s="134" t="s">
        <v>394</v>
      </c>
      <c r="E53" s="134" t="s">
        <v>395</v>
      </c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</row>
    <row r="54">
      <c r="A54" s="101" t="s">
        <v>426</v>
      </c>
      <c r="B54" s="130">
        <f>B2</f>
        <v>169424</v>
      </c>
      <c r="C54" s="129">
        <f>B54</f>
        <v>169424</v>
      </c>
      <c r="D54" s="127">
        <f>B54</f>
        <v>169424</v>
      </c>
      <c r="E54" s="150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</row>
    <row r="55">
      <c r="A55" s="138" t="s">
        <v>429</v>
      </c>
      <c r="B55" s="139">
        <f t="shared" ref="B55:D55" si="19">B10</f>
        <v>70500</v>
      </c>
      <c r="C55" s="139">
        <f t="shared" si="19"/>
        <v>62722</v>
      </c>
      <c r="D55" s="139">
        <f t="shared" si="19"/>
        <v>48652</v>
      </c>
      <c r="E55" s="144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</row>
    <row r="56">
      <c r="A56" s="138" t="s">
        <v>430</v>
      </c>
      <c r="B56" s="139">
        <f t="shared" ref="B56:D56" si="20">B30</f>
        <v>4000</v>
      </c>
      <c r="C56" s="139">
        <f t="shared" si="20"/>
        <v>6000</v>
      </c>
      <c r="D56" s="139">
        <f t="shared" si="20"/>
        <v>29000</v>
      </c>
      <c r="E56" s="144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</row>
    <row r="57">
      <c r="A57" s="77" t="s">
        <v>517</v>
      </c>
      <c r="B57" s="117">
        <f t="shared" ref="B57:D57" si="21">B55+B56</f>
        <v>74500</v>
      </c>
      <c r="C57" s="113">
        <f t="shared" si="21"/>
        <v>68722</v>
      </c>
      <c r="D57" s="117">
        <f t="shared" si="21"/>
        <v>77652</v>
      </c>
      <c r="E57" s="164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</row>
    <row r="58">
      <c r="A58" s="138" t="s">
        <v>432</v>
      </c>
      <c r="B58" s="139">
        <f t="shared" ref="B58:D58" si="22">B20</f>
        <v>54630</v>
      </c>
      <c r="C58" s="139">
        <f t="shared" si="22"/>
        <v>57417</v>
      </c>
      <c r="D58" s="139">
        <f t="shared" si="22"/>
        <v>45310.31</v>
      </c>
      <c r="E58" s="144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</row>
    <row r="59">
      <c r="A59" s="138" t="s">
        <v>433</v>
      </c>
      <c r="B59" s="139">
        <f t="shared" ref="B59:D59" si="23">B43</f>
        <v>31300</v>
      </c>
      <c r="C59" s="139">
        <f t="shared" si="23"/>
        <v>30300</v>
      </c>
      <c r="D59" s="139">
        <f t="shared" si="23"/>
        <v>9289.53</v>
      </c>
      <c r="E59" s="144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</row>
    <row r="60">
      <c r="A60" s="91" t="s">
        <v>518</v>
      </c>
      <c r="B60" s="142">
        <f t="shared" ref="B60:D60" si="24">B58+B59</f>
        <v>85930</v>
      </c>
      <c r="C60" s="121">
        <f t="shared" si="24"/>
        <v>87717</v>
      </c>
      <c r="D60" s="142">
        <f t="shared" si="24"/>
        <v>54599.84</v>
      </c>
      <c r="E60" s="12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</row>
    <row r="61">
      <c r="A61" s="138" t="s">
        <v>435</v>
      </c>
      <c r="B61" s="144">
        <f t="shared" ref="B61:D61" si="25">B55-B58</f>
        <v>15870</v>
      </c>
      <c r="C61" s="144">
        <f t="shared" si="25"/>
        <v>5305</v>
      </c>
      <c r="D61" s="144">
        <f t="shared" si="25"/>
        <v>3341.69</v>
      </c>
      <c r="E61" s="144"/>
      <c r="F61" s="132" t="s">
        <v>436</v>
      </c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</row>
    <row r="62">
      <c r="A62" s="138" t="s">
        <v>437</v>
      </c>
      <c r="B62" s="144">
        <f t="shared" ref="B62:D62" si="26">B56-B59</f>
        <v>-27300</v>
      </c>
      <c r="C62" s="144">
        <f t="shared" si="26"/>
        <v>-24300</v>
      </c>
      <c r="D62" s="144">
        <f t="shared" si="26"/>
        <v>19710.47</v>
      </c>
      <c r="E62" s="144"/>
      <c r="F62" s="132" t="s">
        <v>438</v>
      </c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</row>
    <row r="63">
      <c r="A63" s="138" t="s">
        <v>439</v>
      </c>
      <c r="B63" s="145">
        <f t="shared" ref="B63:D63" si="27">B26-B41-B42</f>
        <v>-5000</v>
      </c>
      <c r="C63" s="144">
        <f t="shared" si="27"/>
        <v>-3000</v>
      </c>
      <c r="D63" s="145">
        <f t="shared" si="27"/>
        <v>-2305.53</v>
      </c>
      <c r="E63" s="144"/>
      <c r="F63" s="61" t="s">
        <v>440</v>
      </c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</row>
    <row r="64">
      <c r="A64" s="101" t="s">
        <v>519</v>
      </c>
      <c r="B64" s="127">
        <f t="shared" ref="B64:D64" si="28">B57-B60</f>
        <v>-11430</v>
      </c>
      <c r="C64" s="150">
        <f t="shared" si="28"/>
        <v>-18995</v>
      </c>
      <c r="D64" s="182">
        <f t="shared" si="28"/>
        <v>23052.16</v>
      </c>
      <c r="E64" s="150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</row>
    <row r="65">
      <c r="A65" s="101" t="s">
        <v>520</v>
      </c>
      <c r="B65" s="130">
        <f t="shared" ref="B65:D65" si="29">B54+B57-B60</f>
        <v>157994</v>
      </c>
      <c r="C65" s="129">
        <f t="shared" si="29"/>
        <v>150429</v>
      </c>
      <c r="D65" s="130">
        <f t="shared" si="29"/>
        <v>192476.16</v>
      </c>
      <c r="E65" s="150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</row>
    <row r="66">
      <c r="A66" s="67"/>
      <c r="B66" s="106"/>
      <c r="C66" s="106"/>
      <c r="D66" s="106"/>
      <c r="E66" s="106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</row>
    <row r="68">
      <c r="A68" s="146" t="s">
        <v>444</v>
      </c>
      <c r="B68" s="146"/>
      <c r="C68" s="174" t="s">
        <v>506</v>
      </c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</row>
    <row r="69">
      <c r="A69" s="61" t="s">
        <v>445</v>
      </c>
      <c r="B69" s="67"/>
      <c r="C69" s="67"/>
      <c r="D69" s="61" t="s">
        <v>521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</row>
    <row r="70">
      <c r="A70" s="61" t="s">
        <v>447</v>
      </c>
      <c r="B70" s="106">
        <v>80000.0</v>
      </c>
      <c r="C70" s="132">
        <v>80000.0</v>
      </c>
      <c r="D70" s="106">
        <v>80000.0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</row>
    <row r="71">
      <c r="A71" s="61" t="s">
        <v>448</v>
      </c>
      <c r="B71" s="106">
        <f>B59</f>
        <v>31300</v>
      </c>
      <c r="C71" s="132">
        <v>30300.0</v>
      </c>
      <c r="D71" s="106">
        <f>B59</f>
        <v>31300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</row>
    <row r="72">
      <c r="A72" s="61" t="s">
        <v>520</v>
      </c>
      <c r="B72" s="106">
        <f t="shared" ref="B72:D72" si="30">B65</f>
        <v>157994</v>
      </c>
      <c r="C72" s="106">
        <f t="shared" si="30"/>
        <v>150429</v>
      </c>
      <c r="D72" s="106">
        <f t="shared" si="30"/>
        <v>192476.16</v>
      </c>
      <c r="E72" s="61" t="s">
        <v>522</v>
      </c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</row>
    <row r="73">
      <c r="A73" s="61" t="s">
        <v>451</v>
      </c>
      <c r="B73" s="106">
        <f t="shared" ref="B73:D73" si="31">B72-B$71</f>
        <v>126694</v>
      </c>
      <c r="C73" s="106">
        <f t="shared" si="31"/>
        <v>120129</v>
      </c>
      <c r="D73" s="106">
        <f t="shared" si="31"/>
        <v>161176.16</v>
      </c>
      <c r="E73" s="61" t="s">
        <v>504</v>
      </c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</row>
    <row r="74">
      <c r="A74" s="61" t="s">
        <v>453</v>
      </c>
      <c r="B74" s="106">
        <f t="shared" ref="B74:D74" si="32">B73-B$71</f>
        <v>95394</v>
      </c>
      <c r="C74" s="106">
        <f t="shared" si="32"/>
        <v>89829</v>
      </c>
      <c r="D74" s="106">
        <f t="shared" si="32"/>
        <v>129876.16</v>
      </c>
      <c r="E74" s="61" t="s">
        <v>450</v>
      </c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</row>
    <row r="75">
      <c r="A75" s="61" t="s">
        <v>455</v>
      </c>
      <c r="B75" s="106">
        <f t="shared" ref="B75:D75" si="33">B74-B$71</f>
        <v>64094</v>
      </c>
      <c r="C75" s="106">
        <f t="shared" si="33"/>
        <v>59529</v>
      </c>
      <c r="D75" s="106">
        <f t="shared" si="33"/>
        <v>98576.16</v>
      </c>
      <c r="E75" s="61" t="s">
        <v>452</v>
      </c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</row>
    <row r="76">
      <c r="A76" s="61" t="s">
        <v>457</v>
      </c>
      <c r="B76" s="147">
        <f>1+(B72-B70)/B71</f>
        <v>3.491821086</v>
      </c>
      <c r="C76" s="183">
        <v>2.136897689768977</v>
      </c>
      <c r="D76" s="147">
        <f>1+(D72-D70)/D71</f>
        <v>4.59348754</v>
      </c>
      <c r="E76" s="61" t="s">
        <v>458</v>
      </c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</row>
    <row r="1002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</row>
    <row r="1003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</row>
    <row r="1004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</row>
    <row r="1005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</row>
    <row r="1006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</row>
    <row r="1007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</row>
    <row r="1008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</row>
    <row r="1009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</row>
    <row r="1010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</row>
    <row r="1011">
      <c r="A1011" s="67"/>
      <c r="B1011" s="67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</row>
    <row r="1012">
      <c r="A1012" s="67"/>
      <c r="B1012" s="67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</row>
    <row r="1013">
      <c r="A1013" s="67"/>
      <c r="B1013" s="67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</row>
    <row r="1014">
      <c r="A1014" s="67"/>
      <c r="B1014" s="67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</row>
    <row r="1015">
      <c r="A1015" s="67"/>
      <c r="B1015" s="67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</row>
    <row r="1016">
      <c r="A1016" s="67"/>
      <c r="B1016" s="67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</row>
    <row r="1017">
      <c r="A1017" s="67"/>
      <c r="B1017" s="67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</row>
    <row r="1018">
      <c r="A1018" s="67"/>
      <c r="B1018" s="67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</row>
    <row r="1019">
      <c r="A1019" s="67"/>
      <c r="B1019" s="67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</row>
    <row r="1020">
      <c r="A1020" s="67"/>
      <c r="B1020" s="67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</row>
    <row r="1021">
      <c r="A1021" s="67"/>
      <c r="B1021" s="67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</row>
    <row r="1022">
      <c r="A1022" s="67"/>
      <c r="B1022" s="67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</row>
    <row r="1023">
      <c r="A1023" s="67"/>
      <c r="B1023" s="67"/>
      <c r="C1023" s="67"/>
      <c r="D1023" s="67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</row>
    <row r="1024">
      <c r="A1024" s="67"/>
      <c r="B1024" s="67"/>
      <c r="C1024" s="67"/>
      <c r="D1024" s="67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</row>
    <row r="1025">
      <c r="A1025" s="67"/>
      <c r="B1025" s="67"/>
      <c r="C1025" s="67"/>
      <c r="D1025" s="67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</row>
    <row r="1026">
      <c r="A1026" s="67"/>
      <c r="B1026" s="67"/>
      <c r="C1026" s="67"/>
      <c r="D1026" s="67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</row>
    <row r="1027">
      <c r="A1027" s="67"/>
      <c r="B1027" s="67"/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</row>
    <row r="1028">
      <c r="A1028" s="67"/>
      <c r="B1028" s="67"/>
      <c r="C1028" s="67"/>
      <c r="D1028" s="67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</row>
    <row r="1029">
      <c r="A1029" s="67"/>
      <c r="B1029" s="67"/>
      <c r="C1029" s="67"/>
      <c r="D1029" s="67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</row>
    <row r="1030">
      <c r="A1030" s="67"/>
      <c r="B1030" s="67"/>
      <c r="C1030" s="67"/>
      <c r="D1030" s="67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</row>
    <row r="1031">
      <c r="A1031" s="67"/>
      <c r="B1031" s="67"/>
      <c r="C1031" s="67"/>
      <c r="D1031" s="67"/>
      <c r="E1031" s="67"/>
      <c r="F1031" s="67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</row>
    <row r="1032">
      <c r="A1032" s="67"/>
      <c r="B1032" s="67"/>
      <c r="C1032" s="67"/>
      <c r="D1032" s="67"/>
      <c r="E1032" s="67"/>
      <c r="F1032" s="67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</row>
  </sheetData>
  <conditionalFormatting sqref="B76:D76">
    <cfRule type="colorScale" priority="1">
      <colorScale>
        <cfvo type="formula" val="0"/>
        <cfvo type="formula" val="1"/>
        <cfvo type="formula" val="2"/>
        <color rgb="FFFF0000"/>
        <color rgb="FFFFFF00"/>
        <color rgb="FF00FF00"/>
      </colorScale>
    </cfRule>
  </conditionalFormatting>
  <conditionalFormatting sqref="B72:D75">
    <cfRule type="cellIs" dxfId="2" priority="2" operator="lessThan">
      <formula>B$70</formula>
    </cfRule>
  </conditionalFormatting>
  <conditionalFormatting sqref="B72:D75">
    <cfRule type="cellIs" dxfId="1" priority="3" operator="greaterThanOrEqual">
      <formula>B$70</formula>
    </cfRule>
  </conditionalFormatting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5.0"/>
    <col customWidth="1" min="3" max="3" width="8.63"/>
    <col customWidth="1" min="4" max="4" width="15.5"/>
    <col customWidth="1" min="9" max="9" width="17.75"/>
    <col customWidth="1" min="10" max="10" width="34.63"/>
    <col customWidth="1" min="12" max="12" width="15.63"/>
  </cols>
  <sheetData>
    <row r="1">
      <c r="A1" s="64" t="s">
        <v>523</v>
      </c>
      <c r="B1" s="184" t="s">
        <v>393</v>
      </c>
      <c r="C1" s="7" t="s">
        <v>524</v>
      </c>
      <c r="D1" s="184" t="s">
        <v>394</v>
      </c>
      <c r="E1" s="184" t="s">
        <v>395</v>
      </c>
    </row>
    <row r="2">
      <c r="A2" s="185" t="s">
        <v>525</v>
      </c>
      <c r="B2" s="186">
        <v>133443.0</v>
      </c>
      <c r="D2" s="7" t="s">
        <v>396</v>
      </c>
    </row>
    <row r="3">
      <c r="A3" s="187"/>
      <c r="D3" s="7"/>
      <c r="E3" s="7"/>
      <c r="G3" s="188" t="s">
        <v>397</v>
      </c>
      <c r="H3" s="63"/>
      <c r="I3" s="63"/>
      <c r="J3" s="63"/>
    </row>
    <row r="4">
      <c r="A4" s="189" t="s">
        <v>398</v>
      </c>
      <c r="B4" s="189" t="s">
        <v>393</v>
      </c>
      <c r="C4" s="190" t="s">
        <v>524</v>
      </c>
      <c r="D4" s="191" t="s">
        <v>526</v>
      </c>
      <c r="E4" s="189" t="s">
        <v>395</v>
      </c>
      <c r="F4" s="63"/>
      <c r="G4" s="188" t="s">
        <v>14</v>
      </c>
      <c r="H4" s="188" t="s">
        <v>1</v>
      </c>
      <c r="I4" s="188" t="s">
        <v>2</v>
      </c>
      <c r="J4" s="188" t="s">
        <v>0</v>
      </c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</row>
    <row r="5">
      <c r="A5" s="189" t="s">
        <v>527</v>
      </c>
      <c r="D5" s="7"/>
      <c r="E5" s="7" t="s">
        <v>399</v>
      </c>
      <c r="H5" s="17"/>
    </row>
    <row r="6">
      <c r="A6" s="192" t="s">
        <v>34</v>
      </c>
      <c r="B6" s="14">
        <v>60000.0</v>
      </c>
      <c r="C6" s="193">
        <v>56170.0</v>
      </c>
      <c r="D6" s="14">
        <f>SUMIFS('Rozpočet - průběžný stav'!K:K,'Rozpočet - průběžný stav'!A:A,J6)</f>
        <v>59800</v>
      </c>
      <c r="E6" s="194">
        <f>D6-B6</f>
        <v>-200</v>
      </c>
      <c r="G6" s="25">
        <v>2019.0</v>
      </c>
      <c r="H6" s="17" t="s">
        <v>32</v>
      </c>
      <c r="I6" s="7" t="str">
        <f t="shared" ref="I6:I9" si="1">A6</f>
        <v>Příspěvky</v>
      </c>
      <c r="J6" t="str">
        <f t="shared" ref="J6:J9" si="2">G6&amp;"_"&amp;H6&amp;"_"&amp;I6</f>
        <v>2019_Běžný provoz_Příspěvky</v>
      </c>
      <c r="K6" s="7" t="s">
        <v>400</v>
      </c>
    </row>
    <row r="7">
      <c r="A7" s="192" t="s">
        <v>528</v>
      </c>
      <c r="B7" s="14"/>
      <c r="C7" s="195"/>
      <c r="D7" s="14">
        <f>SUMIFS('Rozpočet - průběžný stav'!K:K,'Rozpočet - průběžný stav'!A:A,J7)</f>
        <v>0</v>
      </c>
      <c r="E7" s="194"/>
      <c r="G7" s="25">
        <v>2019.0</v>
      </c>
      <c r="H7" s="17" t="s">
        <v>32</v>
      </c>
      <c r="I7" s="7" t="str">
        <f t="shared" si="1"/>
        <v>Krákorečné</v>
      </c>
      <c r="J7" t="str">
        <f t="shared" si="2"/>
        <v>2019_Běžný provoz_Krákorečné</v>
      </c>
      <c r="K7" s="7" t="s">
        <v>400</v>
      </c>
      <c r="L7" s="196" t="s">
        <v>42</v>
      </c>
    </row>
    <row r="8">
      <c r="A8" s="192" t="s">
        <v>186</v>
      </c>
      <c r="B8" s="14">
        <v>2722.0</v>
      </c>
      <c r="C8" s="193">
        <v>2722.0</v>
      </c>
      <c r="D8" s="14">
        <f>SUMIFS('Rozpočet - průběžný stav'!K:K,'Rozpočet - průběžný stav'!A:A,J8)</f>
        <v>0</v>
      </c>
      <c r="E8" s="194">
        <f>D8-B8</f>
        <v>-2722</v>
      </c>
      <c r="G8" s="25">
        <v>2019.0</v>
      </c>
      <c r="H8" s="17" t="s">
        <v>32</v>
      </c>
      <c r="I8" s="7" t="str">
        <f t="shared" si="1"/>
        <v>Přeúčtování TOM</v>
      </c>
      <c r="J8" t="str">
        <f t="shared" si="2"/>
        <v>2019_Běžný provoz_Přeúčtování TOM</v>
      </c>
      <c r="K8" s="7" t="s">
        <v>400</v>
      </c>
    </row>
    <row r="9">
      <c r="A9" s="192" t="s">
        <v>377</v>
      </c>
      <c r="B9" s="14"/>
      <c r="C9" s="195"/>
      <c r="D9" s="14">
        <f>SUMIFS('Rozpočet - průběžný stav'!K:K,'Rozpočet - průběžný stav'!A:A,J9)</f>
        <v>0</v>
      </c>
      <c r="E9" s="194"/>
      <c r="G9" s="25">
        <v>2019.0</v>
      </c>
      <c r="H9" s="17" t="s">
        <v>32</v>
      </c>
      <c r="I9" s="7" t="str">
        <f t="shared" si="1"/>
        <v>Ostatní</v>
      </c>
      <c r="J9" t="str">
        <f t="shared" si="2"/>
        <v>2019_Běžný provoz_Ostatní</v>
      </c>
      <c r="K9" s="7" t="s">
        <v>400</v>
      </c>
      <c r="L9" s="197"/>
    </row>
    <row r="10">
      <c r="A10" s="192" t="s">
        <v>401</v>
      </c>
      <c r="B10" s="198">
        <f>SUM(B6:B9)</f>
        <v>62722</v>
      </c>
      <c r="C10" s="195">
        <f>C6+C8</f>
        <v>58892</v>
      </c>
      <c r="D10" s="198">
        <f>SUM(D6:D9)</f>
        <v>59800</v>
      </c>
      <c r="E10" s="199">
        <f>D10-B10</f>
        <v>-2922</v>
      </c>
      <c r="H10" s="17"/>
      <c r="K10" s="7" t="s">
        <v>400</v>
      </c>
      <c r="L10" s="197"/>
    </row>
    <row r="11">
      <c r="A11" s="200"/>
      <c r="B11" s="194"/>
      <c r="C11" s="195"/>
      <c r="D11" s="194"/>
      <c r="E11" s="194"/>
      <c r="H11" s="17"/>
      <c r="K11" s="7" t="s">
        <v>400</v>
      </c>
      <c r="L11" s="197" t="s">
        <v>402</v>
      </c>
      <c r="M11" s="7" t="s">
        <v>403</v>
      </c>
    </row>
    <row r="12">
      <c r="A12" s="189" t="s">
        <v>529</v>
      </c>
      <c r="B12" s="194"/>
      <c r="C12" s="193"/>
      <c r="D12" s="194"/>
      <c r="E12" s="194"/>
      <c r="H12" s="17"/>
      <c r="K12" s="7" t="s">
        <v>400</v>
      </c>
      <c r="L12" s="94" t="s">
        <v>494</v>
      </c>
      <c r="M12" s="55">
        <v>1000.0</v>
      </c>
    </row>
    <row r="13">
      <c r="A13" s="192" t="s">
        <v>49</v>
      </c>
      <c r="B13" s="14">
        <f>62224-8437</f>
        <v>53787</v>
      </c>
      <c r="C13" s="201">
        <v>53787.0</v>
      </c>
      <c r="D13" s="14">
        <f>-SUMIFS('Rozpočet - průběžný stav'!K:K,'Rozpočet - průběžný stav'!A:A,J13)</f>
        <v>46300</v>
      </c>
      <c r="E13" s="199">
        <f t="shared" ref="E13:E21" si="3">D13-B13</f>
        <v>-7487</v>
      </c>
      <c r="G13" s="25">
        <v>2019.0</v>
      </c>
      <c r="H13" s="17" t="s">
        <v>32</v>
      </c>
      <c r="I13" s="7" t="str">
        <f t="shared" ref="I13:I19" si="4">A13</f>
        <v>Interní nájmy</v>
      </c>
      <c r="J13" t="str">
        <f t="shared" ref="J13:J19" si="5">G13&amp;"_"&amp;H13&amp;"_"&amp;I13</f>
        <v>2019_Běžný provoz_Interní nájmy</v>
      </c>
      <c r="K13" s="7" t="s">
        <v>400</v>
      </c>
      <c r="L13" s="94" t="s">
        <v>512</v>
      </c>
      <c r="M13" s="55">
        <v>800.0</v>
      </c>
    </row>
    <row r="14">
      <c r="A14" s="192" t="s">
        <v>407</v>
      </c>
      <c r="B14" s="202"/>
      <c r="C14" s="201"/>
      <c r="D14" s="14">
        <f>-SUMIFS('Rozpočet - průběžný stav'!K:K,'Rozpočet - průběžný stav'!A:A,J14)</f>
        <v>0</v>
      </c>
      <c r="E14" s="194">
        <f t="shared" si="3"/>
        <v>0</v>
      </c>
      <c r="G14" s="25">
        <v>2019.0</v>
      </c>
      <c r="H14" s="17" t="s">
        <v>32</v>
      </c>
      <c r="I14" s="7" t="str">
        <f t="shared" si="4"/>
        <v>Interní nájmy ostatní</v>
      </c>
      <c r="J14" t="str">
        <f t="shared" si="5"/>
        <v>2019_Běžný provoz_Interní nájmy ostatní</v>
      </c>
      <c r="K14" s="7" t="s">
        <v>400</v>
      </c>
      <c r="L14" s="94" t="s">
        <v>513</v>
      </c>
      <c r="M14" s="55">
        <v>600.0</v>
      </c>
    </row>
    <row r="15">
      <c r="A15" s="192" t="s">
        <v>495</v>
      </c>
      <c r="B15" s="14"/>
      <c r="C15" s="193"/>
      <c r="D15" s="14">
        <f>-SUMIFS('Rozpočet - průběžný stav'!K:K,'Rozpočet - průběžný stav'!A:A,J15)</f>
        <v>0</v>
      </c>
      <c r="E15" s="194">
        <f t="shared" si="3"/>
        <v>0</v>
      </c>
      <c r="G15" s="25">
        <v>2019.0</v>
      </c>
      <c r="H15" s="17" t="s">
        <v>32</v>
      </c>
      <c r="I15" s="7" t="str">
        <f t="shared" si="4"/>
        <v>Interní nájmy - srovnání TOM</v>
      </c>
      <c r="J15" t="str">
        <f t="shared" si="5"/>
        <v>2019_Běžný provoz_Interní nájmy - srovnání TOM</v>
      </c>
      <c r="K15" s="7" t="s">
        <v>400</v>
      </c>
    </row>
    <row r="16">
      <c r="A16" s="192" t="s">
        <v>33</v>
      </c>
      <c r="B16" s="14">
        <v>630.0</v>
      </c>
      <c r="C16" s="193">
        <v>630.0</v>
      </c>
      <c r="D16" s="14">
        <f>-SUMIFS('Rozpočet - průběžný stav'!K:K,'Rozpočet - průběžný stav'!A:A,J16)</f>
        <v>1360</v>
      </c>
      <c r="E16" s="194">
        <f t="shared" si="3"/>
        <v>730</v>
      </c>
      <c r="F16" s="7" t="s">
        <v>409</v>
      </c>
      <c r="G16" s="25">
        <v>2019.0</v>
      </c>
      <c r="H16" s="17" t="s">
        <v>32</v>
      </c>
      <c r="I16" s="7" t="str">
        <f t="shared" si="4"/>
        <v>Příspěvky ČSK</v>
      </c>
      <c r="J16" t="str">
        <f t="shared" si="5"/>
        <v>2019_Běžný provoz_Příspěvky ČSK</v>
      </c>
      <c r="K16" s="7" t="s">
        <v>400</v>
      </c>
      <c r="L16" s="197" t="s">
        <v>410</v>
      </c>
      <c r="M16" s="7" t="s">
        <v>403</v>
      </c>
    </row>
    <row r="17">
      <c r="A17" s="192" t="s">
        <v>71</v>
      </c>
      <c r="B17" s="14">
        <v>2000.0</v>
      </c>
      <c r="C17" s="193">
        <v>2000.0</v>
      </c>
      <c r="D17" s="14">
        <f>-SUMIFS('Rozpočet - průběžný stav'!K:K,'Rozpočet - průběžný stav'!A:A,J17)</f>
        <v>-1500</v>
      </c>
      <c r="E17" s="194">
        <f t="shared" si="3"/>
        <v>-3500</v>
      </c>
      <c r="F17" s="7" t="s">
        <v>411</v>
      </c>
      <c r="G17" s="25">
        <v>2019.0</v>
      </c>
      <c r="H17" s="17" t="s">
        <v>32</v>
      </c>
      <c r="I17" s="7" t="str">
        <f t="shared" si="4"/>
        <v>Údržba vleků</v>
      </c>
      <c r="J17" t="str">
        <f t="shared" si="5"/>
        <v>2019_Běžný provoz_Údržba vleků</v>
      </c>
      <c r="K17" s="7" t="s">
        <v>400</v>
      </c>
      <c r="L17" s="94" t="s">
        <v>413</v>
      </c>
      <c r="M17" s="55">
        <v>1000.0</v>
      </c>
    </row>
    <row r="18">
      <c r="A18" s="192" t="s">
        <v>148</v>
      </c>
      <c r="B18" s="14">
        <v>1000.0</v>
      </c>
      <c r="C18" s="193">
        <v>1000.0</v>
      </c>
      <c r="D18" s="14">
        <f>-SUMIFS('Rozpočet - průběžný stav'!K:K,'Rozpočet - průběžný stav'!A:A,J18)</f>
        <v>1690</v>
      </c>
      <c r="E18" s="194">
        <f t="shared" si="3"/>
        <v>690</v>
      </c>
      <c r="G18" s="25">
        <v>2019.0</v>
      </c>
      <c r="H18" s="17" t="s">
        <v>32</v>
      </c>
      <c r="I18" s="7" t="str">
        <f t="shared" si="4"/>
        <v>Materiál</v>
      </c>
      <c r="J18" t="str">
        <f t="shared" si="5"/>
        <v>2019_Běžný provoz_Materiál</v>
      </c>
      <c r="K18" s="7" t="s">
        <v>400</v>
      </c>
      <c r="L18" s="94" t="s">
        <v>514</v>
      </c>
      <c r="M18" s="55">
        <v>800.0</v>
      </c>
    </row>
    <row r="19">
      <c r="A19" s="192" t="s">
        <v>165</v>
      </c>
      <c r="B19" s="14"/>
      <c r="C19" s="195"/>
      <c r="D19" s="14">
        <f>-SUMIFS('Rozpočet - průběžný stav'!K:K,'Rozpočet - průběžný stav'!A:A,J19)</f>
        <v>241</v>
      </c>
      <c r="E19" s="194">
        <f t="shared" si="3"/>
        <v>241</v>
      </c>
      <c r="F19" s="7" t="s">
        <v>414</v>
      </c>
      <c r="G19" s="25">
        <v>2019.0</v>
      </c>
      <c r="H19" s="17" t="s">
        <v>32</v>
      </c>
      <c r="I19" s="7" t="str">
        <f t="shared" si="4"/>
        <v>Výdaje ostatní</v>
      </c>
      <c r="J19" t="str">
        <f t="shared" si="5"/>
        <v>2019_Běžný provoz_Výdaje ostatní</v>
      </c>
      <c r="K19" s="7" t="s">
        <v>400</v>
      </c>
      <c r="L19" s="94" t="s">
        <v>515</v>
      </c>
      <c r="M19" s="55">
        <v>600.0</v>
      </c>
    </row>
    <row r="20">
      <c r="A20" s="192" t="s">
        <v>416</v>
      </c>
      <c r="B20" s="198">
        <f t="shared" ref="B20:D20" si="6">SUM(B12:B19)</f>
        <v>57417</v>
      </c>
      <c r="C20" s="193">
        <f t="shared" si="6"/>
        <v>57417</v>
      </c>
      <c r="D20" s="198">
        <f t="shared" si="6"/>
        <v>48091</v>
      </c>
      <c r="E20" s="199">
        <f t="shared" si="3"/>
        <v>-9326</v>
      </c>
      <c r="H20" s="17"/>
    </row>
    <row r="21">
      <c r="A21" s="189" t="s">
        <v>417</v>
      </c>
      <c r="B21" s="199">
        <f t="shared" ref="B21:D21" si="7">B10-B20</f>
        <v>5305</v>
      </c>
      <c r="C21" s="193">
        <f t="shared" si="7"/>
        <v>1475</v>
      </c>
      <c r="D21" s="199">
        <f t="shared" si="7"/>
        <v>11709</v>
      </c>
      <c r="E21" s="199">
        <f t="shared" si="3"/>
        <v>6404</v>
      </c>
      <c r="H21" s="17"/>
    </row>
    <row r="22">
      <c r="A22" s="203"/>
      <c r="B22" s="194"/>
      <c r="C22" s="194"/>
      <c r="D22" s="194"/>
      <c r="E22" s="194"/>
    </row>
    <row r="23">
      <c r="A23" s="204" t="s">
        <v>418</v>
      </c>
      <c r="B23" s="204" t="s">
        <v>393</v>
      </c>
      <c r="C23" s="205" t="s">
        <v>524</v>
      </c>
      <c r="D23" s="191" t="s">
        <v>526</v>
      </c>
      <c r="E23" s="204" t="s">
        <v>395</v>
      </c>
      <c r="F23" s="206"/>
      <c r="G23" s="207" t="s">
        <v>14</v>
      </c>
      <c r="H23" s="207" t="s">
        <v>1</v>
      </c>
      <c r="I23" s="207" t="s">
        <v>2</v>
      </c>
      <c r="J23" s="207" t="s">
        <v>0</v>
      </c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</row>
    <row r="24">
      <c r="A24" s="204" t="s">
        <v>527</v>
      </c>
      <c r="B24" s="14"/>
      <c r="C24" s="194"/>
      <c r="D24" s="14"/>
      <c r="E24" s="194"/>
      <c r="H24" s="28"/>
    </row>
    <row r="25">
      <c r="A25" s="208" t="s">
        <v>530</v>
      </c>
      <c r="B25" s="14"/>
      <c r="C25" s="193"/>
      <c r="D25" s="14">
        <f>SUMIFS('Rozpočet - průběžný stav'!K:K,'Rozpočet - průběžný stav'!A:A,J25)</f>
        <v>65804</v>
      </c>
      <c r="E25" s="194"/>
      <c r="G25" s="25">
        <v>2019.0</v>
      </c>
      <c r="H25" s="23" t="s">
        <v>37</v>
      </c>
      <c r="I25" s="24" t="s">
        <v>95</v>
      </c>
      <c r="J25" t="str">
        <f t="shared" ref="J25:J28" si="8">G25&amp;"_"&amp;H25&amp;"_"&amp;I25</f>
        <v>2019_Hamerák-akce_Hamerák finance</v>
      </c>
      <c r="K25" s="7" t="s">
        <v>400</v>
      </c>
    </row>
    <row r="26">
      <c r="A26" s="208" t="s">
        <v>122</v>
      </c>
      <c r="B26" s="14">
        <v>4000.0</v>
      </c>
      <c r="C26" s="193">
        <v>21274.0</v>
      </c>
      <c r="D26" s="14">
        <f>SUMIFS('Rozpočet - průběžný stav'!K:K,'Rozpočet - průběžný stav'!A:A,J26)</f>
        <v>1140</v>
      </c>
      <c r="E26" s="194">
        <f t="shared" ref="E26:E29" si="9">D26-B26</f>
        <v>-2860</v>
      </c>
      <c r="G26" s="25">
        <v>2019.0</v>
      </c>
      <c r="H26" s="28" t="s">
        <v>61</v>
      </c>
      <c r="I26" s="7" t="str">
        <f t="shared" ref="I26:I28" si="10">A26</f>
        <v>Příjmy dotace</v>
      </c>
      <c r="J26" t="str">
        <f t="shared" si="8"/>
        <v>2019_Podpora činnosti_Příjmy dotace</v>
      </c>
      <c r="K26" s="7" t="s">
        <v>400</v>
      </c>
    </row>
    <row r="27">
      <c r="A27" s="208" t="s">
        <v>181</v>
      </c>
      <c r="B27" s="14">
        <v>2000.0</v>
      </c>
      <c r="C27" s="194"/>
      <c r="D27" s="14">
        <f>SUMIFS('Rozpočet - průběžný stav'!K:K,'Rozpočet - průběžný stav'!A:A,J27)</f>
        <v>2000</v>
      </c>
      <c r="E27" s="194">
        <f t="shared" si="9"/>
        <v>0</v>
      </c>
      <c r="G27" s="25">
        <v>2019.0</v>
      </c>
      <c r="H27" s="28" t="s">
        <v>61</v>
      </c>
      <c r="I27" s="7" t="str">
        <f t="shared" si="10"/>
        <v>Příjmy dary</v>
      </c>
      <c r="J27" t="str">
        <f t="shared" si="8"/>
        <v>2019_Podpora činnosti_Příjmy dary</v>
      </c>
      <c r="K27" s="7"/>
    </row>
    <row r="28">
      <c r="A28" s="208" t="s">
        <v>140</v>
      </c>
      <c r="B28" s="14"/>
      <c r="C28" s="193"/>
      <c r="D28" s="14">
        <f>SUMIFS('Rozpočet - průběžný stav'!K:K,'Rozpočet - průběžný stav'!A:A,J28)</f>
        <v>0</v>
      </c>
      <c r="E28" s="194">
        <f t="shared" si="9"/>
        <v>0</v>
      </c>
      <c r="G28" s="25">
        <v>2019.0</v>
      </c>
      <c r="H28" s="28" t="s">
        <v>61</v>
      </c>
      <c r="I28" s="7" t="str">
        <f t="shared" si="10"/>
        <v>Příjmy ostatní</v>
      </c>
      <c r="J28" t="str">
        <f t="shared" si="8"/>
        <v>2019_Podpora činnosti_Příjmy ostatní</v>
      </c>
      <c r="K28" s="7" t="s">
        <v>400</v>
      </c>
    </row>
    <row r="29">
      <c r="A29" s="208" t="s">
        <v>420</v>
      </c>
      <c r="B29" s="198">
        <f t="shared" ref="B29:D29" si="11">SUM(B24:B28)</f>
        <v>6000</v>
      </c>
      <c r="C29" s="193">
        <f t="shared" si="11"/>
        <v>21274</v>
      </c>
      <c r="D29" s="198">
        <f t="shared" si="11"/>
        <v>68944</v>
      </c>
      <c r="E29" s="199">
        <f t="shared" si="9"/>
        <v>62944</v>
      </c>
      <c r="H29" s="28"/>
      <c r="K29" s="7" t="s">
        <v>400</v>
      </c>
    </row>
    <row r="30">
      <c r="A30" s="204"/>
      <c r="B30" s="14"/>
      <c r="C30" s="193"/>
      <c r="D30" s="14"/>
      <c r="E30" s="194"/>
      <c r="H30" s="28"/>
      <c r="K30" s="7" t="s">
        <v>400</v>
      </c>
    </row>
    <row r="31">
      <c r="A31" s="204" t="s">
        <v>529</v>
      </c>
      <c r="B31" s="14"/>
      <c r="C31" s="193"/>
      <c r="D31" s="14"/>
      <c r="E31" s="194"/>
      <c r="H31" s="28"/>
      <c r="K31" s="7" t="s">
        <v>400</v>
      </c>
    </row>
    <row r="32">
      <c r="A32" s="208" t="s">
        <v>143</v>
      </c>
      <c r="B32" s="14">
        <v>10000.0</v>
      </c>
      <c r="C32" s="193">
        <v>10000.0</v>
      </c>
      <c r="D32" s="14">
        <f>-SUMIFS('Rozpočet - průběžný stav'!K:K,'Rozpočet - průběžný stav'!A:A,J32)</f>
        <v>5600</v>
      </c>
      <c r="E32" s="194">
        <f t="shared" ref="E32:E43" si="12">D32-B32</f>
        <v>-4400</v>
      </c>
      <c r="G32" s="25">
        <v>2019.0</v>
      </c>
      <c r="H32" s="28" t="s">
        <v>61</v>
      </c>
      <c r="I32" s="7" t="str">
        <f t="shared" ref="I32:I39" si="13">A32</f>
        <v>Podpora ČPV</v>
      </c>
      <c r="J32" t="str">
        <f t="shared" ref="J32:J41" si="14">G32&amp;"_"&amp;H32&amp;"_"&amp;I32</f>
        <v>2019_Podpora činnosti_Podpora ČPV</v>
      </c>
      <c r="K32" s="7" t="s">
        <v>400</v>
      </c>
    </row>
    <row r="33">
      <c r="A33" s="208" t="s">
        <v>470</v>
      </c>
      <c r="B33" s="14">
        <v>0.0</v>
      </c>
      <c r="C33" s="193">
        <v>0.0</v>
      </c>
      <c r="D33" s="14">
        <f>-SUMIFS('Rozpočet - průběžný stav'!K:K,'Rozpočet - průběžný stav'!A:A,J33)</f>
        <v>0</v>
      </c>
      <c r="E33" s="194">
        <f t="shared" si="12"/>
        <v>0</v>
      </c>
      <c r="G33" s="25">
        <v>2019.0</v>
      </c>
      <c r="H33" s="28" t="s">
        <v>61</v>
      </c>
      <c r="I33" s="7" t="str">
        <f t="shared" si="13"/>
        <v>Podpora eskymáků</v>
      </c>
      <c r="J33" t="str">
        <f t="shared" si="14"/>
        <v>2019_Podpora činnosti_Podpora eskymáků</v>
      </c>
      <c r="K33" s="7" t="s">
        <v>400</v>
      </c>
    </row>
    <row r="34">
      <c r="A34" s="208" t="s">
        <v>471</v>
      </c>
      <c r="B34" s="14">
        <v>1500.0</v>
      </c>
      <c r="C34" s="193">
        <v>1500.0</v>
      </c>
      <c r="D34" s="14">
        <f>-SUMIFS('Rozpočet - průběžný stav'!K:K,'Rozpočet - průběžný stav'!A:A,J34)</f>
        <v>0</v>
      </c>
      <c r="E34" s="194">
        <f t="shared" si="12"/>
        <v>-1500</v>
      </c>
      <c r="G34" s="25">
        <v>2019.0</v>
      </c>
      <c r="H34" s="28" t="s">
        <v>61</v>
      </c>
      <c r="I34" s="7" t="str">
        <f t="shared" si="13"/>
        <v>Podpora výcviku záchrany</v>
      </c>
      <c r="J34" t="str">
        <f t="shared" si="14"/>
        <v>2019_Podpora činnosti_Podpora výcviku záchrany</v>
      </c>
      <c r="K34" s="7" t="s">
        <v>400</v>
      </c>
    </row>
    <row r="35">
      <c r="A35" s="208" t="s">
        <v>153</v>
      </c>
      <c r="B35" s="14">
        <v>4000.0</v>
      </c>
      <c r="C35" s="193">
        <v>4000.0</v>
      </c>
      <c r="D35" s="14">
        <f>-SUMIFS('Rozpočet - průběžný stav'!K:K,'Rozpočet - průběžný stav'!A:A,J35)</f>
        <v>4000</v>
      </c>
      <c r="E35" s="194">
        <f t="shared" si="12"/>
        <v>0</v>
      </c>
      <c r="G35" s="25">
        <v>2019.0</v>
      </c>
      <c r="H35" s="28" t="s">
        <v>61</v>
      </c>
      <c r="I35" s="7" t="str">
        <f t="shared" si="13"/>
        <v>Podpora zahraniční zájezd</v>
      </c>
      <c r="J35" t="str">
        <f t="shared" si="14"/>
        <v>2019_Podpora činnosti_Podpora zahraniční zájezd</v>
      </c>
      <c r="K35" s="7" t="s">
        <v>400</v>
      </c>
    </row>
    <row r="36">
      <c r="A36" s="208" t="s">
        <v>64</v>
      </c>
      <c r="B36" s="14">
        <v>3000.0</v>
      </c>
      <c r="C36" s="193">
        <v>3000.0</v>
      </c>
      <c r="D36" s="14">
        <f>-SUMIFS('Rozpočet - průběžný stav'!K:K,'Rozpočet - průběžný stav'!A:A,J36)</f>
        <v>0</v>
      </c>
      <c r="E36" s="194">
        <f t="shared" si="12"/>
        <v>-3000</v>
      </c>
      <c r="G36" s="25">
        <v>2019.0</v>
      </c>
      <c r="H36" s="28" t="s">
        <v>61</v>
      </c>
      <c r="I36" s="7" t="str">
        <f t="shared" si="13"/>
        <v>Oddílový den</v>
      </c>
      <c r="J36" t="str">
        <f t="shared" si="14"/>
        <v>2019_Podpora činnosti_Oddílový den</v>
      </c>
      <c r="K36" s="7" t="s">
        <v>400</v>
      </c>
    </row>
    <row r="37">
      <c r="A37" s="208" t="s">
        <v>103</v>
      </c>
      <c r="B37" s="14">
        <v>3000.0</v>
      </c>
      <c r="C37" s="193">
        <v>3000.0</v>
      </c>
      <c r="D37" s="14">
        <f>-SUMIFS('Rozpočet - průběžný stav'!K:K,'Rozpočet - průběžný stav'!A:A,J37)</f>
        <v>1800</v>
      </c>
      <c r="E37" s="194">
        <f t="shared" si="12"/>
        <v>-1200</v>
      </c>
      <c r="G37" s="25">
        <v>2019.0</v>
      </c>
      <c r="H37" s="28" t="s">
        <v>61</v>
      </c>
      <c r="I37" s="7" t="str">
        <f t="shared" si="13"/>
        <v>Oddílové vánoce</v>
      </c>
      <c r="J37" t="str">
        <f t="shared" si="14"/>
        <v>2019_Podpora činnosti_Oddílové vánoce</v>
      </c>
      <c r="K37" s="7" t="s">
        <v>400</v>
      </c>
    </row>
    <row r="38">
      <c r="A38" s="208" t="s">
        <v>42</v>
      </c>
      <c r="B38" s="14">
        <v>4800.0</v>
      </c>
      <c r="C38" s="193">
        <v>4800.0</v>
      </c>
      <c r="D38" s="14">
        <f>-SUMIFS('Rozpočet - průběžný stav'!K:K,'Rozpočet - průběžný stav'!A:A,J38)</f>
        <v>0</v>
      </c>
      <c r="E38" s="194">
        <f t="shared" si="12"/>
        <v>-4800</v>
      </c>
      <c r="G38" s="25">
        <v>2019.0</v>
      </c>
      <c r="H38" s="28" t="s">
        <v>61</v>
      </c>
      <c r="I38" s="7" t="str">
        <f t="shared" si="13"/>
        <v>Oddílová soutěž</v>
      </c>
      <c r="J38" t="str">
        <f t="shared" si="14"/>
        <v>2019_Podpora činnosti_Oddílová soutěž</v>
      </c>
      <c r="K38" s="7" t="s">
        <v>400</v>
      </c>
    </row>
    <row r="39">
      <c r="A39" s="208" t="s">
        <v>148</v>
      </c>
      <c r="B39" s="14">
        <v>1000.0</v>
      </c>
      <c r="C39" s="193">
        <v>1000.0</v>
      </c>
      <c r="D39" s="14">
        <f>-SUMIFS('Rozpočet - průběžný stav'!K:K,'Rozpočet - průběžný stav'!A:A,J39)</f>
        <v>0</v>
      </c>
      <c r="E39" s="194">
        <f t="shared" si="12"/>
        <v>-1000</v>
      </c>
      <c r="G39" s="25">
        <v>2019.0</v>
      </c>
      <c r="H39" s="28" t="s">
        <v>61</v>
      </c>
      <c r="I39" s="7" t="str">
        <f t="shared" si="13"/>
        <v>Materiál</v>
      </c>
      <c r="J39" t="str">
        <f t="shared" si="14"/>
        <v>2019_Podpora činnosti_Materiál</v>
      </c>
      <c r="K39" s="7" t="s">
        <v>400</v>
      </c>
    </row>
    <row r="40">
      <c r="A40" s="208" t="s">
        <v>472</v>
      </c>
      <c r="B40" s="14">
        <v>3000.0</v>
      </c>
      <c r="C40" s="193">
        <v>3000.0</v>
      </c>
      <c r="D40" s="14">
        <f>-SUMIFS('Rozpočet - průběžný stav'!K:K,'Rozpočet - průběžný stav'!A:A,J40)</f>
        <v>0</v>
      </c>
      <c r="E40" s="194">
        <f t="shared" si="12"/>
        <v>-3000</v>
      </c>
      <c r="G40" s="25">
        <v>2019.0</v>
      </c>
      <c r="H40" s="23" t="s">
        <v>37</v>
      </c>
      <c r="I40" s="24" t="s">
        <v>136</v>
      </c>
      <c r="J40" t="str">
        <f t="shared" si="14"/>
        <v>2019_Hamerák-akce_Výbor večeře</v>
      </c>
      <c r="K40" s="7" t="s">
        <v>400</v>
      </c>
    </row>
    <row r="41">
      <c r="A41" s="208" t="s">
        <v>473</v>
      </c>
      <c r="B41" s="14"/>
      <c r="C41" s="193"/>
      <c r="D41" s="14">
        <f>-SUMIFS('Rozpočet - průběžný stav'!K:K,'Rozpočet - průběžný stav'!A:A,J41)</f>
        <v>33272</v>
      </c>
      <c r="E41" s="194">
        <f t="shared" si="12"/>
        <v>33272</v>
      </c>
      <c r="G41" s="25">
        <v>2019.0</v>
      </c>
      <c r="H41" s="23" t="s">
        <v>37</v>
      </c>
      <c r="I41" s="24" t="s">
        <v>158</v>
      </c>
      <c r="J41" t="str">
        <f t="shared" si="14"/>
        <v>2019_Hamerák-akce_Náklady příprava</v>
      </c>
      <c r="K41" s="7" t="s">
        <v>400</v>
      </c>
      <c r="L41" s="209" t="s">
        <v>422</v>
      </c>
      <c r="M41" s="199">
        <f>D25-D40-D41</f>
        <v>32532</v>
      </c>
    </row>
    <row r="42">
      <c r="A42" s="208" t="s">
        <v>423</v>
      </c>
      <c r="B42" s="210">
        <f>sum(B32:B41)</f>
        <v>30300</v>
      </c>
      <c r="C42" s="193">
        <f>SUM(C32:C40)</f>
        <v>30300</v>
      </c>
      <c r="D42" s="210">
        <f>sum(D32:D41)</f>
        <v>44672</v>
      </c>
      <c r="E42" s="199">
        <f t="shared" si="12"/>
        <v>14372</v>
      </c>
      <c r="H42" s="28"/>
      <c r="K42" s="7" t="s">
        <v>400</v>
      </c>
    </row>
    <row r="43">
      <c r="A43" s="204" t="s">
        <v>424</v>
      </c>
      <c r="B43" s="199">
        <f t="shared" ref="B43:D43" si="15">B29-B42</f>
        <v>-24300</v>
      </c>
      <c r="C43" s="193">
        <f t="shared" si="15"/>
        <v>-9026</v>
      </c>
      <c r="D43" s="199">
        <f t="shared" si="15"/>
        <v>24272</v>
      </c>
      <c r="E43" s="199">
        <f t="shared" si="12"/>
        <v>48572</v>
      </c>
      <c r="H43" s="28"/>
      <c r="K43" s="7" t="s">
        <v>400</v>
      </c>
    </row>
    <row r="44">
      <c r="A44" s="204"/>
      <c r="B44" s="194"/>
      <c r="C44" s="194"/>
      <c r="D44" s="194"/>
      <c r="E44" s="194"/>
      <c r="K44" s="7" t="s">
        <v>400</v>
      </c>
    </row>
    <row r="45">
      <c r="A45" s="204" t="s">
        <v>425</v>
      </c>
      <c r="B45" s="14">
        <v>0.0</v>
      </c>
      <c r="C45" s="194"/>
      <c r="D45" s="211">
        <f>D25-D40-D41</f>
        <v>32532</v>
      </c>
      <c r="E45" s="194"/>
      <c r="G45" s="25"/>
      <c r="H45" s="7"/>
      <c r="I45" s="7"/>
    </row>
    <row r="46">
      <c r="A46" s="203"/>
      <c r="B46" s="194"/>
      <c r="C46" s="194"/>
      <c r="D46" s="14">
        <f>-SUMIFS('Rozpočet - průběžný stav'!K:K,'Rozpočet - průběžný stav'!A:A,J46)</f>
        <v>0</v>
      </c>
      <c r="E46" s="194"/>
      <c r="G46" s="25">
        <v>2019.0</v>
      </c>
      <c r="H46" s="7" t="s">
        <v>27</v>
      </c>
      <c r="I46" s="7" t="s">
        <v>115</v>
      </c>
      <c r="J46" t="str">
        <f t="shared" ref="J46:J48" si="16">G46&amp;"_"&amp;H46&amp;"_"&amp;I46</f>
        <v>2019_Převody_Převod z 2017</v>
      </c>
    </row>
    <row r="47">
      <c r="A47" s="203"/>
      <c r="B47" s="194"/>
      <c r="C47" s="194"/>
      <c r="D47" s="14">
        <f>-SUMIFS('Rozpočet - průběžný stav'!K:K,'Rozpočet - průběžný stav'!A:A,J47)</f>
        <v>0</v>
      </c>
      <c r="E47" s="194"/>
      <c r="G47" s="25">
        <v>2019.0</v>
      </c>
      <c r="H47" s="7" t="s">
        <v>27</v>
      </c>
      <c r="I47" s="7" t="s">
        <v>44</v>
      </c>
      <c r="J47" t="str">
        <f t="shared" si="16"/>
        <v>2019_Převody_převod</v>
      </c>
    </row>
    <row r="48">
      <c r="A48" s="203"/>
      <c r="B48" s="194"/>
      <c r="C48" s="194"/>
      <c r="D48" s="14">
        <f>-SUMIFS('Rozpočet - průběžný stav'!K:K,'Rozpočet - průběžný stav'!A:A,J48)</f>
        <v>0</v>
      </c>
      <c r="E48" s="194"/>
      <c r="G48" s="25">
        <v>2019.0</v>
      </c>
      <c r="H48" s="7" t="s">
        <v>27</v>
      </c>
      <c r="I48" s="7" t="s">
        <v>22</v>
      </c>
      <c r="J48" t="str">
        <f t="shared" si="16"/>
        <v>2019_Převody_stav</v>
      </c>
    </row>
    <row r="49">
      <c r="A49" s="203"/>
      <c r="B49" s="194"/>
      <c r="C49" s="194"/>
      <c r="D49" s="194"/>
      <c r="E49" s="194"/>
    </row>
    <row r="50">
      <c r="A50" s="203"/>
      <c r="B50" s="194"/>
      <c r="D50" s="194"/>
      <c r="E50" s="194"/>
    </row>
    <row r="51">
      <c r="A51" s="189" t="s">
        <v>427</v>
      </c>
      <c r="B51" s="189" t="s">
        <v>393</v>
      </c>
      <c r="C51" s="190" t="s">
        <v>524</v>
      </c>
      <c r="D51" s="189" t="s">
        <v>394</v>
      </c>
      <c r="E51" s="189" t="s">
        <v>395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</row>
    <row r="52">
      <c r="A52" s="187" t="s">
        <v>531</v>
      </c>
      <c r="B52" s="211">
        <f>B2</f>
        <v>133443</v>
      </c>
      <c r="C52" s="14">
        <v>121759.0</v>
      </c>
      <c r="D52" s="199">
        <f>B52</f>
        <v>133443</v>
      </c>
      <c r="E52" s="194"/>
    </row>
    <row r="53">
      <c r="A53" s="185" t="s">
        <v>429</v>
      </c>
      <c r="B53" s="14">
        <f>B10</f>
        <v>62722</v>
      </c>
      <c r="C53" s="14">
        <v>58892.0</v>
      </c>
      <c r="D53" s="14">
        <f>D10</f>
        <v>59800</v>
      </c>
      <c r="E53" s="194"/>
    </row>
    <row r="54">
      <c r="A54" s="185" t="s">
        <v>430</v>
      </c>
      <c r="B54" s="14">
        <f>B29</f>
        <v>6000</v>
      </c>
      <c r="C54" s="14">
        <v>21274.0</v>
      </c>
      <c r="D54" s="14">
        <f>D29</f>
        <v>68944</v>
      </c>
      <c r="E54" s="194"/>
    </row>
    <row r="55">
      <c r="A55" s="187" t="s">
        <v>532</v>
      </c>
      <c r="B55" s="211">
        <f>B53+B54</f>
        <v>68722</v>
      </c>
      <c r="C55" s="14">
        <v>80166.0</v>
      </c>
      <c r="D55" s="211">
        <f>D53+D54</f>
        <v>128744</v>
      </c>
      <c r="E55" s="194"/>
    </row>
    <row r="56">
      <c r="A56" s="185" t="s">
        <v>432</v>
      </c>
      <c r="B56" s="14">
        <f>B20</f>
        <v>57417</v>
      </c>
      <c r="C56" s="14">
        <v>57417.0</v>
      </c>
      <c r="D56" s="14">
        <f>D20</f>
        <v>48091</v>
      </c>
      <c r="E56" s="194"/>
    </row>
    <row r="57">
      <c r="A57" s="185" t="s">
        <v>433</v>
      </c>
      <c r="B57" s="14">
        <f>B42</f>
        <v>30300</v>
      </c>
      <c r="C57" s="14">
        <v>30300.0</v>
      </c>
      <c r="D57" s="14">
        <f>D42</f>
        <v>44672</v>
      </c>
      <c r="E57" s="194"/>
    </row>
    <row r="58">
      <c r="A58" s="187" t="s">
        <v>533</v>
      </c>
      <c r="B58" s="211">
        <f>B56+B57</f>
        <v>87717</v>
      </c>
      <c r="C58" s="14">
        <v>87717.0</v>
      </c>
      <c r="D58" s="211">
        <f>D56+D57</f>
        <v>92763</v>
      </c>
      <c r="E58" s="194"/>
    </row>
    <row r="59">
      <c r="A59" s="185" t="s">
        <v>417</v>
      </c>
      <c r="B59" s="194">
        <f t="shared" ref="B59:B61" si="17">B53-B56</f>
        <v>5305</v>
      </c>
      <c r="C59" s="194">
        <v>1475.0</v>
      </c>
      <c r="D59" s="194">
        <f t="shared" ref="D59:D61" si="18">D53-D56</f>
        <v>11709</v>
      </c>
      <c r="E59" s="194"/>
      <c r="F59" s="14" t="s">
        <v>436</v>
      </c>
    </row>
    <row r="60">
      <c r="A60" s="185" t="s">
        <v>424</v>
      </c>
      <c r="B60" s="194">
        <f t="shared" si="17"/>
        <v>-24300</v>
      </c>
      <c r="C60" s="194">
        <v>-9026.0</v>
      </c>
      <c r="D60" s="194">
        <f t="shared" si="18"/>
        <v>24272</v>
      </c>
      <c r="E60" s="194"/>
      <c r="F60" s="14" t="s">
        <v>534</v>
      </c>
    </row>
    <row r="61">
      <c r="A61" s="187" t="s">
        <v>535</v>
      </c>
      <c r="B61" s="199">
        <f t="shared" si="17"/>
        <v>-18995</v>
      </c>
      <c r="C61" s="194">
        <v>-7551.0</v>
      </c>
      <c r="D61" s="199">
        <f t="shared" si="18"/>
        <v>35981</v>
      </c>
      <c r="E61" s="194"/>
    </row>
    <row r="62">
      <c r="A62" s="187" t="s">
        <v>536</v>
      </c>
      <c r="B62" s="211">
        <f>B52+B55-B58</f>
        <v>114448</v>
      </c>
      <c r="C62" s="14">
        <v>114208.0</v>
      </c>
      <c r="D62" s="211">
        <f>D52+D55-D58</f>
        <v>169424</v>
      </c>
      <c r="E62" s="194"/>
    </row>
    <row r="63">
      <c r="B63" s="194"/>
      <c r="C63" s="194"/>
      <c r="D63" s="194"/>
      <c r="E63" s="194"/>
    </row>
    <row r="65">
      <c r="A65" s="189" t="s">
        <v>444</v>
      </c>
      <c r="B65" s="189"/>
      <c r="C65" s="190" t="s">
        <v>524</v>
      </c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</row>
    <row r="66">
      <c r="A66" s="7" t="s">
        <v>445</v>
      </c>
      <c r="D66" s="7" t="s">
        <v>537</v>
      </c>
    </row>
    <row r="67">
      <c r="A67" s="7" t="s">
        <v>447</v>
      </c>
      <c r="B67" s="194">
        <v>80000.0</v>
      </c>
      <c r="C67" s="14">
        <v>80000.0</v>
      </c>
      <c r="D67" s="194">
        <v>80000.0</v>
      </c>
    </row>
    <row r="68">
      <c r="A68" s="7" t="s">
        <v>448</v>
      </c>
      <c r="B68" s="194">
        <f>B57</f>
        <v>30300</v>
      </c>
      <c r="C68" s="14">
        <v>30300.0</v>
      </c>
      <c r="D68" s="194">
        <f>B57</f>
        <v>30300</v>
      </c>
    </row>
    <row r="69">
      <c r="A69" s="7" t="s">
        <v>536</v>
      </c>
      <c r="B69" s="194">
        <f>B62</f>
        <v>114448</v>
      </c>
      <c r="C69" s="14">
        <v>114208.0</v>
      </c>
      <c r="D69" s="194">
        <f>D62</f>
        <v>169424</v>
      </c>
      <c r="E69" s="7" t="s">
        <v>538</v>
      </c>
    </row>
    <row r="70">
      <c r="A70" s="7" t="s">
        <v>451</v>
      </c>
      <c r="B70" s="194">
        <f t="shared" ref="B70:B72" si="19">B69-B$68</f>
        <v>84148</v>
      </c>
      <c r="C70" s="14">
        <v>83908.0</v>
      </c>
      <c r="D70" s="194">
        <f t="shared" ref="D70:D72" si="20">D69-D$68</f>
        <v>139124</v>
      </c>
      <c r="E70" s="7" t="s">
        <v>522</v>
      </c>
    </row>
    <row r="71">
      <c r="A71" s="7" t="s">
        <v>453</v>
      </c>
      <c r="B71" s="194">
        <f t="shared" si="19"/>
        <v>53848</v>
      </c>
      <c r="C71" s="14">
        <v>53608.0</v>
      </c>
      <c r="D71" s="194">
        <f t="shared" si="20"/>
        <v>108824</v>
      </c>
      <c r="E71" s="7" t="s">
        <v>504</v>
      </c>
    </row>
    <row r="72">
      <c r="A72" s="7" t="s">
        <v>455</v>
      </c>
      <c r="B72" s="194">
        <f t="shared" si="19"/>
        <v>23548</v>
      </c>
      <c r="C72" s="14">
        <v>23308.0</v>
      </c>
      <c r="D72" s="194">
        <f t="shared" si="20"/>
        <v>78524</v>
      </c>
      <c r="E72" s="7" t="s">
        <v>450</v>
      </c>
    </row>
    <row r="73">
      <c r="A73" s="7" t="s">
        <v>457</v>
      </c>
      <c r="B73" s="183">
        <f>1+(B69-B67)/B68</f>
        <v>2.13689769</v>
      </c>
      <c r="C73" s="183">
        <v>2.128976897689769</v>
      </c>
      <c r="D73" s="183">
        <f>1+(D69-D67)/D68</f>
        <v>3.951287129</v>
      </c>
      <c r="E73" s="7" t="s">
        <v>458</v>
      </c>
    </row>
  </sheetData>
  <conditionalFormatting sqref="B73 D73">
    <cfRule type="colorScale" priority="1">
      <colorScale>
        <cfvo type="formula" val="0"/>
        <cfvo type="formula" val="1"/>
        <cfvo type="formula" val="2"/>
        <color rgb="FFFF0000"/>
        <color rgb="FFFFFF00"/>
        <color rgb="FF00FF00"/>
      </colorScale>
    </cfRule>
  </conditionalFormatting>
  <conditionalFormatting sqref="B69:B72 D69:D72">
    <cfRule type="cellIs" dxfId="2" priority="2" operator="lessThan">
      <formula>B$67</formula>
    </cfRule>
  </conditionalFormatting>
  <conditionalFormatting sqref="B69:B72 D69:D72">
    <cfRule type="cellIs" dxfId="1" priority="3" operator="greaterThanOrEqual">
      <formula>B$67</formula>
    </cfRule>
  </conditionalFormatting>
  <conditionalFormatting sqref="E6:E10 E25:E29 E21 E43">
    <cfRule type="cellIs" dxfId="1" priority="4" operator="greaterThan">
      <formula>0</formula>
    </cfRule>
  </conditionalFormatting>
  <conditionalFormatting sqref="E6:E10 E25:E29 E21 E43">
    <cfRule type="cellIs" dxfId="2" priority="5" operator="lessThan">
      <formula>0</formula>
    </cfRule>
  </conditionalFormatting>
  <conditionalFormatting sqref="E13:E20 E32:E42">
    <cfRule type="cellIs" dxfId="2" priority="6" operator="greaterThan">
      <formula>0</formula>
    </cfRule>
  </conditionalFormatting>
  <conditionalFormatting sqref="E13:E20 E32:E42">
    <cfRule type="cellIs" dxfId="1" priority="7" operator="lessThan">
      <formula>0</formula>
    </cfRule>
  </conditionalFormatting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5.0"/>
    <col customWidth="1" min="4" max="4" width="15.5"/>
    <col customWidth="1" min="9" max="9" width="17.75"/>
    <col customWidth="1" min="10" max="10" width="34.63"/>
  </cols>
  <sheetData>
    <row r="1">
      <c r="A1" s="213" t="s">
        <v>539</v>
      </c>
      <c r="B1" s="184" t="s">
        <v>393</v>
      </c>
      <c r="C1" s="7" t="s">
        <v>540</v>
      </c>
      <c r="D1" s="184" t="s">
        <v>394</v>
      </c>
      <c r="E1" s="184" t="s">
        <v>395</v>
      </c>
    </row>
    <row r="2">
      <c r="A2" s="185" t="s">
        <v>541</v>
      </c>
      <c r="B2" s="214">
        <v>121759.0</v>
      </c>
      <c r="D2" s="7" t="s">
        <v>542</v>
      </c>
    </row>
    <row r="3">
      <c r="A3" s="187"/>
      <c r="D3" s="7"/>
      <c r="E3" s="7"/>
      <c r="G3" s="188" t="s">
        <v>397</v>
      </c>
      <c r="H3" s="63"/>
      <c r="I3" s="63"/>
      <c r="J3" s="63"/>
    </row>
    <row r="4">
      <c r="A4" s="189" t="s">
        <v>398</v>
      </c>
      <c r="B4" s="189" t="s">
        <v>393</v>
      </c>
      <c r="C4" s="215" t="s">
        <v>540</v>
      </c>
      <c r="D4" s="189" t="s">
        <v>394</v>
      </c>
      <c r="E4" s="189" t="s">
        <v>395</v>
      </c>
      <c r="F4" s="63"/>
      <c r="G4" s="188" t="s">
        <v>14</v>
      </c>
      <c r="H4" s="188" t="s">
        <v>1</v>
      </c>
      <c r="I4" s="188" t="s">
        <v>2</v>
      </c>
      <c r="J4" s="188" t="s">
        <v>0</v>
      </c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</row>
    <row r="5">
      <c r="A5" s="189" t="s">
        <v>543</v>
      </c>
      <c r="D5" s="7"/>
      <c r="E5" s="7" t="s">
        <v>399</v>
      </c>
      <c r="H5" s="17"/>
      <c r="J5" s="63"/>
    </row>
    <row r="6">
      <c r="A6" s="192" t="s">
        <v>34</v>
      </c>
      <c r="B6" s="14">
        <f>56600*0.95+3*800</f>
        <v>56170</v>
      </c>
      <c r="C6" s="194"/>
      <c r="D6" s="14">
        <f>SUMIFS('Rozpočet - průběžný stav'!K:K,'Rozpočet - průběžný stav'!A:A,J6)</f>
        <v>64250</v>
      </c>
      <c r="E6" s="194">
        <f>D6-B6</f>
        <v>8080</v>
      </c>
      <c r="G6" s="7">
        <v>2018.0</v>
      </c>
      <c r="H6" s="17" t="s">
        <v>32</v>
      </c>
      <c r="I6" s="7" t="str">
        <f t="shared" ref="I6:I9" si="1">A6</f>
        <v>Příspěvky</v>
      </c>
      <c r="J6" s="63" t="str">
        <f t="shared" ref="J6:J9" si="2">G6&amp;"_"&amp;H6&amp;"_"&amp;I6</f>
        <v>2018_Běžný provoz_Příspěvky</v>
      </c>
      <c r="K6" s="7" t="s">
        <v>400</v>
      </c>
    </row>
    <row r="7">
      <c r="A7" s="192" t="s">
        <v>528</v>
      </c>
      <c r="B7" s="14"/>
      <c r="C7" s="194"/>
      <c r="D7" s="14">
        <f>SUMIFS('Rozpočet - průběžný stav'!K:K,'Rozpočet - průběžný stav'!A:A,J7)</f>
        <v>0</v>
      </c>
      <c r="E7" s="194"/>
      <c r="G7" s="7">
        <v>2018.0</v>
      </c>
      <c r="H7" s="17" t="s">
        <v>32</v>
      </c>
      <c r="I7" s="7" t="str">
        <f t="shared" si="1"/>
        <v>Krákorečné</v>
      </c>
      <c r="J7" s="63" t="str">
        <f t="shared" si="2"/>
        <v>2018_Běžný provoz_Krákorečné</v>
      </c>
      <c r="K7" s="7" t="s">
        <v>400</v>
      </c>
      <c r="L7" s="196" t="s">
        <v>42</v>
      </c>
    </row>
    <row r="8">
      <c r="A8" s="192" t="s">
        <v>186</v>
      </c>
      <c r="B8" s="14">
        <v>2722.0</v>
      </c>
      <c r="C8" s="194"/>
      <c r="D8" s="14">
        <f>SUMIFS('Rozpočet - průběžný stav'!K:K,'Rozpočet - průběžný stav'!A:A,J8)-1200</f>
        <v>3859</v>
      </c>
      <c r="E8" s="194"/>
      <c r="G8" s="7">
        <v>2018.0</v>
      </c>
      <c r="H8" s="17" t="s">
        <v>32</v>
      </c>
      <c r="I8" s="7" t="str">
        <f t="shared" si="1"/>
        <v>Přeúčtování TOM</v>
      </c>
      <c r="J8" s="63" t="str">
        <f t="shared" si="2"/>
        <v>2018_Běžný provoz_Přeúčtování TOM</v>
      </c>
      <c r="K8" s="7" t="s">
        <v>400</v>
      </c>
    </row>
    <row r="9">
      <c r="A9" s="192" t="s">
        <v>377</v>
      </c>
      <c r="B9" s="14"/>
      <c r="C9" s="194"/>
      <c r="D9" s="14">
        <f>SUMIFS('Rozpočet - průběžný stav'!K:K,'Rozpočet - průběžný stav'!A:A,J9)</f>
        <v>0</v>
      </c>
      <c r="E9" s="194"/>
      <c r="G9" s="7">
        <v>2018.0</v>
      </c>
      <c r="H9" s="17" t="s">
        <v>32</v>
      </c>
      <c r="I9" s="7" t="str">
        <f t="shared" si="1"/>
        <v>Ostatní</v>
      </c>
      <c r="J9" s="63" t="str">
        <f t="shared" si="2"/>
        <v>2018_Běžný provoz_Ostatní</v>
      </c>
      <c r="K9" s="7" t="s">
        <v>400</v>
      </c>
      <c r="L9" s="197"/>
    </row>
    <row r="10">
      <c r="A10" s="192" t="s">
        <v>401</v>
      </c>
      <c r="B10" s="198">
        <f>SUM(B6:B9)</f>
        <v>58892</v>
      </c>
      <c r="C10" s="194"/>
      <c r="D10" s="198">
        <f>SUM(D6:D9)</f>
        <v>68109</v>
      </c>
      <c r="E10" s="199">
        <f>D10-B10</f>
        <v>9217</v>
      </c>
      <c r="H10" s="17"/>
      <c r="J10" s="63"/>
      <c r="K10" s="7" t="s">
        <v>400</v>
      </c>
      <c r="L10" s="197"/>
    </row>
    <row r="11">
      <c r="A11" s="200"/>
      <c r="B11" s="194"/>
      <c r="C11" s="194"/>
      <c r="D11" s="194"/>
      <c r="E11" s="194"/>
      <c r="H11" s="17"/>
      <c r="J11" s="63"/>
      <c r="K11" s="7" t="s">
        <v>400</v>
      </c>
      <c r="L11" s="197" t="s">
        <v>402</v>
      </c>
    </row>
    <row r="12">
      <c r="A12" s="189" t="s">
        <v>544</v>
      </c>
      <c r="B12" s="194"/>
      <c r="C12" s="14"/>
      <c r="D12" s="194"/>
      <c r="E12" s="194"/>
      <c r="H12" s="17"/>
      <c r="J12" s="63"/>
      <c r="K12" s="7" t="s">
        <v>400</v>
      </c>
      <c r="L12" s="216" t="s">
        <v>494</v>
      </c>
      <c r="M12" s="25">
        <v>1000.0</v>
      </c>
    </row>
    <row r="13">
      <c r="A13" s="192" t="s">
        <v>49</v>
      </c>
      <c r="B13" s="14">
        <f>62224-8437</f>
        <v>53787</v>
      </c>
      <c r="C13" s="202"/>
      <c r="D13" s="14">
        <f>-SUMIFS('Rozpočet - průběžný stav'!K:K,'Rozpočet - průběžný stav'!A:A,J13)</f>
        <v>56788</v>
      </c>
      <c r="E13" s="194">
        <f t="shared" ref="E13:E14" si="3">B13-D13</f>
        <v>-3001</v>
      </c>
      <c r="G13" s="7">
        <v>2018.0</v>
      </c>
      <c r="H13" s="17" t="s">
        <v>32</v>
      </c>
      <c r="I13" s="7" t="str">
        <f t="shared" ref="I13:I20" si="4">A13</f>
        <v>Interní nájmy</v>
      </c>
      <c r="J13" s="63" t="str">
        <f t="shared" ref="J13:J20" si="5">G13&amp;"_"&amp;H13&amp;"_"&amp;I13</f>
        <v>2018_Běžný provoz_Interní nájmy</v>
      </c>
      <c r="K13" s="7" t="s">
        <v>400</v>
      </c>
      <c r="L13" s="217" t="s">
        <v>545</v>
      </c>
      <c r="M13" s="218">
        <v>800.0</v>
      </c>
    </row>
    <row r="14">
      <c r="A14" s="192" t="s">
        <v>407</v>
      </c>
      <c r="B14" s="202"/>
      <c r="C14" s="202"/>
      <c r="D14" s="14">
        <f>-SUMIFS('Rozpočet - průběžný stav'!K:K,'Rozpočet - průběžný stav'!A:A,J14)</f>
        <v>0</v>
      </c>
      <c r="E14" s="194">
        <f t="shared" si="3"/>
        <v>0</v>
      </c>
      <c r="G14" s="7">
        <v>2018.0</v>
      </c>
      <c r="H14" s="17" t="s">
        <v>32</v>
      </c>
      <c r="I14" s="7" t="str">
        <f t="shared" si="4"/>
        <v>Interní nájmy ostatní</v>
      </c>
      <c r="J14" s="63" t="str">
        <f t="shared" si="5"/>
        <v>2018_Běžný provoz_Interní nájmy ostatní</v>
      </c>
      <c r="K14" s="7" t="s">
        <v>400</v>
      </c>
      <c r="L14" s="217" t="s">
        <v>513</v>
      </c>
      <c r="M14" s="218">
        <v>600.0</v>
      </c>
    </row>
    <row r="15">
      <c r="A15" s="192" t="s">
        <v>495</v>
      </c>
      <c r="B15" s="14"/>
      <c r="C15" s="14"/>
      <c r="D15" s="14">
        <f>-SUMIFS('Rozpočet - průběžný stav'!K:K,'Rozpočet - průběžný stav'!A:A,J15)</f>
        <v>0</v>
      </c>
      <c r="E15" s="194"/>
      <c r="G15" s="7">
        <v>2018.0</v>
      </c>
      <c r="H15" s="17" t="s">
        <v>32</v>
      </c>
      <c r="I15" s="7" t="str">
        <f t="shared" si="4"/>
        <v>Interní nájmy - srovnání TOM</v>
      </c>
      <c r="J15" s="63" t="str">
        <f t="shared" si="5"/>
        <v>2018_Běžný provoz_Interní nájmy - srovnání TOM</v>
      </c>
      <c r="K15" s="7" t="s">
        <v>400</v>
      </c>
    </row>
    <row r="16">
      <c r="A16" s="192" t="s">
        <v>33</v>
      </c>
      <c r="B16" s="14">
        <v>630.0</v>
      </c>
      <c r="C16" s="14"/>
      <c r="D16" s="14">
        <f>-SUMIFS('Rozpočet - průběžný stav'!K:K,'Rozpočet - průběžný stav'!A:A,J16)</f>
        <v>1520</v>
      </c>
      <c r="E16" s="194">
        <f t="shared" ref="E16:E21" si="6">B16-D16</f>
        <v>-890</v>
      </c>
      <c r="F16" s="7" t="s">
        <v>409</v>
      </c>
      <c r="G16" s="7">
        <v>2018.0</v>
      </c>
      <c r="H16" s="17" t="s">
        <v>32</v>
      </c>
      <c r="I16" s="7" t="str">
        <f t="shared" si="4"/>
        <v>Příspěvky ČSK</v>
      </c>
      <c r="J16" s="63" t="str">
        <f t="shared" si="5"/>
        <v>2018_Běžný provoz_Příspěvky ČSK</v>
      </c>
      <c r="K16" s="7" t="s">
        <v>400</v>
      </c>
      <c r="L16" s="197" t="s">
        <v>410</v>
      </c>
    </row>
    <row r="17">
      <c r="A17" s="192" t="s">
        <v>42</v>
      </c>
      <c r="B17" s="214">
        <v>0.0</v>
      </c>
      <c r="C17" s="14">
        <v>5200.0</v>
      </c>
      <c r="D17" s="14">
        <f>-SUMIFS('Rozpočet - průběžný stav'!K:K,'Rozpočet - průběžný stav'!A:A,J17)</f>
        <v>0</v>
      </c>
      <c r="E17" s="194">
        <f t="shared" si="6"/>
        <v>0</v>
      </c>
      <c r="G17" s="7">
        <v>2018.0</v>
      </c>
      <c r="H17" s="17" t="s">
        <v>32</v>
      </c>
      <c r="I17" s="7" t="str">
        <f t="shared" si="4"/>
        <v>Oddílová soutěž</v>
      </c>
      <c r="J17" s="63" t="str">
        <f t="shared" si="5"/>
        <v>2018_Běžný provoz_Oddílová soutěž</v>
      </c>
      <c r="K17" s="7" t="s">
        <v>400</v>
      </c>
      <c r="L17" s="216" t="s">
        <v>413</v>
      </c>
      <c r="M17" s="25">
        <v>1000.0</v>
      </c>
    </row>
    <row r="18">
      <c r="A18" s="192" t="s">
        <v>71</v>
      </c>
      <c r="B18" s="14">
        <v>2000.0</v>
      </c>
      <c r="C18" s="194"/>
      <c r="D18" s="14">
        <f>-SUMIFS('Rozpočet - průběžný stav'!K:K,'Rozpočet - průběžný stav'!A:A,J18)</f>
        <v>475</v>
      </c>
      <c r="E18" s="194">
        <f t="shared" si="6"/>
        <v>1525</v>
      </c>
      <c r="F18" s="7" t="s">
        <v>411</v>
      </c>
      <c r="G18" s="7">
        <v>2018.0</v>
      </c>
      <c r="H18" s="17" t="s">
        <v>32</v>
      </c>
      <c r="I18" s="7" t="str">
        <f t="shared" si="4"/>
        <v>Údržba vleků</v>
      </c>
      <c r="J18" s="63" t="str">
        <f t="shared" si="5"/>
        <v>2018_Běžný provoz_Údržba vleků</v>
      </c>
      <c r="K18" s="7" t="s">
        <v>400</v>
      </c>
      <c r="L18" s="216" t="s">
        <v>514</v>
      </c>
      <c r="M18" s="25">
        <v>800.0</v>
      </c>
    </row>
    <row r="19">
      <c r="A19" s="192" t="s">
        <v>148</v>
      </c>
      <c r="B19" s="14">
        <v>1000.0</v>
      </c>
      <c r="C19" s="194"/>
      <c r="D19" s="14">
        <f>-SUMIFS('Rozpočet - průběžný stav'!K:K,'Rozpočet - průběžný stav'!A:A,J19)</f>
        <v>0</v>
      </c>
      <c r="E19" s="194">
        <f t="shared" si="6"/>
        <v>1000</v>
      </c>
      <c r="G19" s="7">
        <v>2018.0</v>
      </c>
      <c r="H19" s="17" t="s">
        <v>32</v>
      </c>
      <c r="I19" s="7" t="str">
        <f t="shared" si="4"/>
        <v>Materiál</v>
      </c>
      <c r="J19" s="63" t="str">
        <f t="shared" si="5"/>
        <v>2018_Běžný provoz_Materiál</v>
      </c>
      <c r="K19" s="7" t="s">
        <v>400</v>
      </c>
      <c r="L19" s="216" t="s">
        <v>412</v>
      </c>
      <c r="M19" s="25">
        <v>600.0</v>
      </c>
    </row>
    <row r="20">
      <c r="A20" s="192" t="s">
        <v>165</v>
      </c>
      <c r="B20" s="14"/>
      <c r="C20" s="194"/>
      <c r="D20" s="14">
        <f>-SUMIFS('Rozpočet - průběžný stav'!K:K,'Rozpočet - průběžný stav'!A:A,J20)</f>
        <v>705</v>
      </c>
      <c r="E20" s="194">
        <f t="shared" si="6"/>
        <v>-705</v>
      </c>
      <c r="G20" s="7">
        <v>2018.0</v>
      </c>
      <c r="H20" s="17" t="s">
        <v>32</v>
      </c>
      <c r="I20" s="7" t="str">
        <f t="shared" si="4"/>
        <v>Výdaje ostatní</v>
      </c>
      <c r="J20" s="63" t="str">
        <f t="shared" si="5"/>
        <v>2018_Běžný provoz_Výdaje ostatní</v>
      </c>
      <c r="K20" s="7" t="s">
        <v>400</v>
      </c>
    </row>
    <row r="21">
      <c r="A21" s="192" t="s">
        <v>416</v>
      </c>
      <c r="B21" s="198">
        <f>SUM(B12:B20)</f>
        <v>57417</v>
      </c>
      <c r="C21" s="194"/>
      <c r="D21" s="198">
        <f>SUM(D12:D20)</f>
        <v>59488</v>
      </c>
      <c r="E21" s="199">
        <f t="shared" si="6"/>
        <v>-2071</v>
      </c>
      <c r="H21" s="17"/>
      <c r="J21" s="63"/>
    </row>
    <row r="22">
      <c r="A22" s="189" t="s">
        <v>417</v>
      </c>
      <c r="B22" s="199">
        <f>B10-B21</f>
        <v>1475</v>
      </c>
      <c r="C22" s="194"/>
      <c r="D22" s="199">
        <f>D10-D21</f>
        <v>8621</v>
      </c>
      <c r="E22" s="199">
        <f>D22-B22</f>
        <v>7146</v>
      </c>
      <c r="H22" s="17"/>
      <c r="J22" s="63"/>
    </row>
    <row r="23">
      <c r="A23" s="203"/>
      <c r="B23" s="194"/>
      <c r="C23" s="194"/>
      <c r="D23" s="194"/>
      <c r="E23" s="194"/>
    </row>
    <row r="24">
      <c r="A24" s="204" t="s">
        <v>418</v>
      </c>
      <c r="B24" s="204" t="s">
        <v>393</v>
      </c>
      <c r="C24" s="219" t="s">
        <v>540</v>
      </c>
      <c r="D24" s="204" t="s">
        <v>394</v>
      </c>
      <c r="E24" s="204" t="s">
        <v>395</v>
      </c>
      <c r="F24" s="206"/>
      <c r="G24" s="207" t="s">
        <v>14</v>
      </c>
      <c r="H24" s="207" t="s">
        <v>1</v>
      </c>
      <c r="I24" s="207" t="s">
        <v>2</v>
      </c>
      <c r="J24" s="207" t="s">
        <v>0</v>
      </c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</row>
    <row r="25">
      <c r="A25" s="204" t="s">
        <v>543</v>
      </c>
      <c r="B25" s="14"/>
      <c r="C25" s="194"/>
      <c r="D25" s="14"/>
      <c r="E25" s="194"/>
      <c r="H25" s="28"/>
      <c r="J25" s="206"/>
    </row>
    <row r="26">
      <c r="A26" s="208" t="s">
        <v>546</v>
      </c>
      <c r="B26" s="214"/>
      <c r="C26" s="194"/>
      <c r="D26" s="194"/>
      <c r="E26" s="194"/>
      <c r="G26" s="7">
        <v>2018.0</v>
      </c>
      <c r="H26" s="23" t="s">
        <v>37</v>
      </c>
      <c r="I26" s="24" t="s">
        <v>95</v>
      </c>
      <c r="J26" s="206" t="str">
        <f t="shared" ref="J26:J29" si="7">G26&amp;"_"&amp;H26&amp;"_"&amp;I26</f>
        <v>2018_Hamerák-akce_Hamerák finance</v>
      </c>
      <c r="K26" s="7" t="s">
        <v>400</v>
      </c>
    </row>
    <row r="27">
      <c r="A27" s="208" t="s">
        <v>122</v>
      </c>
      <c r="B27" s="14">
        <f>17000+5374-1100</f>
        <v>21274</v>
      </c>
      <c r="C27" s="194"/>
      <c r="D27" s="14">
        <f>SUMIFS('Rozpočet - průběžný stav'!K:K,'Rozpočet - průběžný stav'!A:A,J27)</f>
        <v>24816</v>
      </c>
      <c r="E27" s="194">
        <f t="shared" ref="E27:E30" si="8">D27-B27</f>
        <v>3542</v>
      </c>
      <c r="G27" s="7">
        <v>2018.0</v>
      </c>
      <c r="H27" s="28" t="s">
        <v>61</v>
      </c>
      <c r="I27" s="7" t="str">
        <f t="shared" ref="I27:I29" si="9">A27</f>
        <v>Příjmy dotace</v>
      </c>
      <c r="J27" s="206" t="str">
        <f t="shared" si="7"/>
        <v>2018_Podpora činnosti_Příjmy dotace</v>
      </c>
      <c r="K27" s="7" t="s">
        <v>400</v>
      </c>
    </row>
    <row r="28">
      <c r="A28" s="208" t="s">
        <v>181</v>
      </c>
      <c r="B28" s="14">
        <v>0.0</v>
      </c>
      <c r="C28" s="194"/>
      <c r="D28" s="14">
        <f>SUMIFS('Rozpočet - průběžný stav'!K:K,'Rozpočet - průběžný stav'!A:A,J28)</f>
        <v>2000</v>
      </c>
      <c r="E28" s="194">
        <f t="shared" si="8"/>
        <v>2000</v>
      </c>
      <c r="G28" s="7">
        <v>2018.0</v>
      </c>
      <c r="H28" s="28" t="s">
        <v>61</v>
      </c>
      <c r="I28" s="7" t="str">
        <f t="shared" si="9"/>
        <v>Příjmy dary</v>
      </c>
      <c r="J28" s="206" t="str">
        <f t="shared" si="7"/>
        <v>2018_Podpora činnosti_Příjmy dary</v>
      </c>
      <c r="K28" s="7"/>
    </row>
    <row r="29">
      <c r="A29" s="208" t="s">
        <v>140</v>
      </c>
      <c r="B29" s="14"/>
      <c r="C29" s="194"/>
      <c r="D29" s="14">
        <f>SUMIFS('Rozpočet - průběžný stav'!K:K,'Rozpočet - průběžný stav'!A:A,J29)</f>
        <v>250</v>
      </c>
      <c r="E29" s="194">
        <f t="shared" si="8"/>
        <v>250</v>
      </c>
      <c r="G29" s="7">
        <v>2018.0</v>
      </c>
      <c r="H29" s="28" t="s">
        <v>61</v>
      </c>
      <c r="I29" s="7" t="str">
        <f t="shared" si="9"/>
        <v>Příjmy ostatní</v>
      </c>
      <c r="J29" s="206" t="str">
        <f t="shared" si="7"/>
        <v>2018_Podpora činnosti_Příjmy ostatní</v>
      </c>
      <c r="K29" s="7" t="s">
        <v>400</v>
      </c>
    </row>
    <row r="30">
      <c r="A30" s="208" t="s">
        <v>420</v>
      </c>
      <c r="B30" s="198">
        <f>SUM(B25:B29)</f>
        <v>21274</v>
      </c>
      <c r="C30" s="194"/>
      <c r="D30" s="198">
        <f>SUM(D25:D29)</f>
        <v>27066</v>
      </c>
      <c r="E30" s="194">
        <f t="shared" si="8"/>
        <v>5792</v>
      </c>
      <c r="H30" s="28"/>
      <c r="J30" s="206"/>
      <c r="K30" s="7" t="s">
        <v>400</v>
      </c>
    </row>
    <row r="31">
      <c r="A31" s="204"/>
      <c r="B31" s="14"/>
      <c r="C31" s="194"/>
      <c r="D31" s="14"/>
      <c r="E31" s="194"/>
      <c r="H31" s="28"/>
      <c r="J31" s="206"/>
      <c r="K31" s="7" t="s">
        <v>400</v>
      </c>
    </row>
    <row r="32">
      <c r="A32" s="204" t="s">
        <v>544</v>
      </c>
      <c r="B32" s="14"/>
      <c r="C32" s="194"/>
      <c r="D32" s="14"/>
      <c r="E32" s="194"/>
      <c r="H32" s="28"/>
      <c r="J32" s="206"/>
      <c r="K32" s="7" t="s">
        <v>400</v>
      </c>
    </row>
    <row r="33">
      <c r="A33" s="208" t="s">
        <v>143</v>
      </c>
      <c r="B33" s="14">
        <v>10000.0</v>
      </c>
      <c r="C33" s="14">
        <v>10000.0</v>
      </c>
      <c r="D33" s="14">
        <f>-SUMIFS('Rozpočet - průběžný stav'!K:K,'Rozpočet - průběžný stav'!A:A,J33)-1200</f>
        <v>3700</v>
      </c>
      <c r="E33" s="194">
        <f t="shared" ref="E33:E43" si="10">B33-D33</f>
        <v>6300</v>
      </c>
      <c r="G33" s="7">
        <v>2018.0</v>
      </c>
      <c r="H33" s="28" t="s">
        <v>61</v>
      </c>
      <c r="I33" s="7" t="str">
        <f t="shared" ref="I33:I40" si="11">A33</f>
        <v>Podpora ČPV</v>
      </c>
      <c r="J33" s="206" t="str">
        <f t="shared" ref="J33:J42" si="12">G33&amp;"_"&amp;H33&amp;"_"&amp;I33</f>
        <v>2018_Podpora činnosti_Podpora ČPV</v>
      </c>
      <c r="K33" s="7" t="s">
        <v>400</v>
      </c>
    </row>
    <row r="34">
      <c r="A34" s="208" t="s">
        <v>470</v>
      </c>
      <c r="B34" s="214">
        <v>0.0</v>
      </c>
      <c r="C34" s="14">
        <v>1000.0</v>
      </c>
      <c r="D34" s="14">
        <f>-SUMIFS('Rozpočet - průběžný stav'!K:K,'Rozpočet - průběžný stav'!A:A,J34)</f>
        <v>0</v>
      </c>
      <c r="E34" s="194">
        <f t="shared" si="10"/>
        <v>0</v>
      </c>
      <c r="G34" s="7">
        <v>2018.0</v>
      </c>
      <c r="H34" s="28" t="s">
        <v>61</v>
      </c>
      <c r="I34" s="7" t="str">
        <f t="shared" si="11"/>
        <v>Podpora eskymáků</v>
      </c>
      <c r="J34" s="206" t="str">
        <f t="shared" si="12"/>
        <v>2018_Podpora činnosti_Podpora eskymáků</v>
      </c>
      <c r="K34" s="7" t="s">
        <v>400</v>
      </c>
    </row>
    <row r="35">
      <c r="A35" s="208" t="s">
        <v>471</v>
      </c>
      <c r="B35" s="214">
        <v>1500.0</v>
      </c>
      <c r="C35" s="14">
        <v>1500.0</v>
      </c>
      <c r="D35" s="14">
        <f>-SUMIFS('Rozpočet - průběžný stav'!K:K,'Rozpočet - průběžný stav'!A:A,J35)</f>
        <v>0</v>
      </c>
      <c r="E35" s="194">
        <f t="shared" si="10"/>
        <v>1500</v>
      </c>
      <c r="G35" s="7">
        <v>2018.0</v>
      </c>
      <c r="H35" s="28" t="s">
        <v>61</v>
      </c>
      <c r="I35" s="7" t="str">
        <f t="shared" si="11"/>
        <v>Podpora výcviku záchrany</v>
      </c>
      <c r="J35" s="206" t="str">
        <f t="shared" si="12"/>
        <v>2018_Podpora činnosti_Podpora výcviku záchrany</v>
      </c>
      <c r="K35" s="7" t="s">
        <v>400</v>
      </c>
    </row>
    <row r="36">
      <c r="A36" s="208" t="s">
        <v>153</v>
      </c>
      <c r="B36" s="14">
        <v>4000.0</v>
      </c>
      <c r="C36" s="14">
        <v>3000.0</v>
      </c>
      <c r="D36" s="14">
        <f>-SUMIFS('Rozpočet - průběžný stav'!K:K,'Rozpočet - průběžný stav'!A:A,J36)</f>
        <v>4000</v>
      </c>
      <c r="E36" s="194">
        <f t="shared" si="10"/>
        <v>0</v>
      </c>
      <c r="G36" s="7">
        <v>2018.0</v>
      </c>
      <c r="H36" s="28" t="s">
        <v>61</v>
      </c>
      <c r="I36" s="7" t="str">
        <f t="shared" si="11"/>
        <v>Podpora zahraniční zájezd</v>
      </c>
      <c r="J36" s="206" t="str">
        <f t="shared" si="12"/>
        <v>2018_Podpora činnosti_Podpora zahraniční zájezd</v>
      </c>
      <c r="K36" s="7" t="s">
        <v>400</v>
      </c>
    </row>
    <row r="37">
      <c r="A37" s="208" t="s">
        <v>64</v>
      </c>
      <c r="B37" s="14">
        <v>3000.0</v>
      </c>
      <c r="C37" s="14">
        <v>1500.0</v>
      </c>
      <c r="D37" s="14">
        <f>-SUMIFS('Rozpočet - průběžný stav'!K:K,'Rozpočet - průběžný stav'!A:A,J37)</f>
        <v>3000</v>
      </c>
      <c r="E37" s="194">
        <f t="shared" si="10"/>
        <v>0</v>
      </c>
      <c r="G37" s="7">
        <v>2018.0</v>
      </c>
      <c r="H37" s="28" t="s">
        <v>61</v>
      </c>
      <c r="I37" s="7" t="str">
        <f t="shared" si="11"/>
        <v>Oddílový den</v>
      </c>
      <c r="J37" s="206" t="str">
        <f t="shared" si="12"/>
        <v>2018_Podpora činnosti_Oddílový den</v>
      </c>
      <c r="K37" s="7" t="s">
        <v>400</v>
      </c>
    </row>
    <row r="38">
      <c r="A38" s="208" t="s">
        <v>103</v>
      </c>
      <c r="B38" s="14">
        <v>3000.0</v>
      </c>
      <c r="C38" s="14">
        <v>0.0</v>
      </c>
      <c r="D38" s="14">
        <f>-SUMIFS('Rozpočet - průběžný stav'!K:K,'Rozpočet - průběžný stav'!A:A,J38)</f>
        <v>2450</v>
      </c>
      <c r="E38" s="194">
        <f t="shared" si="10"/>
        <v>550</v>
      </c>
      <c r="G38" s="7">
        <v>2018.0</v>
      </c>
      <c r="H38" s="28" t="s">
        <v>61</v>
      </c>
      <c r="I38" s="7" t="str">
        <f t="shared" si="11"/>
        <v>Oddílové vánoce</v>
      </c>
      <c r="J38" s="206" t="str">
        <f t="shared" si="12"/>
        <v>2018_Podpora činnosti_Oddílové vánoce</v>
      </c>
      <c r="K38" s="7" t="s">
        <v>400</v>
      </c>
    </row>
    <row r="39">
      <c r="A39" s="208" t="s">
        <v>42</v>
      </c>
      <c r="B39" s="14">
        <v>4800.0</v>
      </c>
      <c r="C39" s="14">
        <v>0.0</v>
      </c>
      <c r="D39" s="14">
        <f>-SUMIFS('Rozpočet - průběžný stav'!K:K,'Rozpočet - průběžný stav'!A:A,J39)</f>
        <v>2999</v>
      </c>
      <c r="E39" s="194">
        <f t="shared" si="10"/>
        <v>1801</v>
      </c>
      <c r="G39" s="7">
        <v>2018.0</v>
      </c>
      <c r="H39" s="28" t="s">
        <v>61</v>
      </c>
      <c r="I39" s="7" t="str">
        <f t="shared" si="11"/>
        <v>Oddílová soutěž</v>
      </c>
      <c r="J39" s="206" t="str">
        <f t="shared" si="12"/>
        <v>2018_Podpora činnosti_Oddílová soutěž</v>
      </c>
      <c r="K39" s="7" t="s">
        <v>400</v>
      </c>
    </row>
    <row r="40">
      <c r="A40" s="208" t="s">
        <v>148</v>
      </c>
      <c r="B40" s="14">
        <v>1000.0</v>
      </c>
      <c r="C40" s="14">
        <v>0.0</v>
      </c>
      <c r="D40" s="14">
        <f>-SUMIFS('Rozpočet - průběžný stav'!K:K,'Rozpočet - průběžný stav'!A:A,J40)</f>
        <v>1048</v>
      </c>
      <c r="E40" s="194">
        <f t="shared" si="10"/>
        <v>-48</v>
      </c>
      <c r="G40" s="7">
        <v>2018.0</v>
      </c>
      <c r="H40" s="28" t="s">
        <v>61</v>
      </c>
      <c r="I40" s="7" t="str">
        <f t="shared" si="11"/>
        <v>Materiál</v>
      </c>
      <c r="J40" s="206" t="str">
        <f t="shared" si="12"/>
        <v>2018_Podpora činnosti_Materiál</v>
      </c>
      <c r="K40" s="7" t="s">
        <v>400</v>
      </c>
    </row>
    <row r="41">
      <c r="A41" s="208" t="s">
        <v>472</v>
      </c>
      <c r="B41" s="14">
        <v>3000.0</v>
      </c>
      <c r="C41" s="14">
        <v>0.0</v>
      </c>
      <c r="D41" s="14">
        <f>-SUMIFS('Rozpočet - průběžný stav'!K:K,'Rozpočet - průběžný stav'!A:A,J41)</f>
        <v>3000</v>
      </c>
      <c r="E41" s="194">
        <f t="shared" si="10"/>
        <v>0</v>
      </c>
      <c r="G41" s="7">
        <v>2018.0</v>
      </c>
      <c r="H41" s="23" t="s">
        <v>37</v>
      </c>
      <c r="I41" s="24" t="s">
        <v>136</v>
      </c>
      <c r="J41" s="206" t="str">
        <f t="shared" si="12"/>
        <v>2018_Hamerák-akce_Výbor večeře</v>
      </c>
      <c r="K41" s="7" t="s">
        <v>400</v>
      </c>
    </row>
    <row r="42">
      <c r="A42" s="208" t="s">
        <v>473</v>
      </c>
      <c r="B42" s="14"/>
      <c r="C42" s="194"/>
      <c r="D42" s="14">
        <f>-SUMIFS('Rozpočet - průběžný stav'!K:K,'Rozpočet - průběžný stav'!A:A,J42)</f>
        <v>3806</v>
      </c>
      <c r="E42" s="194">
        <f t="shared" si="10"/>
        <v>-3806</v>
      </c>
      <c r="G42" s="7">
        <v>2018.0</v>
      </c>
      <c r="H42" s="23" t="s">
        <v>37</v>
      </c>
      <c r="I42" s="24" t="s">
        <v>158</v>
      </c>
      <c r="J42" s="206" t="str">
        <f t="shared" si="12"/>
        <v>2018_Hamerák-akce_Náklady příprava</v>
      </c>
      <c r="K42" s="7" t="s">
        <v>400</v>
      </c>
    </row>
    <row r="43">
      <c r="A43" s="208" t="s">
        <v>423</v>
      </c>
      <c r="B43" s="210">
        <f>sum(B33:B42)</f>
        <v>30300</v>
      </c>
      <c r="C43" s="194">
        <f>SUM(C33:C41)</f>
        <v>17000</v>
      </c>
      <c r="D43" s="210">
        <f>sum(D33:D42)</f>
        <v>24003</v>
      </c>
      <c r="E43" s="199">
        <f t="shared" si="10"/>
        <v>6297</v>
      </c>
      <c r="H43" s="28"/>
      <c r="J43" s="206"/>
      <c r="K43" s="7" t="s">
        <v>400</v>
      </c>
    </row>
    <row r="44">
      <c r="A44" s="204" t="s">
        <v>424</v>
      </c>
      <c r="B44" s="199">
        <f>B30-B43</f>
        <v>-9026</v>
      </c>
      <c r="C44" s="194"/>
      <c r="D44" s="199">
        <f>D30-D43</f>
        <v>3063</v>
      </c>
      <c r="E44" s="199">
        <f>D44-B44</f>
        <v>12089</v>
      </c>
      <c r="H44" s="28"/>
      <c r="J44" s="206"/>
      <c r="K44" s="7" t="s">
        <v>400</v>
      </c>
    </row>
    <row r="45">
      <c r="A45" s="203"/>
      <c r="B45" s="194"/>
      <c r="C45" s="194"/>
      <c r="D45" s="194"/>
      <c r="E45" s="194"/>
      <c r="K45" s="7" t="s">
        <v>400</v>
      </c>
    </row>
    <row r="46">
      <c r="A46" s="203"/>
      <c r="B46" s="194"/>
      <c r="C46" s="194"/>
      <c r="D46" s="14">
        <f>-SUMIFS('Rozpočet - průběžný stav'!K:K,'Rozpočet - průběžný stav'!A:A,J46)</f>
        <v>0</v>
      </c>
      <c r="E46" s="194"/>
      <c r="G46" s="7">
        <v>2018.0</v>
      </c>
      <c r="H46" s="7" t="s">
        <v>27</v>
      </c>
      <c r="I46" s="7" t="s">
        <v>115</v>
      </c>
      <c r="J46" s="220" t="str">
        <f t="shared" ref="J46:J48" si="13">G46&amp;"_"&amp;H46&amp;"_"&amp;I46</f>
        <v>2018_Převody_Převod z 2017</v>
      </c>
      <c r="K46" s="7" t="s">
        <v>547</v>
      </c>
    </row>
    <row r="47">
      <c r="A47" s="203"/>
      <c r="B47" s="194"/>
      <c r="C47" s="194"/>
      <c r="D47" s="14">
        <f>-SUMIFS('Rozpočet - průběžný stav'!K:K,'Rozpočet - průběžný stav'!A:A,J47)</f>
        <v>0</v>
      </c>
      <c r="E47" s="194"/>
      <c r="G47" s="7">
        <v>2018.0</v>
      </c>
      <c r="H47" s="7" t="s">
        <v>27</v>
      </c>
      <c r="I47" s="7" t="s">
        <v>44</v>
      </c>
      <c r="J47" s="220" t="str">
        <f t="shared" si="13"/>
        <v>2018_Převody_převod</v>
      </c>
      <c r="K47" s="7" t="s">
        <v>547</v>
      </c>
    </row>
    <row r="48">
      <c r="A48" s="203"/>
      <c r="B48" s="194"/>
      <c r="C48" s="194"/>
      <c r="D48" s="14">
        <f>-SUMIFS('Rozpočet - průběžný stav'!K:K,'Rozpočet - průběžný stav'!A:A,J48)</f>
        <v>0</v>
      </c>
      <c r="E48" s="194"/>
      <c r="G48" s="7" t="s">
        <v>183</v>
      </c>
      <c r="H48" s="7" t="s">
        <v>27</v>
      </c>
      <c r="I48" s="7" t="s">
        <v>22</v>
      </c>
      <c r="J48" s="220" t="str">
        <f t="shared" si="13"/>
        <v>2018b_Převody_stav</v>
      </c>
      <c r="K48" s="7" t="s">
        <v>547</v>
      </c>
    </row>
    <row r="49">
      <c r="A49" s="203"/>
      <c r="B49" s="194"/>
      <c r="C49" s="194"/>
      <c r="D49" s="194"/>
      <c r="E49" s="194"/>
    </row>
    <row r="50">
      <c r="A50" s="203"/>
      <c r="B50" s="194"/>
      <c r="C50" s="194"/>
      <c r="D50" s="194"/>
      <c r="E50" s="194"/>
    </row>
    <row r="51">
      <c r="A51" s="203"/>
      <c r="B51" s="194"/>
      <c r="C51" s="194"/>
      <c r="D51" s="194"/>
      <c r="E51" s="194"/>
    </row>
    <row r="52">
      <c r="A52" s="203"/>
      <c r="B52" s="194"/>
      <c r="C52" s="194"/>
      <c r="D52" s="194"/>
      <c r="E52" s="194"/>
    </row>
    <row r="53">
      <c r="A53" s="189" t="s">
        <v>427</v>
      </c>
      <c r="B53" s="189" t="s">
        <v>393</v>
      </c>
      <c r="C53" s="215" t="s">
        <v>540</v>
      </c>
      <c r="D53" s="189" t="s">
        <v>394</v>
      </c>
      <c r="E53" s="189" t="s">
        <v>395</v>
      </c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</row>
    <row r="54">
      <c r="A54" s="187" t="s">
        <v>115</v>
      </c>
      <c r="B54" s="211">
        <f>B2</f>
        <v>121759</v>
      </c>
      <c r="C54" s="194"/>
      <c r="D54" s="194">
        <f>B54</f>
        <v>121759</v>
      </c>
      <c r="E54" s="194"/>
    </row>
    <row r="55">
      <c r="A55" s="185" t="s">
        <v>429</v>
      </c>
      <c r="B55" s="14">
        <f>B10</f>
        <v>58892</v>
      </c>
      <c r="C55" s="194"/>
      <c r="D55" s="14">
        <f>D10</f>
        <v>68109</v>
      </c>
      <c r="E55" s="194"/>
    </row>
    <row r="56">
      <c r="A56" s="185" t="s">
        <v>430</v>
      </c>
      <c r="B56" s="14">
        <f>B30</f>
        <v>21274</v>
      </c>
      <c r="C56" s="194"/>
      <c r="D56" s="14">
        <f>D30</f>
        <v>27066</v>
      </c>
      <c r="E56" s="194"/>
    </row>
    <row r="57">
      <c r="A57" s="187" t="s">
        <v>548</v>
      </c>
      <c r="B57" s="211">
        <f>B55+B56</f>
        <v>80166</v>
      </c>
      <c r="C57" s="194"/>
      <c r="D57" s="211">
        <f>D55+D56</f>
        <v>95175</v>
      </c>
      <c r="E57" s="194"/>
    </row>
    <row r="58">
      <c r="A58" s="185" t="s">
        <v>432</v>
      </c>
      <c r="B58" s="14">
        <f>B21</f>
        <v>57417</v>
      </c>
      <c r="C58" s="194"/>
      <c r="D58" s="14">
        <f>D21</f>
        <v>59488</v>
      </c>
      <c r="E58" s="194"/>
    </row>
    <row r="59">
      <c r="A59" s="185" t="s">
        <v>433</v>
      </c>
      <c r="B59" s="14">
        <f>B43</f>
        <v>30300</v>
      </c>
      <c r="C59" s="194"/>
      <c r="D59" s="14">
        <f>D43</f>
        <v>24003</v>
      </c>
      <c r="E59" s="194"/>
    </row>
    <row r="60">
      <c r="A60" s="187" t="s">
        <v>549</v>
      </c>
      <c r="B60" s="211">
        <f>B58+B59</f>
        <v>87717</v>
      </c>
      <c r="C60" s="194"/>
      <c r="D60" s="211">
        <f>D58+D59</f>
        <v>83491</v>
      </c>
      <c r="E60" s="194"/>
    </row>
    <row r="61">
      <c r="A61" s="185" t="s">
        <v>417</v>
      </c>
      <c r="B61" s="194">
        <f t="shared" ref="B61:B63" si="14">B55-B58</f>
        <v>1475</v>
      </c>
      <c r="C61" s="14"/>
      <c r="D61" s="194">
        <f t="shared" ref="D61:D63" si="15">D55-D58</f>
        <v>8621</v>
      </c>
      <c r="E61" s="194"/>
      <c r="F61" s="14" t="s">
        <v>436</v>
      </c>
    </row>
    <row r="62">
      <c r="A62" s="185" t="s">
        <v>424</v>
      </c>
      <c r="B62" s="194">
        <f t="shared" si="14"/>
        <v>-9026</v>
      </c>
      <c r="C62" s="14"/>
      <c r="D62" s="194">
        <f t="shared" si="15"/>
        <v>3063</v>
      </c>
      <c r="E62" s="194"/>
      <c r="F62" s="14" t="s">
        <v>534</v>
      </c>
    </row>
    <row r="63">
      <c r="A63" s="187" t="s">
        <v>550</v>
      </c>
      <c r="B63" s="199">
        <f t="shared" si="14"/>
        <v>-7551</v>
      </c>
      <c r="C63" s="194"/>
      <c r="D63" s="199">
        <f t="shared" si="15"/>
        <v>11684</v>
      </c>
      <c r="E63" s="194"/>
    </row>
    <row r="64">
      <c r="A64" s="187" t="s">
        <v>551</v>
      </c>
      <c r="B64" s="211">
        <f>B54+B57-B60</f>
        <v>114208</v>
      </c>
      <c r="C64" s="194"/>
      <c r="D64" s="211">
        <f>D54+D57-D60</f>
        <v>133443</v>
      </c>
      <c r="E64" s="194"/>
    </row>
    <row r="65">
      <c r="B65" s="194"/>
      <c r="C65" s="194"/>
      <c r="D65" s="194"/>
      <c r="E65" s="194"/>
    </row>
    <row r="67">
      <c r="A67" s="189" t="s">
        <v>444</v>
      </c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</row>
    <row r="68">
      <c r="A68" s="7" t="s">
        <v>445</v>
      </c>
      <c r="D68" s="7" t="s">
        <v>537</v>
      </c>
    </row>
    <row r="69">
      <c r="A69" s="7" t="s">
        <v>447</v>
      </c>
      <c r="B69" s="194">
        <v>80000.0</v>
      </c>
    </row>
    <row r="70">
      <c r="A70" s="7" t="s">
        <v>448</v>
      </c>
      <c r="B70" s="194">
        <f>B59</f>
        <v>30300</v>
      </c>
    </row>
    <row r="71">
      <c r="A71" s="7" t="s">
        <v>551</v>
      </c>
      <c r="B71" s="194">
        <f>B64</f>
        <v>114208</v>
      </c>
      <c r="D71" s="7" t="s">
        <v>552</v>
      </c>
    </row>
    <row r="72">
      <c r="A72" s="7" t="s">
        <v>451</v>
      </c>
      <c r="B72" s="194">
        <f t="shared" ref="B72:B74" si="16">B71-B$70</f>
        <v>83908</v>
      </c>
      <c r="D72" s="7" t="s">
        <v>538</v>
      </c>
    </row>
    <row r="73">
      <c r="A73" s="7" t="s">
        <v>453</v>
      </c>
      <c r="B73" s="194">
        <f t="shared" si="16"/>
        <v>53608</v>
      </c>
      <c r="D73" s="7" t="s">
        <v>522</v>
      </c>
    </row>
    <row r="74">
      <c r="A74" s="7" t="s">
        <v>455</v>
      </c>
      <c r="B74" s="194">
        <f t="shared" si="16"/>
        <v>23308</v>
      </c>
      <c r="D74" s="7" t="s">
        <v>504</v>
      </c>
    </row>
    <row r="75">
      <c r="A75" s="7" t="s">
        <v>457</v>
      </c>
      <c r="B75" s="183">
        <f>1+(B71-B69)/B70</f>
        <v>2.128976898</v>
      </c>
    </row>
  </sheetData>
  <conditionalFormatting sqref="E6:E23 B22 D22 E25:E46 B44 D44 C58 B61:B63 D61:D63">
    <cfRule type="cellIs" dxfId="1" priority="1" operator="greaterThan">
      <formula>0</formula>
    </cfRule>
  </conditionalFormatting>
  <conditionalFormatting sqref="E6:E23 B22 D22 E25:E46 B44 D44 C58 B61:B63 D61:D63">
    <cfRule type="cellIs" dxfId="2" priority="2" operator="lessThan">
      <formula>0</formula>
    </cfRule>
  </conditionalFormatting>
  <conditionalFormatting sqref="B75">
    <cfRule type="colorScale" priority="3">
      <colorScale>
        <cfvo type="formula" val="0"/>
        <cfvo type="formula" val="1"/>
        <cfvo type="formula" val="2"/>
        <color rgb="FFFF0000"/>
        <color rgb="FFFFFF00"/>
        <color rgb="FF00FF00"/>
      </colorScale>
    </cfRule>
  </conditionalFormatting>
  <conditionalFormatting sqref="B71:B74">
    <cfRule type="cellIs" dxfId="2" priority="4" operator="lessThan">
      <formula>B$69</formula>
    </cfRule>
  </conditionalFormatting>
  <conditionalFormatting sqref="B71:B74">
    <cfRule type="cellIs" dxfId="1" priority="5" operator="greaterThanOrEqual">
      <formula>B$69</formula>
    </cfRule>
  </conditionalFormatting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3" width="15.0"/>
  </cols>
  <sheetData>
    <row r="1">
      <c r="A1" s="213" t="s">
        <v>553</v>
      </c>
      <c r="B1" s="62"/>
      <c r="C1" s="184" t="s">
        <v>393</v>
      </c>
      <c r="E1" s="184" t="s">
        <v>394</v>
      </c>
      <c r="F1" s="184" t="s">
        <v>395</v>
      </c>
    </row>
    <row r="2">
      <c r="B2" s="62"/>
      <c r="K2" s="7">
        <v>2016.0</v>
      </c>
    </row>
    <row r="3">
      <c r="A3" s="187" t="s">
        <v>554</v>
      </c>
      <c r="B3" s="221"/>
      <c r="E3" s="7" t="s">
        <v>555</v>
      </c>
      <c r="F3" s="7" t="s">
        <v>399</v>
      </c>
      <c r="K3" s="7" t="s">
        <v>556</v>
      </c>
    </row>
    <row r="4">
      <c r="A4" s="185" t="s">
        <v>34</v>
      </c>
      <c r="B4" s="222" t="s">
        <v>557</v>
      </c>
      <c r="C4" s="14">
        <v>44800.0</v>
      </c>
      <c r="D4" s="194"/>
      <c r="E4" s="223">
        <f>58550</f>
        <v>58550</v>
      </c>
      <c r="F4" s="194"/>
      <c r="K4" s="7" t="s">
        <v>558</v>
      </c>
    </row>
    <row r="5">
      <c r="A5" s="185" t="s">
        <v>528</v>
      </c>
      <c r="B5" s="222" t="s">
        <v>559</v>
      </c>
      <c r="C5" s="14">
        <v>16100.0</v>
      </c>
      <c r="D5" s="194">
        <f>SUM(C4:C5)</f>
        <v>60900</v>
      </c>
      <c r="E5" s="194"/>
      <c r="F5" s="194"/>
      <c r="K5" s="7" t="s">
        <v>560</v>
      </c>
    </row>
    <row r="6">
      <c r="A6" s="185" t="s">
        <v>561</v>
      </c>
      <c r="B6" s="222" t="s">
        <v>562</v>
      </c>
      <c r="C6" s="14">
        <v>3792.0</v>
      </c>
      <c r="D6" s="194">
        <f>C6</f>
        <v>3792</v>
      </c>
      <c r="E6" s="223">
        <v>11160.0</v>
      </c>
      <c r="F6" s="194"/>
      <c r="K6" s="25" t="s">
        <v>563</v>
      </c>
    </row>
    <row r="7">
      <c r="A7" s="185" t="s">
        <v>564</v>
      </c>
      <c r="B7" s="222" t="s">
        <v>565</v>
      </c>
      <c r="C7" s="14">
        <v>19892.0</v>
      </c>
      <c r="D7" s="194"/>
      <c r="E7" s="194"/>
      <c r="F7" s="194"/>
      <c r="K7" s="7" t="s">
        <v>566</v>
      </c>
    </row>
    <row r="8">
      <c r="A8" s="185" t="s">
        <v>567</v>
      </c>
      <c r="B8" s="222" t="s">
        <v>568</v>
      </c>
      <c r="C8" s="198">
        <v>64692.0</v>
      </c>
      <c r="D8" s="194">
        <f>D5+D6</f>
        <v>64692</v>
      </c>
      <c r="E8" s="198">
        <f>SUM(E4:E7)</f>
        <v>69710</v>
      </c>
      <c r="F8" s="194">
        <f>E8-C8</f>
        <v>5018</v>
      </c>
      <c r="K8" s="7" t="s">
        <v>569</v>
      </c>
    </row>
    <row r="9">
      <c r="A9" s="185" t="s">
        <v>570</v>
      </c>
      <c r="B9" s="222"/>
      <c r="C9" s="14"/>
      <c r="D9" s="194"/>
      <c r="E9" s="223">
        <v>2000.0</v>
      </c>
      <c r="F9" s="194"/>
      <c r="K9" s="7"/>
    </row>
    <row r="10">
      <c r="A10" s="185" t="s">
        <v>571</v>
      </c>
      <c r="B10" s="222"/>
      <c r="C10" s="14"/>
      <c r="D10" s="194"/>
      <c r="E10" s="223">
        <v>8451.0</v>
      </c>
      <c r="F10" s="194"/>
      <c r="K10" s="7"/>
    </row>
    <row r="11">
      <c r="A11" s="185" t="s">
        <v>572</v>
      </c>
      <c r="B11" s="222"/>
      <c r="C11" s="14"/>
      <c r="D11" s="194"/>
      <c r="E11" s="198">
        <f>SUM(E8:E10)</f>
        <v>80161</v>
      </c>
      <c r="F11" s="194"/>
      <c r="K11" s="7"/>
    </row>
    <row r="12">
      <c r="A12" s="185" t="s">
        <v>573</v>
      </c>
      <c r="B12" s="222" t="s">
        <v>574</v>
      </c>
      <c r="C12" s="14">
        <v>90927.0</v>
      </c>
      <c r="D12" s="194">
        <f>C12</f>
        <v>90927</v>
      </c>
      <c r="E12" s="223">
        <v>99427.0</v>
      </c>
      <c r="F12" s="194"/>
      <c r="K12" s="7" t="s">
        <v>575</v>
      </c>
    </row>
    <row r="13">
      <c r="A13" s="185" t="s">
        <v>572</v>
      </c>
      <c r="B13" s="222" t="s">
        <v>576</v>
      </c>
      <c r="C13" s="14">
        <v>151827.0</v>
      </c>
      <c r="D13" s="194">
        <f>SUM(D8:D12)</f>
        <v>155619</v>
      </c>
      <c r="E13" s="194">
        <f>SUM(E11:E12)</f>
        <v>179588</v>
      </c>
      <c r="F13" s="194">
        <f>E13-C13</f>
        <v>27761</v>
      </c>
      <c r="K13" s="25" t="s">
        <v>577</v>
      </c>
    </row>
    <row r="14">
      <c r="A14" s="203"/>
      <c r="B14" s="221"/>
      <c r="C14" s="194"/>
      <c r="D14" s="194"/>
      <c r="E14" s="194"/>
      <c r="F14" s="194"/>
      <c r="K14" s="25" t="s">
        <v>578</v>
      </c>
    </row>
    <row r="15">
      <c r="A15" s="187" t="s">
        <v>579</v>
      </c>
      <c r="B15" s="221"/>
      <c r="C15" s="194"/>
      <c r="D15" s="14" t="s">
        <v>580</v>
      </c>
      <c r="E15" s="194"/>
      <c r="F15" s="194"/>
      <c r="K15" s="25" t="s">
        <v>581</v>
      </c>
    </row>
    <row r="16">
      <c r="A16" s="185" t="s">
        <v>582</v>
      </c>
      <c r="B16" s="222" t="s">
        <v>583</v>
      </c>
      <c r="C16" s="202">
        <v>17235.0</v>
      </c>
      <c r="D16" s="202">
        <f t="shared" ref="D16:D17" si="1">C16/4</f>
        <v>4308.75</v>
      </c>
      <c r="E16" s="223">
        <f>62224+768</f>
        <v>62992</v>
      </c>
      <c r="F16" s="202">
        <f t="shared" ref="F16:F17" si="2">C16-E16</f>
        <v>-45757</v>
      </c>
      <c r="K16" s="7" t="s">
        <v>584</v>
      </c>
    </row>
    <row r="17">
      <c r="A17" s="185" t="s">
        <v>407</v>
      </c>
      <c r="B17" s="222" t="s">
        <v>585</v>
      </c>
      <c r="C17" s="202">
        <v>35370.0</v>
      </c>
      <c r="D17" s="202">
        <f t="shared" si="1"/>
        <v>8842.5</v>
      </c>
      <c r="E17" s="202"/>
      <c r="F17" s="202">
        <f t="shared" si="2"/>
        <v>35370</v>
      </c>
      <c r="K17" s="7" t="s">
        <v>586</v>
      </c>
    </row>
    <row r="18">
      <c r="A18" s="185" t="s">
        <v>495</v>
      </c>
      <c r="B18" s="222"/>
      <c r="C18" s="14"/>
      <c r="D18" s="14"/>
      <c r="E18" s="223"/>
      <c r="F18" s="194"/>
    </row>
    <row r="19">
      <c r="A19" s="185" t="s">
        <v>587</v>
      </c>
      <c r="B19" s="222" t="s">
        <v>588</v>
      </c>
      <c r="C19" s="14">
        <v>52605.0</v>
      </c>
      <c r="D19" s="14">
        <f>C19/4</f>
        <v>13151.25</v>
      </c>
      <c r="E19" s="224">
        <f>E16+E17+E18</f>
        <v>62992</v>
      </c>
      <c r="F19" s="194">
        <f t="shared" ref="F19:F22" si="3">C19-E19</f>
        <v>-10387</v>
      </c>
      <c r="G19" s="7"/>
    </row>
    <row r="20">
      <c r="A20" s="185" t="s">
        <v>42</v>
      </c>
      <c r="B20" s="222" t="s">
        <v>589</v>
      </c>
      <c r="C20" s="14">
        <v>5200.0</v>
      </c>
      <c r="D20" s="194"/>
      <c r="E20" s="223">
        <v>4200.0</v>
      </c>
      <c r="F20" s="194">
        <f t="shared" si="3"/>
        <v>1000</v>
      </c>
      <c r="G20" s="7"/>
    </row>
    <row r="21">
      <c r="A21" s="185" t="s">
        <v>71</v>
      </c>
      <c r="B21" s="222" t="s">
        <v>590</v>
      </c>
      <c r="C21" s="14">
        <v>2000.0</v>
      </c>
      <c r="D21" s="194"/>
      <c r="E21" s="223">
        <v>1130.0</v>
      </c>
      <c r="F21" s="194">
        <f t="shared" si="3"/>
        <v>870</v>
      </c>
    </row>
    <row r="22">
      <c r="A22" s="185" t="s">
        <v>591</v>
      </c>
      <c r="B22" s="225">
        <v>500.0</v>
      </c>
      <c r="C22" s="14">
        <v>500.0</v>
      </c>
      <c r="D22" s="194"/>
      <c r="E22" s="223">
        <v>0.0</v>
      </c>
      <c r="F22" s="194">
        <f t="shared" si="3"/>
        <v>500</v>
      </c>
    </row>
    <row r="23">
      <c r="A23" s="185" t="s">
        <v>33</v>
      </c>
      <c r="B23" s="222"/>
      <c r="C23" s="198"/>
      <c r="D23" s="194"/>
      <c r="E23" s="223">
        <f>1420-1420</f>
        <v>0</v>
      </c>
      <c r="F23" s="194"/>
    </row>
    <row r="24">
      <c r="A24" s="185" t="s">
        <v>592</v>
      </c>
      <c r="B24" s="222" t="s">
        <v>593</v>
      </c>
      <c r="C24" s="198">
        <v>60305.0</v>
      </c>
      <c r="D24" s="194"/>
      <c r="E24" s="224">
        <f>SUM(E19:E23)</f>
        <v>68322</v>
      </c>
      <c r="F24" s="194">
        <f>C24-E24</f>
        <v>-8017</v>
      </c>
    </row>
    <row r="25">
      <c r="A25" s="203"/>
      <c r="B25" s="221"/>
      <c r="C25" s="194"/>
      <c r="D25" s="194"/>
      <c r="E25" s="194"/>
      <c r="F25" s="194"/>
    </row>
    <row r="26">
      <c r="A26" s="185" t="s">
        <v>143</v>
      </c>
      <c r="B26" s="222" t="s">
        <v>594</v>
      </c>
      <c r="C26" s="14">
        <v>10000.0</v>
      </c>
      <c r="D26" s="194"/>
      <c r="E26" s="223">
        <v>4000.0</v>
      </c>
      <c r="F26" s="194">
        <f t="shared" ref="F26:F34" si="4">C26-E26</f>
        <v>6000</v>
      </c>
    </row>
    <row r="27">
      <c r="A27" s="185" t="s">
        <v>470</v>
      </c>
      <c r="B27" s="222" t="s">
        <v>595</v>
      </c>
      <c r="C27" s="14">
        <v>1000.0</v>
      </c>
      <c r="D27" s="194"/>
      <c r="E27" s="223">
        <v>1000.0</v>
      </c>
      <c r="F27" s="194">
        <f t="shared" si="4"/>
        <v>0</v>
      </c>
    </row>
    <row r="28">
      <c r="A28" s="185" t="s">
        <v>471</v>
      </c>
      <c r="B28" s="222" t="s">
        <v>596</v>
      </c>
      <c r="C28" s="14">
        <v>1500.0</v>
      </c>
      <c r="D28" s="194"/>
      <c r="E28" s="223">
        <v>1500.0</v>
      </c>
      <c r="F28" s="194">
        <f t="shared" si="4"/>
        <v>0</v>
      </c>
    </row>
    <row r="29">
      <c r="A29" s="185" t="s">
        <v>153</v>
      </c>
      <c r="B29" s="222" t="s">
        <v>597</v>
      </c>
      <c r="C29" s="14">
        <v>3000.0</v>
      </c>
      <c r="D29" s="194"/>
      <c r="E29" s="223">
        <v>3000.0</v>
      </c>
      <c r="F29" s="194">
        <f t="shared" si="4"/>
        <v>0</v>
      </c>
    </row>
    <row r="30">
      <c r="A30" s="185" t="s">
        <v>598</v>
      </c>
      <c r="B30" s="222"/>
      <c r="C30" s="14"/>
      <c r="D30" s="194"/>
      <c r="E30" s="223">
        <v>5000.0</v>
      </c>
      <c r="F30" s="194">
        <f t="shared" si="4"/>
        <v>-5000</v>
      </c>
    </row>
    <row r="31">
      <c r="A31" s="185" t="s">
        <v>64</v>
      </c>
      <c r="B31" s="222" t="s">
        <v>596</v>
      </c>
      <c r="C31" s="14">
        <v>1500.0</v>
      </c>
      <c r="D31" s="194"/>
      <c r="E31" s="223">
        <v>2000.0</v>
      </c>
      <c r="F31" s="194">
        <f t="shared" si="4"/>
        <v>-500</v>
      </c>
    </row>
    <row r="32">
      <c r="A32" s="185" t="s">
        <v>103</v>
      </c>
      <c r="B32" s="222"/>
      <c r="C32" s="14"/>
      <c r="D32" s="194"/>
      <c r="E32" s="223">
        <v>3440.0</v>
      </c>
      <c r="F32" s="194">
        <f t="shared" si="4"/>
        <v>-3440</v>
      </c>
    </row>
    <row r="33">
      <c r="A33" s="185" t="s">
        <v>108</v>
      </c>
      <c r="B33" s="222"/>
      <c r="C33" s="14"/>
      <c r="D33" s="194"/>
      <c r="E33" s="223">
        <v>8988.0</v>
      </c>
      <c r="F33" s="194">
        <f t="shared" si="4"/>
        <v>-8988</v>
      </c>
    </row>
    <row r="34">
      <c r="A34" s="185" t="s">
        <v>599</v>
      </c>
      <c r="B34" s="222" t="s">
        <v>600</v>
      </c>
      <c r="C34" s="226">
        <f>sum(C26:C33)</f>
        <v>17000</v>
      </c>
      <c r="D34" s="194"/>
      <c r="E34" s="226">
        <f>sum(E26:E33)</f>
        <v>28928</v>
      </c>
      <c r="F34" s="194">
        <f t="shared" si="4"/>
        <v>-11928</v>
      </c>
    </row>
    <row r="35">
      <c r="A35" s="203"/>
      <c r="B35" s="221"/>
      <c r="C35" s="194"/>
      <c r="D35" s="194"/>
      <c r="E35" s="194"/>
      <c r="F35" s="194"/>
    </row>
    <row r="36">
      <c r="A36" s="185" t="s">
        <v>601</v>
      </c>
      <c r="B36" s="222" t="s">
        <v>602</v>
      </c>
      <c r="C36" s="198">
        <v>75805.0</v>
      </c>
      <c r="D36" s="194"/>
      <c r="E36" s="198">
        <f>E34+E24</f>
        <v>97250</v>
      </c>
      <c r="F36" s="194">
        <f>C36-E36</f>
        <v>-21445</v>
      </c>
    </row>
    <row r="37">
      <c r="A37" s="203"/>
      <c r="B37" s="221"/>
      <c r="C37" s="194"/>
      <c r="D37" s="194"/>
      <c r="E37" s="194"/>
      <c r="F37" s="194"/>
    </row>
    <row r="38">
      <c r="A38" s="185" t="s">
        <v>603</v>
      </c>
      <c r="B38" s="222" t="s">
        <v>604</v>
      </c>
      <c r="C38" s="14">
        <v>76022.0</v>
      </c>
      <c r="D38" s="194"/>
      <c r="E38" s="194"/>
      <c r="F38" s="194"/>
    </row>
    <row r="39">
      <c r="A39" s="203"/>
      <c r="B39" s="221"/>
      <c r="C39" s="194"/>
      <c r="D39" s="194"/>
      <c r="E39" s="194"/>
      <c r="F39" s="194"/>
    </row>
    <row r="40">
      <c r="A40" s="189" t="s">
        <v>427</v>
      </c>
      <c r="B40" s="227"/>
      <c r="C40" s="228"/>
      <c r="D40" s="228"/>
      <c r="E40" s="228"/>
      <c r="F40" s="228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</row>
    <row r="41">
      <c r="A41" s="187" t="s">
        <v>605</v>
      </c>
      <c r="B41" s="229" t="s">
        <v>576</v>
      </c>
      <c r="C41" s="14">
        <f>C8</f>
        <v>64692</v>
      </c>
      <c r="D41" s="194"/>
      <c r="E41" s="211">
        <f t="shared" ref="E41:E42" si="5">E11</f>
        <v>80161</v>
      </c>
      <c r="F41" s="194"/>
    </row>
    <row r="42">
      <c r="A42" s="187" t="s">
        <v>28</v>
      </c>
      <c r="B42" s="229"/>
      <c r="C42" s="14">
        <f>C12</f>
        <v>90927</v>
      </c>
      <c r="D42" s="194"/>
      <c r="E42" s="194">
        <f t="shared" si="5"/>
        <v>99427</v>
      </c>
      <c r="F42" s="194"/>
    </row>
    <row r="43">
      <c r="A43" s="187" t="s">
        <v>606</v>
      </c>
      <c r="B43" s="229" t="s">
        <v>602</v>
      </c>
      <c r="C43" s="14">
        <v>75805.0</v>
      </c>
      <c r="D43" s="194"/>
      <c r="E43" s="199">
        <f>E36</f>
        <v>97250</v>
      </c>
      <c r="F43" s="194">
        <f>E41-E43</f>
        <v>-17089</v>
      </c>
      <c r="G43" s="7" t="s">
        <v>607</v>
      </c>
    </row>
    <row r="44">
      <c r="A44" s="187" t="s">
        <v>608</v>
      </c>
      <c r="B44" s="229"/>
      <c r="C44" s="14"/>
      <c r="D44" s="194"/>
      <c r="E44" s="199">
        <f>E24</f>
        <v>68322</v>
      </c>
      <c r="F44" s="194">
        <f>E41-E44</f>
        <v>11839</v>
      </c>
      <c r="G44" s="7" t="s">
        <v>609</v>
      </c>
    </row>
    <row r="45">
      <c r="A45" s="187" t="s">
        <v>610</v>
      </c>
      <c r="B45" s="229" t="s">
        <v>604</v>
      </c>
      <c r="C45" s="14">
        <v>76022.0</v>
      </c>
      <c r="D45" s="194"/>
      <c r="E45" s="194"/>
      <c r="F45" s="194"/>
    </row>
    <row r="46">
      <c r="B46" s="62"/>
      <c r="C46" s="194"/>
      <c r="D46" s="194"/>
      <c r="E46" s="194"/>
      <c r="F46" s="194"/>
    </row>
    <row r="47">
      <c r="A47" s="189" t="s">
        <v>611</v>
      </c>
      <c r="B47" s="227"/>
      <c r="C47" s="228"/>
      <c r="D47" s="228"/>
      <c r="E47" s="228"/>
      <c r="F47" s="228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</row>
    <row r="48">
      <c r="A48" s="187" t="s">
        <v>28</v>
      </c>
      <c r="B48" s="229"/>
      <c r="C48" s="14" t="str">
        <f>C18</f>
        <v/>
      </c>
      <c r="D48" s="194"/>
      <c r="E48" s="199">
        <f>E12</f>
        <v>99427</v>
      </c>
      <c r="F48" s="194"/>
    </row>
    <row r="49">
      <c r="A49" s="185" t="s">
        <v>612</v>
      </c>
      <c r="B49" s="62"/>
      <c r="C49" s="194"/>
      <c r="D49" s="194"/>
      <c r="E49" s="194">
        <f>E8</f>
        <v>69710</v>
      </c>
      <c r="F49" s="194"/>
    </row>
    <row r="50">
      <c r="A50" s="185" t="s">
        <v>613</v>
      </c>
      <c r="B50" s="62"/>
      <c r="C50" s="194"/>
      <c r="D50" s="194"/>
      <c r="E50" s="214">
        <f>E9+E10</f>
        <v>10451</v>
      </c>
      <c r="F50" s="194"/>
    </row>
    <row r="51">
      <c r="A51" s="185" t="s">
        <v>614</v>
      </c>
      <c r="B51" s="62"/>
      <c r="C51" s="194"/>
      <c r="D51" s="194"/>
      <c r="E51" s="214">
        <v>39421.0</v>
      </c>
      <c r="F51" s="194"/>
    </row>
    <row r="52">
      <c r="A52" s="187" t="s">
        <v>615</v>
      </c>
      <c r="B52" s="62"/>
      <c r="E52" s="199">
        <f>E49+E50+E51</f>
        <v>119582</v>
      </c>
      <c r="F52" s="7"/>
    </row>
    <row r="53">
      <c r="A53" s="185" t="s">
        <v>432</v>
      </c>
      <c r="B53" s="62"/>
      <c r="E53" s="194">
        <f>E24</f>
        <v>68322</v>
      </c>
      <c r="F53" s="7"/>
    </row>
    <row r="54">
      <c r="A54" s="185" t="s">
        <v>433</v>
      </c>
      <c r="B54" s="62"/>
      <c r="E54" s="194">
        <f>E34</f>
        <v>28928</v>
      </c>
      <c r="F54" s="7"/>
    </row>
    <row r="55">
      <c r="A55" s="187" t="s">
        <v>616</v>
      </c>
      <c r="B55" s="62"/>
      <c r="E55" s="199">
        <f>E53+E54</f>
        <v>97250</v>
      </c>
      <c r="F55" s="7"/>
    </row>
    <row r="56">
      <c r="A56" s="185" t="s">
        <v>417</v>
      </c>
      <c r="B56" s="62"/>
      <c r="E56" s="194">
        <f>E49-E53</f>
        <v>1388</v>
      </c>
      <c r="F56" s="14" t="s">
        <v>436</v>
      </c>
    </row>
    <row r="57">
      <c r="A57" s="185" t="s">
        <v>424</v>
      </c>
      <c r="B57" s="62"/>
      <c r="E57" s="194">
        <f>E50+E51-E54</f>
        <v>20944</v>
      </c>
      <c r="F57" s="14" t="s">
        <v>534</v>
      </c>
    </row>
    <row r="58">
      <c r="A58" s="187" t="s">
        <v>617</v>
      </c>
      <c r="B58" s="62"/>
      <c r="E58" s="199">
        <f>E52-E55</f>
        <v>22332</v>
      </c>
      <c r="F58" s="7"/>
    </row>
    <row r="59">
      <c r="A59" s="187" t="s">
        <v>112</v>
      </c>
      <c r="B59" s="62"/>
      <c r="E59" s="199">
        <f>E48+E52-E55</f>
        <v>121759</v>
      </c>
      <c r="F59" s="7"/>
    </row>
    <row r="60">
      <c r="B60" s="62"/>
      <c r="F60" s="7"/>
    </row>
    <row r="61">
      <c r="B61" s="62"/>
      <c r="F61" s="7"/>
    </row>
    <row r="62">
      <c r="B62" s="62"/>
      <c r="C62" s="7" t="s">
        <v>393</v>
      </c>
      <c r="E62" s="7" t="s">
        <v>618</v>
      </c>
    </row>
    <row r="63">
      <c r="B63" s="62"/>
      <c r="F63" s="7" t="s">
        <v>619</v>
      </c>
    </row>
    <row r="64">
      <c r="B64" s="62"/>
    </row>
    <row r="65">
      <c r="B65" s="62"/>
    </row>
    <row r="66">
      <c r="B66" s="62"/>
    </row>
    <row r="67">
      <c r="B67" s="62"/>
    </row>
    <row r="68">
      <c r="B68" s="62"/>
    </row>
    <row r="69">
      <c r="B69" s="62"/>
    </row>
    <row r="70">
      <c r="B70" s="62"/>
    </row>
    <row r="71">
      <c r="B71" s="62"/>
    </row>
    <row r="72">
      <c r="B72" s="62"/>
    </row>
    <row r="73">
      <c r="B73" s="62"/>
    </row>
    <row r="74">
      <c r="B74" s="62"/>
    </row>
    <row r="75">
      <c r="B75" s="62"/>
    </row>
    <row r="76">
      <c r="B76" s="62"/>
    </row>
    <row r="77">
      <c r="B77" s="62"/>
    </row>
    <row r="78">
      <c r="B78" s="62"/>
    </row>
    <row r="79">
      <c r="B79" s="62"/>
    </row>
    <row r="80">
      <c r="B80" s="62"/>
    </row>
    <row r="81">
      <c r="B81" s="62"/>
    </row>
    <row r="82">
      <c r="B82" s="62"/>
    </row>
    <row r="83">
      <c r="B83" s="62"/>
    </row>
    <row r="84">
      <c r="B84" s="62"/>
    </row>
    <row r="85">
      <c r="B85" s="62"/>
    </row>
    <row r="86">
      <c r="B86" s="62"/>
    </row>
    <row r="87">
      <c r="B87" s="62"/>
    </row>
    <row r="88">
      <c r="B88" s="62"/>
    </row>
    <row r="89">
      <c r="B89" s="62"/>
    </row>
    <row r="90">
      <c r="B90" s="62"/>
    </row>
    <row r="91">
      <c r="B91" s="62"/>
    </row>
    <row r="92">
      <c r="B92" s="62"/>
    </row>
    <row r="93">
      <c r="B93" s="62"/>
    </row>
    <row r="94">
      <c r="B94" s="62"/>
    </row>
    <row r="95">
      <c r="B95" s="62"/>
    </row>
    <row r="96">
      <c r="B96" s="62"/>
    </row>
    <row r="97">
      <c r="B97" s="62"/>
    </row>
    <row r="98">
      <c r="B98" s="62"/>
    </row>
    <row r="99">
      <c r="B99" s="62"/>
    </row>
    <row r="100">
      <c r="B100" s="62"/>
    </row>
    <row r="101">
      <c r="B101" s="62"/>
    </row>
    <row r="102">
      <c r="B102" s="62"/>
    </row>
    <row r="103">
      <c r="B103" s="62"/>
    </row>
    <row r="104">
      <c r="B104" s="62"/>
    </row>
    <row r="105">
      <c r="B105" s="62"/>
    </row>
    <row r="106">
      <c r="B106" s="62"/>
    </row>
    <row r="107">
      <c r="B107" s="62"/>
    </row>
    <row r="108">
      <c r="B108" s="62"/>
    </row>
    <row r="109">
      <c r="B109" s="62"/>
    </row>
    <row r="110">
      <c r="B110" s="62"/>
    </row>
    <row r="111">
      <c r="B111" s="62"/>
    </row>
    <row r="112">
      <c r="B112" s="62"/>
    </row>
    <row r="113">
      <c r="B113" s="62"/>
    </row>
    <row r="114">
      <c r="B114" s="62"/>
    </row>
    <row r="115">
      <c r="B115" s="62"/>
    </row>
    <row r="116">
      <c r="B116" s="62"/>
    </row>
    <row r="117">
      <c r="B117" s="62"/>
    </row>
    <row r="118">
      <c r="B118" s="62"/>
    </row>
    <row r="119">
      <c r="B119" s="62"/>
    </row>
    <row r="120">
      <c r="B120" s="62"/>
    </row>
    <row r="121">
      <c r="B121" s="62"/>
    </row>
    <row r="122">
      <c r="B122" s="62"/>
    </row>
    <row r="123">
      <c r="B123" s="62"/>
    </row>
    <row r="124">
      <c r="B124" s="62"/>
    </row>
    <row r="125">
      <c r="B125" s="62"/>
    </row>
    <row r="126">
      <c r="B126" s="62"/>
    </row>
    <row r="127">
      <c r="B127" s="62"/>
    </row>
    <row r="128">
      <c r="B128" s="62"/>
    </row>
    <row r="129">
      <c r="B129" s="62"/>
    </row>
    <row r="130">
      <c r="B130" s="62"/>
    </row>
    <row r="131">
      <c r="B131" s="62"/>
    </row>
    <row r="132">
      <c r="B132" s="62"/>
    </row>
    <row r="133">
      <c r="B133" s="62"/>
    </row>
    <row r="134">
      <c r="B134" s="62"/>
    </row>
    <row r="135">
      <c r="B135" s="62"/>
    </row>
    <row r="136">
      <c r="B136" s="62"/>
    </row>
    <row r="137">
      <c r="B137" s="62"/>
    </row>
    <row r="138">
      <c r="B138" s="62"/>
    </row>
    <row r="139">
      <c r="B139" s="62"/>
    </row>
    <row r="140">
      <c r="B140" s="62"/>
    </row>
    <row r="141">
      <c r="B141" s="62"/>
    </row>
    <row r="142">
      <c r="B142" s="62"/>
    </row>
    <row r="143">
      <c r="B143" s="62"/>
    </row>
    <row r="144">
      <c r="B144" s="62"/>
    </row>
    <row r="145">
      <c r="B145" s="62"/>
    </row>
    <row r="146">
      <c r="B146" s="62"/>
    </row>
    <row r="147">
      <c r="B147" s="62"/>
    </row>
    <row r="148">
      <c r="B148" s="62"/>
    </row>
    <row r="149">
      <c r="B149" s="62"/>
    </row>
    <row r="150">
      <c r="B150" s="62"/>
    </row>
    <row r="151">
      <c r="B151" s="62"/>
    </row>
    <row r="152">
      <c r="B152" s="62"/>
    </row>
    <row r="153">
      <c r="B153" s="62"/>
    </row>
    <row r="154">
      <c r="B154" s="62"/>
    </row>
    <row r="155">
      <c r="B155" s="62"/>
    </row>
    <row r="156">
      <c r="B156" s="62"/>
    </row>
    <row r="157">
      <c r="B157" s="62"/>
    </row>
    <row r="158">
      <c r="B158" s="62"/>
    </row>
    <row r="159">
      <c r="B159" s="62"/>
    </row>
    <row r="160">
      <c r="B160" s="62"/>
    </row>
    <row r="161">
      <c r="B161" s="62"/>
    </row>
    <row r="162">
      <c r="B162" s="62"/>
    </row>
    <row r="163">
      <c r="B163" s="62"/>
    </row>
    <row r="164">
      <c r="B164" s="62"/>
    </row>
    <row r="165">
      <c r="B165" s="62"/>
    </row>
    <row r="166">
      <c r="B166" s="62"/>
    </row>
    <row r="167">
      <c r="B167" s="62"/>
    </row>
    <row r="168">
      <c r="B168" s="62"/>
    </row>
    <row r="169">
      <c r="B169" s="62"/>
    </row>
    <row r="170">
      <c r="B170" s="62"/>
    </row>
    <row r="171">
      <c r="B171" s="62"/>
    </row>
    <row r="172">
      <c r="B172" s="62"/>
    </row>
    <row r="173">
      <c r="B173" s="62"/>
    </row>
    <row r="174">
      <c r="B174" s="62"/>
    </row>
    <row r="175">
      <c r="B175" s="62"/>
    </row>
    <row r="176">
      <c r="B176" s="62"/>
    </row>
    <row r="177">
      <c r="B177" s="62"/>
    </row>
    <row r="178">
      <c r="B178" s="62"/>
    </row>
    <row r="179">
      <c r="B179" s="62"/>
    </row>
    <row r="180">
      <c r="B180" s="62"/>
    </row>
    <row r="181">
      <c r="B181" s="62"/>
    </row>
    <row r="182">
      <c r="B182" s="62"/>
    </row>
    <row r="183">
      <c r="B183" s="62"/>
    </row>
    <row r="184">
      <c r="B184" s="62"/>
    </row>
    <row r="185">
      <c r="B185" s="62"/>
    </row>
    <row r="186">
      <c r="B186" s="62"/>
    </row>
    <row r="187">
      <c r="B187" s="62"/>
    </row>
    <row r="188">
      <c r="B188" s="62"/>
    </row>
    <row r="189">
      <c r="B189" s="62"/>
    </row>
    <row r="190">
      <c r="B190" s="62"/>
    </row>
    <row r="191">
      <c r="B191" s="62"/>
    </row>
    <row r="192">
      <c r="B192" s="62"/>
    </row>
    <row r="193">
      <c r="B193" s="62"/>
    </row>
    <row r="194">
      <c r="B194" s="62"/>
    </row>
    <row r="195">
      <c r="B195" s="62"/>
    </row>
    <row r="196">
      <c r="B196" s="62"/>
    </row>
    <row r="197">
      <c r="B197" s="62"/>
    </row>
    <row r="198">
      <c r="B198" s="62"/>
    </row>
    <row r="199">
      <c r="B199" s="62"/>
    </row>
    <row r="200">
      <c r="B200" s="62"/>
    </row>
    <row r="201">
      <c r="B201" s="62"/>
    </row>
    <row r="202">
      <c r="B202" s="62"/>
    </row>
    <row r="203">
      <c r="B203" s="62"/>
    </row>
    <row r="204">
      <c r="B204" s="62"/>
    </row>
    <row r="205">
      <c r="B205" s="62"/>
    </row>
    <row r="206">
      <c r="B206" s="62"/>
    </row>
    <row r="207">
      <c r="B207" s="62"/>
    </row>
    <row r="208">
      <c r="B208" s="62"/>
    </row>
    <row r="209">
      <c r="B209" s="62"/>
    </row>
    <row r="210">
      <c r="B210" s="62"/>
    </row>
    <row r="211">
      <c r="B211" s="62"/>
    </row>
    <row r="212">
      <c r="B212" s="62"/>
    </row>
    <row r="213">
      <c r="B213" s="62"/>
    </row>
    <row r="214">
      <c r="B214" s="62"/>
    </row>
    <row r="215">
      <c r="B215" s="62"/>
    </row>
    <row r="216">
      <c r="B216" s="62"/>
    </row>
    <row r="217">
      <c r="B217" s="62"/>
    </row>
    <row r="218">
      <c r="B218" s="62"/>
    </row>
    <row r="219">
      <c r="B219" s="62"/>
    </row>
    <row r="220">
      <c r="B220" s="62"/>
    </row>
    <row r="221">
      <c r="B221" s="62"/>
    </row>
    <row r="222">
      <c r="B222" s="62"/>
    </row>
    <row r="223">
      <c r="B223" s="62"/>
    </row>
    <row r="224">
      <c r="B224" s="62"/>
    </row>
    <row r="225">
      <c r="B225" s="62"/>
    </row>
    <row r="226">
      <c r="B226" s="62"/>
    </row>
    <row r="227">
      <c r="B227" s="62"/>
    </row>
    <row r="228">
      <c r="B228" s="62"/>
    </row>
    <row r="229">
      <c r="B229" s="62"/>
    </row>
    <row r="230">
      <c r="B230" s="62"/>
    </row>
    <row r="231">
      <c r="B231" s="62"/>
    </row>
    <row r="232">
      <c r="B232" s="62"/>
    </row>
    <row r="233">
      <c r="B233" s="62"/>
    </row>
    <row r="234">
      <c r="B234" s="62"/>
    </row>
    <row r="235">
      <c r="B235" s="62"/>
    </row>
    <row r="236">
      <c r="B236" s="62"/>
    </row>
    <row r="237">
      <c r="B237" s="62"/>
    </row>
    <row r="238">
      <c r="B238" s="62"/>
    </row>
    <row r="239">
      <c r="B239" s="62"/>
    </row>
    <row r="240">
      <c r="B240" s="62"/>
    </row>
    <row r="241">
      <c r="B241" s="62"/>
    </row>
    <row r="242">
      <c r="B242" s="62"/>
    </row>
    <row r="243">
      <c r="B243" s="62"/>
    </row>
    <row r="244">
      <c r="B244" s="62"/>
    </row>
    <row r="245">
      <c r="B245" s="62"/>
    </row>
    <row r="246">
      <c r="B246" s="62"/>
    </row>
    <row r="247">
      <c r="B247" s="62"/>
    </row>
    <row r="248">
      <c r="B248" s="62"/>
    </row>
    <row r="249">
      <c r="B249" s="62"/>
    </row>
    <row r="250">
      <c r="B250" s="62"/>
    </row>
    <row r="251">
      <c r="B251" s="62"/>
    </row>
    <row r="252">
      <c r="B252" s="62"/>
    </row>
    <row r="253">
      <c r="B253" s="62"/>
    </row>
    <row r="254">
      <c r="B254" s="62"/>
    </row>
    <row r="255">
      <c r="B255" s="62"/>
    </row>
    <row r="256">
      <c r="B256" s="62"/>
    </row>
    <row r="257">
      <c r="B257" s="62"/>
    </row>
    <row r="258">
      <c r="B258" s="62"/>
    </row>
    <row r="259">
      <c r="B259" s="62"/>
    </row>
    <row r="260">
      <c r="B260" s="62"/>
    </row>
    <row r="261">
      <c r="B261" s="62"/>
    </row>
    <row r="262">
      <c r="B262" s="62"/>
    </row>
    <row r="263">
      <c r="B263" s="62"/>
    </row>
    <row r="264">
      <c r="B264" s="62"/>
    </row>
    <row r="265">
      <c r="B265" s="62"/>
    </row>
    <row r="266">
      <c r="B266" s="62"/>
    </row>
    <row r="267">
      <c r="B267" s="62"/>
    </row>
    <row r="268">
      <c r="B268" s="62"/>
    </row>
    <row r="269">
      <c r="B269" s="62"/>
    </row>
    <row r="270">
      <c r="B270" s="62"/>
    </row>
    <row r="271">
      <c r="B271" s="62"/>
    </row>
    <row r="272">
      <c r="B272" s="62"/>
    </row>
    <row r="273">
      <c r="B273" s="62"/>
    </row>
    <row r="274">
      <c r="B274" s="62"/>
    </row>
    <row r="275">
      <c r="B275" s="62"/>
    </row>
    <row r="276">
      <c r="B276" s="62"/>
    </row>
    <row r="277">
      <c r="B277" s="62"/>
    </row>
    <row r="278">
      <c r="B278" s="62"/>
    </row>
    <row r="279">
      <c r="B279" s="62"/>
    </row>
    <row r="280">
      <c r="B280" s="62"/>
    </row>
    <row r="281">
      <c r="B281" s="62"/>
    </row>
    <row r="282">
      <c r="B282" s="62"/>
    </row>
    <row r="283">
      <c r="B283" s="62"/>
    </row>
    <row r="284">
      <c r="B284" s="62"/>
    </row>
    <row r="285">
      <c r="B285" s="62"/>
    </row>
    <row r="286">
      <c r="B286" s="62"/>
    </row>
    <row r="287">
      <c r="B287" s="62"/>
    </row>
    <row r="288">
      <c r="B288" s="62"/>
    </row>
    <row r="289">
      <c r="B289" s="62"/>
    </row>
    <row r="290">
      <c r="B290" s="62"/>
    </row>
    <row r="291">
      <c r="B291" s="62"/>
    </row>
    <row r="292">
      <c r="B292" s="62"/>
    </row>
    <row r="293">
      <c r="B293" s="62"/>
    </row>
    <row r="294">
      <c r="B294" s="62"/>
    </row>
    <row r="295">
      <c r="B295" s="62"/>
    </row>
    <row r="296">
      <c r="B296" s="62"/>
    </row>
    <row r="297">
      <c r="B297" s="62"/>
    </row>
    <row r="298">
      <c r="B298" s="62"/>
    </row>
    <row r="299">
      <c r="B299" s="62"/>
    </row>
    <row r="300">
      <c r="B300" s="62"/>
    </row>
    <row r="301">
      <c r="B301" s="62"/>
    </row>
    <row r="302">
      <c r="B302" s="62"/>
    </row>
    <row r="303">
      <c r="B303" s="62"/>
    </row>
    <row r="304">
      <c r="B304" s="62"/>
    </row>
    <row r="305">
      <c r="B305" s="62"/>
    </row>
    <row r="306">
      <c r="B306" s="62"/>
    </row>
    <row r="307">
      <c r="B307" s="62"/>
    </row>
    <row r="308">
      <c r="B308" s="62"/>
    </row>
    <row r="309">
      <c r="B309" s="62"/>
    </row>
    <row r="310">
      <c r="B310" s="62"/>
    </row>
    <row r="311">
      <c r="B311" s="62"/>
    </row>
    <row r="312">
      <c r="B312" s="62"/>
    </row>
    <row r="313">
      <c r="B313" s="62"/>
    </row>
    <row r="314">
      <c r="B314" s="62"/>
    </row>
    <row r="315">
      <c r="B315" s="62"/>
    </row>
    <row r="316">
      <c r="B316" s="62"/>
    </row>
    <row r="317">
      <c r="B317" s="62"/>
    </row>
    <row r="318">
      <c r="B318" s="62"/>
    </row>
    <row r="319">
      <c r="B319" s="62"/>
    </row>
    <row r="320">
      <c r="B320" s="62"/>
    </row>
    <row r="321">
      <c r="B321" s="62"/>
    </row>
    <row r="322">
      <c r="B322" s="62"/>
    </row>
    <row r="323">
      <c r="B323" s="62"/>
    </row>
    <row r="324">
      <c r="B324" s="62"/>
    </row>
    <row r="325">
      <c r="B325" s="62"/>
    </row>
    <row r="326">
      <c r="B326" s="62"/>
    </row>
    <row r="327">
      <c r="B327" s="62"/>
    </row>
    <row r="328">
      <c r="B328" s="62"/>
    </row>
    <row r="329">
      <c r="B329" s="62"/>
    </row>
    <row r="330">
      <c r="B330" s="62"/>
    </row>
    <row r="331">
      <c r="B331" s="62"/>
    </row>
    <row r="332">
      <c r="B332" s="62"/>
    </row>
    <row r="333">
      <c r="B333" s="62"/>
    </row>
    <row r="334">
      <c r="B334" s="62"/>
    </row>
    <row r="335">
      <c r="B335" s="62"/>
    </row>
    <row r="336">
      <c r="B336" s="62"/>
    </row>
    <row r="337">
      <c r="B337" s="62"/>
    </row>
    <row r="338">
      <c r="B338" s="62"/>
    </row>
    <row r="339">
      <c r="B339" s="62"/>
    </row>
    <row r="340">
      <c r="B340" s="62"/>
    </row>
    <row r="341">
      <c r="B341" s="62"/>
    </row>
    <row r="342">
      <c r="B342" s="62"/>
    </row>
    <row r="343">
      <c r="B343" s="62"/>
    </row>
    <row r="344">
      <c r="B344" s="62"/>
    </row>
    <row r="345">
      <c r="B345" s="62"/>
    </row>
    <row r="346">
      <c r="B346" s="62"/>
    </row>
    <row r="347">
      <c r="B347" s="62"/>
    </row>
    <row r="348">
      <c r="B348" s="62"/>
    </row>
    <row r="349">
      <c r="B349" s="62"/>
    </row>
    <row r="350">
      <c r="B350" s="62"/>
    </row>
    <row r="351">
      <c r="B351" s="62"/>
    </row>
    <row r="352">
      <c r="B352" s="62"/>
    </row>
    <row r="353">
      <c r="B353" s="62"/>
    </row>
    <row r="354">
      <c r="B354" s="62"/>
    </row>
    <row r="355">
      <c r="B355" s="62"/>
    </row>
    <row r="356">
      <c r="B356" s="62"/>
    </row>
    <row r="357">
      <c r="B357" s="62"/>
    </row>
    <row r="358">
      <c r="B358" s="62"/>
    </row>
    <row r="359">
      <c r="B359" s="62"/>
    </row>
    <row r="360">
      <c r="B360" s="62"/>
    </row>
    <row r="361">
      <c r="B361" s="62"/>
    </row>
    <row r="362">
      <c r="B362" s="62"/>
    </row>
    <row r="363">
      <c r="B363" s="62"/>
    </row>
    <row r="364">
      <c r="B364" s="62"/>
    </row>
    <row r="365">
      <c r="B365" s="62"/>
    </row>
    <row r="366">
      <c r="B366" s="62"/>
    </row>
    <row r="367">
      <c r="B367" s="62"/>
    </row>
    <row r="368">
      <c r="B368" s="62"/>
    </row>
    <row r="369">
      <c r="B369" s="62"/>
    </row>
    <row r="370">
      <c r="B370" s="62"/>
    </row>
    <row r="371">
      <c r="B371" s="62"/>
    </row>
    <row r="372">
      <c r="B372" s="62"/>
    </row>
    <row r="373">
      <c r="B373" s="62"/>
    </row>
    <row r="374">
      <c r="B374" s="62"/>
    </row>
    <row r="375">
      <c r="B375" s="62"/>
    </row>
    <row r="376">
      <c r="B376" s="62"/>
    </row>
    <row r="377">
      <c r="B377" s="62"/>
    </row>
    <row r="378">
      <c r="B378" s="62"/>
    </row>
    <row r="379">
      <c r="B379" s="62"/>
    </row>
    <row r="380">
      <c r="B380" s="62"/>
    </row>
    <row r="381">
      <c r="B381" s="62"/>
    </row>
    <row r="382">
      <c r="B382" s="62"/>
    </row>
    <row r="383">
      <c r="B383" s="62"/>
    </row>
    <row r="384">
      <c r="B384" s="62"/>
    </row>
    <row r="385">
      <c r="B385" s="62"/>
    </row>
    <row r="386">
      <c r="B386" s="62"/>
    </row>
    <row r="387">
      <c r="B387" s="62"/>
    </row>
    <row r="388">
      <c r="B388" s="62"/>
    </row>
    <row r="389">
      <c r="B389" s="62"/>
    </row>
    <row r="390">
      <c r="B390" s="62"/>
    </row>
    <row r="391">
      <c r="B391" s="62"/>
    </row>
    <row r="392">
      <c r="B392" s="62"/>
    </row>
    <row r="393">
      <c r="B393" s="62"/>
    </row>
    <row r="394">
      <c r="B394" s="62"/>
    </row>
    <row r="395">
      <c r="B395" s="62"/>
    </row>
    <row r="396">
      <c r="B396" s="62"/>
    </row>
    <row r="397">
      <c r="B397" s="62"/>
    </row>
    <row r="398">
      <c r="B398" s="62"/>
    </row>
    <row r="399">
      <c r="B399" s="62"/>
    </row>
    <row r="400">
      <c r="B400" s="62"/>
    </row>
    <row r="401">
      <c r="B401" s="62"/>
    </row>
    <row r="402">
      <c r="B402" s="62"/>
    </row>
    <row r="403">
      <c r="B403" s="62"/>
    </row>
    <row r="404">
      <c r="B404" s="62"/>
    </row>
    <row r="405">
      <c r="B405" s="62"/>
    </row>
    <row r="406">
      <c r="B406" s="62"/>
    </row>
    <row r="407">
      <c r="B407" s="62"/>
    </row>
    <row r="408">
      <c r="B408" s="62"/>
    </row>
    <row r="409">
      <c r="B409" s="62"/>
    </row>
    <row r="410">
      <c r="B410" s="62"/>
    </row>
    <row r="411">
      <c r="B411" s="62"/>
    </row>
    <row r="412">
      <c r="B412" s="62"/>
    </row>
    <row r="413">
      <c r="B413" s="62"/>
    </row>
    <row r="414">
      <c r="B414" s="62"/>
    </row>
    <row r="415">
      <c r="B415" s="62"/>
    </row>
    <row r="416">
      <c r="B416" s="62"/>
    </row>
    <row r="417">
      <c r="B417" s="62"/>
    </row>
    <row r="418">
      <c r="B418" s="62"/>
    </row>
    <row r="419">
      <c r="B419" s="62"/>
    </row>
    <row r="420">
      <c r="B420" s="62"/>
    </row>
    <row r="421">
      <c r="B421" s="62"/>
    </row>
    <row r="422">
      <c r="B422" s="62"/>
    </row>
    <row r="423">
      <c r="B423" s="62"/>
    </row>
    <row r="424">
      <c r="B424" s="62"/>
    </row>
    <row r="425">
      <c r="B425" s="62"/>
    </row>
    <row r="426">
      <c r="B426" s="62"/>
    </row>
    <row r="427">
      <c r="B427" s="62"/>
    </row>
    <row r="428">
      <c r="B428" s="62"/>
    </row>
    <row r="429">
      <c r="B429" s="62"/>
    </row>
    <row r="430">
      <c r="B430" s="62"/>
    </row>
    <row r="431">
      <c r="B431" s="62"/>
    </row>
    <row r="432">
      <c r="B432" s="62"/>
    </row>
    <row r="433">
      <c r="B433" s="62"/>
    </row>
    <row r="434">
      <c r="B434" s="62"/>
    </row>
    <row r="435">
      <c r="B435" s="62"/>
    </row>
    <row r="436">
      <c r="B436" s="62"/>
    </row>
    <row r="437">
      <c r="B437" s="62"/>
    </row>
    <row r="438">
      <c r="B438" s="62"/>
    </row>
    <row r="439">
      <c r="B439" s="62"/>
    </row>
    <row r="440">
      <c r="B440" s="62"/>
    </row>
    <row r="441">
      <c r="B441" s="62"/>
    </row>
    <row r="442">
      <c r="B442" s="62"/>
    </row>
    <row r="443">
      <c r="B443" s="62"/>
    </row>
    <row r="444">
      <c r="B444" s="62"/>
    </row>
    <row r="445">
      <c r="B445" s="62"/>
    </row>
    <row r="446">
      <c r="B446" s="62"/>
    </row>
    <row r="447">
      <c r="B447" s="62"/>
    </row>
    <row r="448">
      <c r="B448" s="62"/>
    </row>
    <row r="449">
      <c r="B449" s="62"/>
    </row>
    <row r="450">
      <c r="B450" s="62"/>
    </row>
    <row r="451">
      <c r="B451" s="62"/>
    </row>
    <row r="452">
      <c r="B452" s="62"/>
    </row>
    <row r="453">
      <c r="B453" s="62"/>
    </row>
    <row r="454">
      <c r="B454" s="62"/>
    </row>
    <row r="455">
      <c r="B455" s="62"/>
    </row>
    <row r="456">
      <c r="B456" s="62"/>
    </row>
    <row r="457">
      <c r="B457" s="62"/>
    </row>
    <row r="458">
      <c r="B458" s="62"/>
    </row>
    <row r="459">
      <c r="B459" s="62"/>
    </row>
    <row r="460">
      <c r="B460" s="62"/>
    </row>
    <row r="461">
      <c r="B461" s="62"/>
    </row>
    <row r="462">
      <c r="B462" s="62"/>
    </row>
    <row r="463">
      <c r="B463" s="62"/>
    </row>
    <row r="464">
      <c r="B464" s="62"/>
    </row>
    <row r="465">
      <c r="B465" s="62"/>
    </row>
    <row r="466">
      <c r="B466" s="62"/>
    </row>
    <row r="467">
      <c r="B467" s="62"/>
    </row>
    <row r="468">
      <c r="B468" s="62"/>
    </row>
    <row r="469">
      <c r="B469" s="62"/>
    </row>
    <row r="470">
      <c r="B470" s="62"/>
    </row>
    <row r="471">
      <c r="B471" s="62"/>
    </row>
    <row r="472">
      <c r="B472" s="62"/>
    </row>
    <row r="473">
      <c r="B473" s="62"/>
    </row>
    <row r="474">
      <c r="B474" s="62"/>
    </row>
    <row r="475">
      <c r="B475" s="62"/>
    </row>
    <row r="476">
      <c r="B476" s="62"/>
    </row>
    <row r="477">
      <c r="B477" s="62"/>
    </row>
    <row r="478">
      <c r="B478" s="62"/>
    </row>
    <row r="479">
      <c r="B479" s="62"/>
    </row>
    <row r="480">
      <c r="B480" s="62"/>
    </row>
    <row r="481">
      <c r="B481" s="62"/>
    </row>
    <row r="482">
      <c r="B482" s="62"/>
    </row>
    <row r="483">
      <c r="B483" s="62"/>
    </row>
    <row r="484">
      <c r="B484" s="62"/>
    </row>
    <row r="485">
      <c r="B485" s="62"/>
    </row>
    <row r="486">
      <c r="B486" s="62"/>
    </row>
    <row r="487">
      <c r="B487" s="62"/>
    </row>
    <row r="488">
      <c r="B488" s="62"/>
    </row>
    <row r="489">
      <c r="B489" s="62"/>
    </row>
    <row r="490">
      <c r="B490" s="62"/>
    </row>
    <row r="491">
      <c r="B491" s="62"/>
    </row>
    <row r="492">
      <c r="B492" s="62"/>
    </row>
    <row r="493">
      <c r="B493" s="62"/>
    </row>
    <row r="494">
      <c r="B494" s="62"/>
    </row>
    <row r="495">
      <c r="B495" s="62"/>
    </row>
    <row r="496">
      <c r="B496" s="62"/>
    </row>
    <row r="497">
      <c r="B497" s="62"/>
    </row>
    <row r="498">
      <c r="B498" s="62"/>
    </row>
    <row r="499">
      <c r="B499" s="62"/>
    </row>
    <row r="500">
      <c r="B500" s="62"/>
    </row>
    <row r="501">
      <c r="B501" s="62"/>
    </row>
    <row r="502">
      <c r="B502" s="62"/>
    </row>
    <row r="503">
      <c r="B503" s="62"/>
    </row>
    <row r="504">
      <c r="B504" s="62"/>
    </row>
    <row r="505">
      <c r="B505" s="62"/>
    </row>
    <row r="506">
      <c r="B506" s="62"/>
    </row>
    <row r="507">
      <c r="B507" s="62"/>
    </row>
    <row r="508">
      <c r="B508" s="62"/>
    </row>
    <row r="509">
      <c r="B509" s="62"/>
    </row>
    <row r="510">
      <c r="B510" s="62"/>
    </row>
    <row r="511">
      <c r="B511" s="62"/>
    </row>
    <row r="512">
      <c r="B512" s="62"/>
    </row>
    <row r="513">
      <c r="B513" s="62"/>
    </row>
    <row r="514">
      <c r="B514" s="62"/>
    </row>
    <row r="515">
      <c r="B515" s="62"/>
    </row>
    <row r="516">
      <c r="B516" s="62"/>
    </row>
    <row r="517">
      <c r="B517" s="62"/>
    </row>
    <row r="518">
      <c r="B518" s="62"/>
    </row>
    <row r="519">
      <c r="B519" s="62"/>
    </row>
    <row r="520">
      <c r="B520" s="62"/>
    </row>
    <row r="521">
      <c r="B521" s="62"/>
    </row>
    <row r="522">
      <c r="B522" s="62"/>
    </row>
    <row r="523">
      <c r="B523" s="62"/>
    </row>
    <row r="524">
      <c r="B524" s="62"/>
    </row>
    <row r="525">
      <c r="B525" s="62"/>
    </row>
    <row r="526">
      <c r="B526" s="62"/>
    </row>
    <row r="527">
      <c r="B527" s="62"/>
    </row>
    <row r="528">
      <c r="B528" s="62"/>
    </row>
    <row r="529">
      <c r="B529" s="62"/>
    </row>
    <row r="530">
      <c r="B530" s="62"/>
    </row>
    <row r="531">
      <c r="B531" s="62"/>
    </row>
    <row r="532">
      <c r="B532" s="62"/>
    </row>
    <row r="533">
      <c r="B533" s="62"/>
    </row>
    <row r="534">
      <c r="B534" s="62"/>
    </row>
    <row r="535">
      <c r="B535" s="62"/>
    </row>
    <row r="536">
      <c r="B536" s="62"/>
    </row>
    <row r="537">
      <c r="B537" s="62"/>
    </row>
    <row r="538">
      <c r="B538" s="62"/>
    </row>
    <row r="539">
      <c r="B539" s="62"/>
    </row>
    <row r="540">
      <c r="B540" s="62"/>
    </row>
    <row r="541">
      <c r="B541" s="62"/>
    </row>
    <row r="542">
      <c r="B542" s="62"/>
    </row>
    <row r="543">
      <c r="B543" s="62"/>
    </row>
    <row r="544">
      <c r="B544" s="62"/>
    </row>
    <row r="545">
      <c r="B545" s="62"/>
    </row>
    <row r="546">
      <c r="B546" s="62"/>
    </row>
    <row r="547">
      <c r="B547" s="62"/>
    </row>
    <row r="548">
      <c r="B548" s="62"/>
    </row>
    <row r="549">
      <c r="B549" s="62"/>
    </row>
    <row r="550">
      <c r="B550" s="62"/>
    </row>
    <row r="551">
      <c r="B551" s="62"/>
    </row>
    <row r="552">
      <c r="B552" s="62"/>
    </row>
    <row r="553">
      <c r="B553" s="62"/>
    </row>
    <row r="554">
      <c r="B554" s="62"/>
    </row>
    <row r="555">
      <c r="B555" s="62"/>
    </row>
    <row r="556">
      <c r="B556" s="62"/>
    </row>
    <row r="557">
      <c r="B557" s="62"/>
    </row>
    <row r="558">
      <c r="B558" s="62"/>
    </row>
    <row r="559">
      <c r="B559" s="62"/>
    </row>
    <row r="560">
      <c r="B560" s="62"/>
    </row>
    <row r="561">
      <c r="B561" s="62"/>
    </row>
    <row r="562">
      <c r="B562" s="62"/>
    </row>
    <row r="563">
      <c r="B563" s="62"/>
    </row>
    <row r="564">
      <c r="B564" s="62"/>
    </row>
    <row r="565">
      <c r="B565" s="62"/>
    </row>
    <row r="566">
      <c r="B566" s="62"/>
    </row>
    <row r="567">
      <c r="B567" s="62"/>
    </row>
    <row r="568">
      <c r="B568" s="62"/>
    </row>
    <row r="569">
      <c r="B569" s="62"/>
    </row>
    <row r="570">
      <c r="B570" s="62"/>
    </row>
    <row r="571">
      <c r="B571" s="62"/>
    </row>
    <row r="572">
      <c r="B572" s="62"/>
    </row>
    <row r="573">
      <c r="B573" s="62"/>
    </row>
    <row r="574">
      <c r="B574" s="62"/>
    </row>
    <row r="575">
      <c r="B575" s="62"/>
    </row>
    <row r="576">
      <c r="B576" s="62"/>
    </row>
    <row r="577">
      <c r="B577" s="62"/>
    </row>
    <row r="578">
      <c r="B578" s="62"/>
    </row>
    <row r="579">
      <c r="B579" s="62"/>
    </row>
    <row r="580">
      <c r="B580" s="62"/>
    </row>
    <row r="581">
      <c r="B581" s="62"/>
    </row>
    <row r="582">
      <c r="B582" s="62"/>
    </row>
    <row r="583">
      <c r="B583" s="62"/>
    </row>
    <row r="584">
      <c r="B584" s="62"/>
    </row>
    <row r="585">
      <c r="B585" s="62"/>
    </row>
    <row r="586">
      <c r="B586" s="62"/>
    </row>
    <row r="587">
      <c r="B587" s="62"/>
    </row>
    <row r="588">
      <c r="B588" s="62"/>
    </row>
    <row r="589">
      <c r="B589" s="62"/>
    </row>
    <row r="590">
      <c r="B590" s="62"/>
    </row>
    <row r="591">
      <c r="B591" s="62"/>
    </row>
    <row r="592">
      <c r="B592" s="62"/>
    </row>
    <row r="593">
      <c r="B593" s="62"/>
    </row>
    <row r="594">
      <c r="B594" s="62"/>
    </row>
    <row r="595">
      <c r="B595" s="62"/>
    </row>
    <row r="596">
      <c r="B596" s="62"/>
    </row>
    <row r="597">
      <c r="B597" s="62"/>
    </row>
    <row r="598">
      <c r="B598" s="62"/>
    </row>
    <row r="599">
      <c r="B599" s="62"/>
    </row>
    <row r="600">
      <c r="B600" s="62"/>
    </row>
    <row r="601">
      <c r="B601" s="62"/>
    </row>
    <row r="602">
      <c r="B602" s="62"/>
    </row>
    <row r="603">
      <c r="B603" s="62"/>
    </row>
    <row r="604">
      <c r="B604" s="62"/>
    </row>
    <row r="605">
      <c r="B605" s="62"/>
    </row>
    <row r="606">
      <c r="B606" s="62"/>
    </row>
    <row r="607">
      <c r="B607" s="62"/>
    </row>
    <row r="608">
      <c r="B608" s="62"/>
    </row>
    <row r="609">
      <c r="B609" s="62"/>
    </row>
    <row r="610">
      <c r="B610" s="62"/>
    </row>
    <row r="611">
      <c r="B611" s="62"/>
    </row>
    <row r="612">
      <c r="B612" s="62"/>
    </row>
    <row r="613">
      <c r="B613" s="62"/>
    </row>
    <row r="614">
      <c r="B614" s="62"/>
    </row>
    <row r="615">
      <c r="B615" s="62"/>
    </row>
    <row r="616">
      <c r="B616" s="62"/>
    </row>
    <row r="617">
      <c r="B617" s="62"/>
    </row>
    <row r="618">
      <c r="B618" s="62"/>
    </row>
    <row r="619">
      <c r="B619" s="62"/>
    </row>
    <row r="620">
      <c r="B620" s="62"/>
    </row>
    <row r="621">
      <c r="B621" s="62"/>
    </row>
    <row r="622">
      <c r="B622" s="62"/>
    </row>
    <row r="623">
      <c r="B623" s="62"/>
    </row>
    <row r="624">
      <c r="B624" s="62"/>
    </row>
    <row r="625">
      <c r="B625" s="62"/>
    </row>
    <row r="626">
      <c r="B626" s="62"/>
    </row>
    <row r="627">
      <c r="B627" s="62"/>
    </row>
    <row r="628">
      <c r="B628" s="62"/>
    </row>
    <row r="629">
      <c r="B629" s="62"/>
    </row>
    <row r="630">
      <c r="B630" s="62"/>
    </row>
    <row r="631">
      <c r="B631" s="62"/>
    </row>
    <row r="632">
      <c r="B632" s="62"/>
    </row>
    <row r="633">
      <c r="B633" s="62"/>
    </row>
    <row r="634">
      <c r="B634" s="62"/>
    </row>
    <row r="635">
      <c r="B635" s="62"/>
    </row>
    <row r="636">
      <c r="B636" s="62"/>
    </row>
    <row r="637">
      <c r="B637" s="62"/>
    </row>
    <row r="638">
      <c r="B638" s="62"/>
    </row>
    <row r="639">
      <c r="B639" s="62"/>
    </row>
    <row r="640">
      <c r="B640" s="62"/>
    </row>
    <row r="641">
      <c r="B641" s="62"/>
    </row>
    <row r="642">
      <c r="B642" s="62"/>
    </row>
    <row r="643">
      <c r="B643" s="62"/>
    </row>
    <row r="644">
      <c r="B644" s="62"/>
    </row>
    <row r="645">
      <c r="B645" s="62"/>
    </row>
    <row r="646">
      <c r="B646" s="62"/>
    </row>
    <row r="647">
      <c r="B647" s="62"/>
    </row>
    <row r="648">
      <c r="B648" s="62"/>
    </row>
    <row r="649">
      <c r="B649" s="62"/>
    </row>
    <row r="650">
      <c r="B650" s="62"/>
    </row>
    <row r="651">
      <c r="B651" s="62"/>
    </row>
    <row r="652">
      <c r="B652" s="62"/>
    </row>
    <row r="653">
      <c r="B653" s="62"/>
    </row>
    <row r="654">
      <c r="B654" s="62"/>
    </row>
    <row r="655">
      <c r="B655" s="62"/>
    </row>
    <row r="656">
      <c r="B656" s="62"/>
    </row>
    <row r="657">
      <c r="B657" s="62"/>
    </row>
    <row r="658">
      <c r="B658" s="62"/>
    </row>
    <row r="659">
      <c r="B659" s="62"/>
    </row>
    <row r="660">
      <c r="B660" s="62"/>
    </row>
    <row r="661">
      <c r="B661" s="62"/>
    </row>
    <row r="662">
      <c r="B662" s="62"/>
    </row>
    <row r="663">
      <c r="B663" s="62"/>
    </row>
    <row r="664">
      <c r="B664" s="62"/>
    </row>
    <row r="665">
      <c r="B665" s="62"/>
    </row>
    <row r="666">
      <c r="B666" s="62"/>
    </row>
    <row r="667">
      <c r="B667" s="62"/>
    </row>
    <row r="668">
      <c r="B668" s="62"/>
    </row>
    <row r="669">
      <c r="B669" s="62"/>
    </row>
    <row r="670">
      <c r="B670" s="62"/>
    </row>
    <row r="671">
      <c r="B671" s="62"/>
    </row>
    <row r="672">
      <c r="B672" s="62"/>
    </row>
    <row r="673">
      <c r="B673" s="62"/>
    </row>
    <row r="674">
      <c r="B674" s="62"/>
    </row>
    <row r="675">
      <c r="B675" s="62"/>
    </row>
    <row r="676">
      <c r="B676" s="62"/>
    </row>
    <row r="677">
      <c r="B677" s="62"/>
    </row>
    <row r="678">
      <c r="B678" s="62"/>
    </row>
    <row r="679">
      <c r="B679" s="62"/>
    </row>
    <row r="680">
      <c r="B680" s="62"/>
    </row>
    <row r="681">
      <c r="B681" s="62"/>
    </row>
    <row r="682">
      <c r="B682" s="62"/>
    </row>
    <row r="683">
      <c r="B683" s="62"/>
    </row>
    <row r="684">
      <c r="B684" s="62"/>
    </row>
    <row r="685">
      <c r="B685" s="62"/>
    </row>
    <row r="686">
      <c r="B686" s="62"/>
    </row>
    <row r="687">
      <c r="B687" s="62"/>
    </row>
    <row r="688">
      <c r="B688" s="62"/>
    </row>
    <row r="689">
      <c r="B689" s="62"/>
    </row>
    <row r="690">
      <c r="B690" s="62"/>
    </row>
    <row r="691">
      <c r="B691" s="62"/>
    </row>
    <row r="692">
      <c r="B692" s="62"/>
    </row>
    <row r="693">
      <c r="B693" s="62"/>
    </row>
    <row r="694">
      <c r="B694" s="62"/>
    </row>
    <row r="695">
      <c r="B695" s="62"/>
    </row>
    <row r="696">
      <c r="B696" s="62"/>
    </row>
    <row r="697">
      <c r="B697" s="62"/>
    </row>
    <row r="698">
      <c r="B698" s="62"/>
    </row>
    <row r="699">
      <c r="B699" s="62"/>
    </row>
    <row r="700">
      <c r="B700" s="62"/>
    </row>
    <row r="701">
      <c r="B701" s="62"/>
    </row>
    <row r="702">
      <c r="B702" s="62"/>
    </row>
    <row r="703">
      <c r="B703" s="62"/>
    </row>
    <row r="704">
      <c r="B704" s="62"/>
    </row>
    <row r="705">
      <c r="B705" s="62"/>
    </row>
    <row r="706">
      <c r="B706" s="62"/>
    </row>
    <row r="707">
      <c r="B707" s="62"/>
    </row>
    <row r="708">
      <c r="B708" s="62"/>
    </row>
    <row r="709">
      <c r="B709" s="62"/>
    </row>
    <row r="710">
      <c r="B710" s="62"/>
    </row>
    <row r="711">
      <c r="B711" s="62"/>
    </row>
    <row r="712">
      <c r="B712" s="62"/>
    </row>
    <row r="713">
      <c r="B713" s="62"/>
    </row>
    <row r="714">
      <c r="B714" s="62"/>
    </row>
    <row r="715">
      <c r="B715" s="62"/>
    </row>
    <row r="716">
      <c r="B716" s="62"/>
    </row>
    <row r="717">
      <c r="B717" s="62"/>
    </row>
    <row r="718">
      <c r="B718" s="62"/>
    </row>
    <row r="719">
      <c r="B719" s="62"/>
    </row>
    <row r="720">
      <c r="B720" s="62"/>
    </row>
    <row r="721">
      <c r="B721" s="62"/>
    </row>
    <row r="722">
      <c r="B722" s="62"/>
    </row>
    <row r="723">
      <c r="B723" s="62"/>
    </row>
    <row r="724">
      <c r="B724" s="62"/>
    </row>
    <row r="725">
      <c r="B725" s="62"/>
    </row>
    <row r="726">
      <c r="B726" s="62"/>
    </row>
    <row r="727">
      <c r="B727" s="62"/>
    </row>
    <row r="728">
      <c r="B728" s="62"/>
    </row>
    <row r="729">
      <c r="B729" s="62"/>
    </row>
    <row r="730">
      <c r="B730" s="62"/>
    </row>
    <row r="731">
      <c r="B731" s="62"/>
    </row>
    <row r="732">
      <c r="B732" s="62"/>
    </row>
    <row r="733">
      <c r="B733" s="62"/>
    </row>
    <row r="734">
      <c r="B734" s="62"/>
    </row>
    <row r="735">
      <c r="B735" s="62"/>
    </row>
    <row r="736">
      <c r="B736" s="62"/>
    </row>
    <row r="737">
      <c r="B737" s="62"/>
    </row>
    <row r="738">
      <c r="B738" s="62"/>
    </row>
    <row r="739">
      <c r="B739" s="62"/>
    </row>
    <row r="740">
      <c r="B740" s="62"/>
    </row>
    <row r="741">
      <c r="B741" s="62"/>
    </row>
    <row r="742">
      <c r="B742" s="62"/>
    </row>
    <row r="743">
      <c r="B743" s="62"/>
    </row>
    <row r="744">
      <c r="B744" s="62"/>
    </row>
    <row r="745">
      <c r="B745" s="62"/>
    </row>
    <row r="746">
      <c r="B746" s="62"/>
    </row>
    <row r="747">
      <c r="B747" s="62"/>
    </row>
    <row r="748">
      <c r="B748" s="62"/>
    </row>
    <row r="749">
      <c r="B749" s="62"/>
    </row>
    <row r="750">
      <c r="B750" s="62"/>
    </row>
    <row r="751">
      <c r="B751" s="62"/>
    </row>
    <row r="752">
      <c r="B752" s="62"/>
    </row>
    <row r="753">
      <c r="B753" s="62"/>
    </row>
    <row r="754">
      <c r="B754" s="62"/>
    </row>
    <row r="755">
      <c r="B755" s="62"/>
    </row>
    <row r="756">
      <c r="B756" s="62"/>
    </row>
    <row r="757">
      <c r="B757" s="62"/>
    </row>
    <row r="758">
      <c r="B758" s="62"/>
    </row>
    <row r="759">
      <c r="B759" s="62"/>
    </row>
    <row r="760">
      <c r="B760" s="62"/>
    </row>
    <row r="761">
      <c r="B761" s="62"/>
    </row>
    <row r="762">
      <c r="B762" s="62"/>
    </row>
    <row r="763">
      <c r="B763" s="62"/>
    </row>
    <row r="764">
      <c r="B764" s="62"/>
    </row>
    <row r="765">
      <c r="B765" s="62"/>
    </row>
    <row r="766">
      <c r="B766" s="62"/>
    </row>
    <row r="767">
      <c r="B767" s="62"/>
    </row>
    <row r="768">
      <c r="B768" s="62"/>
    </row>
    <row r="769">
      <c r="B769" s="62"/>
    </row>
    <row r="770">
      <c r="B770" s="62"/>
    </row>
    <row r="771">
      <c r="B771" s="62"/>
    </row>
    <row r="772">
      <c r="B772" s="62"/>
    </row>
    <row r="773">
      <c r="B773" s="62"/>
    </row>
    <row r="774">
      <c r="B774" s="62"/>
    </row>
    <row r="775">
      <c r="B775" s="62"/>
    </row>
    <row r="776">
      <c r="B776" s="62"/>
    </row>
    <row r="777">
      <c r="B777" s="62"/>
    </row>
    <row r="778">
      <c r="B778" s="62"/>
    </row>
    <row r="779">
      <c r="B779" s="62"/>
    </row>
    <row r="780">
      <c r="B780" s="62"/>
    </row>
    <row r="781">
      <c r="B781" s="62"/>
    </row>
    <row r="782">
      <c r="B782" s="62"/>
    </row>
    <row r="783">
      <c r="B783" s="62"/>
    </row>
    <row r="784">
      <c r="B784" s="62"/>
    </row>
    <row r="785">
      <c r="B785" s="62"/>
    </row>
    <row r="786">
      <c r="B786" s="62"/>
    </row>
    <row r="787">
      <c r="B787" s="62"/>
    </row>
    <row r="788">
      <c r="B788" s="62"/>
    </row>
    <row r="789">
      <c r="B789" s="62"/>
    </row>
    <row r="790">
      <c r="B790" s="62"/>
    </row>
    <row r="791">
      <c r="B791" s="62"/>
    </row>
    <row r="792">
      <c r="B792" s="62"/>
    </row>
    <row r="793">
      <c r="B793" s="62"/>
    </row>
    <row r="794">
      <c r="B794" s="62"/>
    </row>
    <row r="795">
      <c r="B795" s="62"/>
    </row>
    <row r="796">
      <c r="B796" s="62"/>
    </row>
    <row r="797">
      <c r="B797" s="62"/>
    </row>
    <row r="798">
      <c r="B798" s="62"/>
    </row>
    <row r="799">
      <c r="B799" s="62"/>
    </row>
    <row r="800">
      <c r="B800" s="62"/>
    </row>
    <row r="801">
      <c r="B801" s="62"/>
    </row>
    <row r="802">
      <c r="B802" s="62"/>
    </row>
    <row r="803">
      <c r="B803" s="62"/>
    </row>
    <row r="804">
      <c r="B804" s="62"/>
    </row>
    <row r="805">
      <c r="B805" s="62"/>
    </row>
    <row r="806">
      <c r="B806" s="62"/>
    </row>
    <row r="807">
      <c r="B807" s="62"/>
    </row>
    <row r="808">
      <c r="B808" s="62"/>
    </row>
    <row r="809">
      <c r="B809" s="62"/>
    </row>
    <row r="810">
      <c r="B810" s="62"/>
    </row>
    <row r="811">
      <c r="B811" s="62"/>
    </row>
    <row r="812">
      <c r="B812" s="62"/>
    </row>
    <row r="813">
      <c r="B813" s="62"/>
    </row>
    <row r="814">
      <c r="B814" s="62"/>
    </row>
    <row r="815">
      <c r="B815" s="62"/>
    </row>
    <row r="816">
      <c r="B816" s="62"/>
    </row>
    <row r="817">
      <c r="B817" s="62"/>
    </row>
    <row r="818">
      <c r="B818" s="62"/>
    </row>
    <row r="819">
      <c r="B819" s="62"/>
    </row>
    <row r="820">
      <c r="B820" s="62"/>
    </row>
    <row r="821">
      <c r="B821" s="62"/>
    </row>
    <row r="822">
      <c r="B822" s="62"/>
    </row>
    <row r="823">
      <c r="B823" s="62"/>
    </row>
    <row r="824">
      <c r="B824" s="62"/>
    </row>
    <row r="825">
      <c r="B825" s="62"/>
    </row>
    <row r="826">
      <c r="B826" s="62"/>
    </row>
    <row r="827">
      <c r="B827" s="62"/>
    </row>
    <row r="828">
      <c r="B828" s="62"/>
    </row>
    <row r="829">
      <c r="B829" s="62"/>
    </row>
    <row r="830">
      <c r="B830" s="62"/>
    </row>
    <row r="831">
      <c r="B831" s="62"/>
    </row>
    <row r="832">
      <c r="B832" s="62"/>
    </row>
    <row r="833">
      <c r="B833" s="62"/>
    </row>
    <row r="834">
      <c r="B834" s="62"/>
    </row>
    <row r="835">
      <c r="B835" s="62"/>
    </row>
    <row r="836">
      <c r="B836" s="62"/>
    </row>
    <row r="837">
      <c r="B837" s="62"/>
    </row>
    <row r="838">
      <c r="B838" s="62"/>
    </row>
    <row r="839">
      <c r="B839" s="62"/>
    </row>
    <row r="840">
      <c r="B840" s="62"/>
    </row>
    <row r="841">
      <c r="B841" s="62"/>
    </row>
    <row r="842">
      <c r="B842" s="62"/>
    </row>
    <row r="843">
      <c r="B843" s="62"/>
    </row>
    <row r="844">
      <c r="B844" s="62"/>
    </row>
    <row r="845">
      <c r="B845" s="62"/>
    </row>
    <row r="846">
      <c r="B846" s="62"/>
    </row>
    <row r="847">
      <c r="B847" s="62"/>
    </row>
    <row r="848">
      <c r="B848" s="62"/>
    </row>
    <row r="849">
      <c r="B849" s="62"/>
    </row>
    <row r="850">
      <c r="B850" s="62"/>
    </row>
    <row r="851">
      <c r="B851" s="62"/>
    </row>
    <row r="852">
      <c r="B852" s="62"/>
    </row>
    <row r="853">
      <c r="B853" s="62"/>
    </row>
    <row r="854">
      <c r="B854" s="62"/>
    </row>
    <row r="855">
      <c r="B855" s="62"/>
    </row>
    <row r="856">
      <c r="B856" s="62"/>
    </row>
    <row r="857">
      <c r="B857" s="62"/>
    </row>
    <row r="858">
      <c r="B858" s="62"/>
    </row>
    <row r="859">
      <c r="B859" s="62"/>
    </row>
    <row r="860">
      <c r="B860" s="62"/>
    </row>
    <row r="861">
      <c r="B861" s="62"/>
    </row>
    <row r="862">
      <c r="B862" s="62"/>
    </row>
    <row r="863">
      <c r="B863" s="62"/>
    </row>
    <row r="864">
      <c r="B864" s="62"/>
    </row>
    <row r="865">
      <c r="B865" s="62"/>
    </row>
    <row r="866">
      <c r="B866" s="62"/>
    </row>
    <row r="867">
      <c r="B867" s="62"/>
    </row>
    <row r="868">
      <c r="B868" s="62"/>
    </row>
    <row r="869">
      <c r="B869" s="62"/>
    </row>
    <row r="870">
      <c r="B870" s="62"/>
    </row>
    <row r="871">
      <c r="B871" s="62"/>
    </row>
    <row r="872">
      <c r="B872" s="62"/>
    </row>
    <row r="873">
      <c r="B873" s="62"/>
    </row>
    <row r="874">
      <c r="B874" s="62"/>
    </row>
    <row r="875">
      <c r="B875" s="62"/>
    </row>
    <row r="876">
      <c r="B876" s="62"/>
    </row>
    <row r="877">
      <c r="B877" s="62"/>
    </row>
    <row r="878">
      <c r="B878" s="62"/>
    </row>
    <row r="879">
      <c r="B879" s="62"/>
    </row>
    <row r="880">
      <c r="B880" s="62"/>
    </row>
    <row r="881">
      <c r="B881" s="62"/>
    </row>
    <row r="882">
      <c r="B882" s="62"/>
    </row>
    <row r="883">
      <c r="B883" s="62"/>
    </row>
    <row r="884">
      <c r="B884" s="62"/>
    </row>
    <row r="885">
      <c r="B885" s="62"/>
    </row>
    <row r="886">
      <c r="B886" s="62"/>
    </row>
    <row r="887">
      <c r="B887" s="62"/>
    </row>
    <row r="888">
      <c r="B888" s="62"/>
    </row>
    <row r="889">
      <c r="B889" s="62"/>
    </row>
    <row r="890">
      <c r="B890" s="62"/>
    </row>
    <row r="891">
      <c r="B891" s="62"/>
    </row>
    <row r="892">
      <c r="B892" s="62"/>
    </row>
    <row r="893">
      <c r="B893" s="62"/>
    </row>
    <row r="894">
      <c r="B894" s="62"/>
    </row>
    <row r="895">
      <c r="B895" s="62"/>
    </row>
    <row r="896">
      <c r="B896" s="62"/>
    </row>
    <row r="897">
      <c r="B897" s="62"/>
    </row>
    <row r="898">
      <c r="B898" s="62"/>
    </row>
    <row r="899">
      <c r="B899" s="62"/>
    </row>
    <row r="900">
      <c r="B900" s="62"/>
    </row>
    <row r="901">
      <c r="B901" s="62"/>
    </row>
    <row r="902">
      <c r="B902" s="62"/>
    </row>
    <row r="903">
      <c r="B903" s="62"/>
    </row>
    <row r="904">
      <c r="B904" s="62"/>
    </row>
    <row r="905">
      <c r="B905" s="62"/>
    </row>
    <row r="906">
      <c r="B906" s="62"/>
    </row>
    <row r="907">
      <c r="B907" s="62"/>
    </row>
    <row r="908">
      <c r="B908" s="62"/>
    </row>
    <row r="909">
      <c r="B909" s="62"/>
    </row>
    <row r="910">
      <c r="B910" s="62"/>
    </row>
    <row r="911">
      <c r="B911" s="62"/>
    </row>
    <row r="912">
      <c r="B912" s="62"/>
    </row>
    <row r="913">
      <c r="B913" s="62"/>
    </row>
    <row r="914">
      <c r="B914" s="62"/>
    </row>
    <row r="915">
      <c r="B915" s="62"/>
    </row>
    <row r="916">
      <c r="B916" s="62"/>
    </row>
    <row r="917">
      <c r="B917" s="62"/>
    </row>
    <row r="918">
      <c r="B918" s="62"/>
    </row>
    <row r="919">
      <c r="B919" s="62"/>
    </row>
    <row r="920">
      <c r="B920" s="62"/>
    </row>
    <row r="921">
      <c r="B921" s="62"/>
    </row>
    <row r="922">
      <c r="B922" s="62"/>
    </row>
    <row r="923">
      <c r="B923" s="62"/>
    </row>
    <row r="924">
      <c r="B924" s="62"/>
    </row>
    <row r="925">
      <c r="B925" s="62"/>
    </row>
    <row r="926">
      <c r="B926" s="62"/>
    </row>
    <row r="927">
      <c r="B927" s="62"/>
    </row>
    <row r="928">
      <c r="B928" s="62"/>
    </row>
    <row r="929">
      <c r="B929" s="62"/>
    </row>
    <row r="930">
      <c r="B930" s="62"/>
    </row>
    <row r="931">
      <c r="B931" s="62"/>
    </row>
    <row r="932">
      <c r="B932" s="62"/>
    </row>
    <row r="933">
      <c r="B933" s="62"/>
    </row>
    <row r="934">
      <c r="B934" s="62"/>
    </row>
    <row r="935">
      <c r="B935" s="62"/>
    </row>
    <row r="936">
      <c r="B936" s="62"/>
    </row>
    <row r="937">
      <c r="B937" s="62"/>
    </row>
    <row r="938">
      <c r="B938" s="62"/>
    </row>
    <row r="939">
      <c r="B939" s="62"/>
    </row>
    <row r="940">
      <c r="B940" s="62"/>
    </row>
    <row r="941">
      <c r="B941" s="62"/>
    </row>
    <row r="942">
      <c r="B942" s="62"/>
    </row>
    <row r="943">
      <c r="B943" s="62"/>
    </row>
    <row r="944">
      <c r="B944" s="62"/>
    </row>
    <row r="945">
      <c r="B945" s="62"/>
    </row>
    <row r="946">
      <c r="B946" s="62"/>
    </row>
    <row r="947">
      <c r="B947" s="62"/>
    </row>
    <row r="948">
      <c r="B948" s="62"/>
    </row>
    <row r="949">
      <c r="B949" s="62"/>
    </row>
    <row r="950">
      <c r="B950" s="62"/>
    </row>
    <row r="951">
      <c r="B951" s="62"/>
    </row>
    <row r="952">
      <c r="B952" s="62"/>
    </row>
    <row r="953">
      <c r="B953" s="62"/>
    </row>
    <row r="954">
      <c r="B954" s="62"/>
    </row>
    <row r="955">
      <c r="B955" s="62"/>
    </row>
    <row r="956">
      <c r="B956" s="62"/>
    </row>
    <row r="957">
      <c r="B957" s="62"/>
    </row>
    <row r="958">
      <c r="B958" s="62"/>
    </row>
    <row r="959">
      <c r="B959" s="62"/>
    </row>
    <row r="960">
      <c r="B960" s="62"/>
    </row>
    <row r="961">
      <c r="B961" s="62"/>
    </row>
    <row r="962">
      <c r="B962" s="62"/>
    </row>
    <row r="963">
      <c r="B963" s="62"/>
    </row>
    <row r="964">
      <c r="B964" s="62"/>
    </row>
    <row r="965">
      <c r="B965" s="62"/>
    </row>
    <row r="966">
      <c r="B966" s="62"/>
    </row>
    <row r="967">
      <c r="B967" s="62"/>
    </row>
    <row r="968">
      <c r="B968" s="62"/>
    </row>
    <row r="969">
      <c r="B969" s="62"/>
    </row>
    <row r="970">
      <c r="B970" s="62"/>
    </row>
    <row r="971">
      <c r="B971" s="62"/>
    </row>
    <row r="972">
      <c r="B972" s="62"/>
    </row>
    <row r="973">
      <c r="B973" s="62"/>
    </row>
    <row r="974">
      <c r="B974" s="62"/>
    </row>
    <row r="975">
      <c r="B975" s="62"/>
    </row>
    <row r="976">
      <c r="B976" s="62"/>
    </row>
    <row r="977">
      <c r="B977" s="62"/>
    </row>
    <row r="978">
      <c r="B978" s="62"/>
    </row>
    <row r="979">
      <c r="B979" s="62"/>
    </row>
    <row r="980">
      <c r="B980" s="62"/>
    </row>
    <row r="981">
      <c r="B981" s="62"/>
    </row>
    <row r="982">
      <c r="B982" s="62"/>
    </row>
    <row r="983">
      <c r="B983" s="62"/>
    </row>
    <row r="984">
      <c r="B984" s="62"/>
    </row>
    <row r="985">
      <c r="B985" s="62"/>
    </row>
    <row r="986">
      <c r="B986" s="62"/>
    </row>
    <row r="987">
      <c r="B987" s="62"/>
    </row>
    <row r="988">
      <c r="B988" s="62"/>
    </row>
    <row r="989">
      <c r="B989" s="62"/>
    </row>
    <row r="990">
      <c r="B990" s="62"/>
    </row>
    <row r="991">
      <c r="B991" s="62"/>
    </row>
    <row r="992">
      <c r="B992" s="62"/>
    </row>
    <row r="993">
      <c r="B993" s="62"/>
    </row>
    <row r="994">
      <c r="B994" s="62"/>
    </row>
    <row r="995">
      <c r="B995" s="62"/>
    </row>
    <row r="996">
      <c r="B996" s="62"/>
    </row>
    <row r="997">
      <c r="B997" s="62"/>
    </row>
    <row r="998">
      <c r="B998" s="62"/>
    </row>
    <row r="999">
      <c r="B999" s="62"/>
    </row>
    <row r="1000">
      <c r="B1000" s="62"/>
    </row>
    <row r="1001">
      <c r="B1001" s="62"/>
    </row>
    <row r="1002">
      <c r="B1002" s="62"/>
    </row>
    <row r="1003">
      <c r="B1003" s="62"/>
    </row>
    <row r="1004">
      <c r="B1004" s="62"/>
    </row>
    <row r="1005">
      <c r="B1005" s="62"/>
    </row>
    <row r="1006">
      <c r="B1006" s="62"/>
    </row>
    <row r="1007">
      <c r="B1007" s="62"/>
    </row>
    <row r="1008">
      <c r="B1008" s="62"/>
    </row>
    <row r="1009">
      <c r="B1009" s="62"/>
    </row>
    <row r="1010">
      <c r="B1010" s="62"/>
    </row>
    <row r="1011">
      <c r="B1011" s="62"/>
    </row>
    <row r="1012">
      <c r="B1012" s="62"/>
    </row>
    <row r="1013">
      <c r="B1013" s="62"/>
    </row>
    <row r="1014">
      <c r="B1014" s="62"/>
    </row>
    <row r="1015">
      <c r="B1015" s="62"/>
    </row>
    <row r="1016">
      <c r="B1016" s="62"/>
    </row>
    <row r="1017">
      <c r="B1017" s="62"/>
    </row>
    <row r="1018">
      <c r="B1018" s="62"/>
    </row>
    <row r="1019">
      <c r="B1019" s="62"/>
    </row>
    <row r="1020">
      <c r="B1020" s="62"/>
    </row>
    <row r="1021">
      <c r="B1021" s="62"/>
    </row>
    <row r="1022">
      <c r="B1022" s="62"/>
    </row>
    <row r="1023">
      <c r="B1023" s="62"/>
    </row>
  </sheetData>
  <conditionalFormatting sqref="F4:F15 E5 F18:F37 F43:F44 E56:E58">
    <cfRule type="cellIs" dxfId="1" priority="1" operator="greaterThan">
      <formula>0</formula>
    </cfRule>
  </conditionalFormatting>
  <conditionalFormatting sqref="F4:F15 E5 F18:F37 F43:F44 E56:E58">
    <cfRule type="cellIs" dxfId="2" priority="2" operator="lessThan">
      <formula>0</formula>
    </cfRule>
  </conditionalFormatting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23.88"/>
    <col customWidth="1" min="7" max="7" width="14.88"/>
  </cols>
  <sheetData>
    <row r="1">
      <c r="A1" s="7" t="s">
        <v>620</v>
      </c>
    </row>
    <row r="2">
      <c r="A2" s="7" t="s">
        <v>545</v>
      </c>
      <c r="B2" s="38">
        <v>42814.0</v>
      </c>
      <c r="C2" s="7" t="s">
        <v>621</v>
      </c>
    </row>
    <row r="3">
      <c r="A3" s="7" t="s">
        <v>622</v>
      </c>
      <c r="B3" s="38">
        <v>42816.0</v>
      </c>
      <c r="C3" s="7" t="s">
        <v>623</v>
      </c>
    </row>
    <row r="4">
      <c r="A4" s="7" t="s">
        <v>624</v>
      </c>
      <c r="B4" s="38">
        <v>42816.0</v>
      </c>
      <c r="C4" s="7" t="s">
        <v>625</v>
      </c>
    </row>
    <row r="5">
      <c r="A5" s="7" t="s">
        <v>626</v>
      </c>
      <c r="B5" s="38">
        <v>42816.0</v>
      </c>
      <c r="C5" s="7" t="s">
        <v>625</v>
      </c>
    </row>
    <row r="8">
      <c r="A8" s="7" t="s">
        <v>627</v>
      </c>
    </row>
    <row r="9">
      <c r="A9" s="7" t="s">
        <v>628</v>
      </c>
      <c r="B9" s="230">
        <v>42789.0</v>
      </c>
      <c r="C9" s="7" t="s">
        <v>629</v>
      </c>
      <c r="D9" s="7" t="s">
        <v>630</v>
      </c>
      <c r="H9" s="7" t="s">
        <v>631</v>
      </c>
    </row>
    <row r="10">
      <c r="A10" s="7" t="s">
        <v>632</v>
      </c>
      <c r="B10" s="230">
        <v>42815.0</v>
      </c>
      <c r="C10" s="7" t="s">
        <v>633</v>
      </c>
    </row>
    <row r="11">
      <c r="A11" s="7" t="s">
        <v>634</v>
      </c>
      <c r="B11" s="38">
        <v>42790.0</v>
      </c>
      <c r="C11" s="7" t="s">
        <v>635</v>
      </c>
    </row>
    <row r="12">
      <c r="A12" s="7" t="s">
        <v>636</v>
      </c>
      <c r="B12" s="38">
        <v>42816.0</v>
      </c>
      <c r="C12" s="7" t="s">
        <v>637</v>
      </c>
    </row>
    <row r="13">
      <c r="A13" s="7" t="s">
        <v>638</v>
      </c>
      <c r="B13" s="38">
        <v>42822.0</v>
      </c>
      <c r="C13" s="7" t="s">
        <v>639</v>
      </c>
    </row>
    <row r="14">
      <c r="A14" s="7" t="s">
        <v>640</v>
      </c>
      <c r="B14" s="38">
        <v>42860.0</v>
      </c>
      <c r="C14" s="7" t="s">
        <v>641</v>
      </c>
    </row>
    <row r="15">
      <c r="A15" s="7"/>
      <c r="C15" s="7"/>
    </row>
    <row r="16">
      <c r="A16" s="7"/>
      <c r="C16" s="7"/>
    </row>
    <row r="17">
      <c r="A17" s="7"/>
      <c r="C17" s="7"/>
    </row>
    <row r="18">
      <c r="A18" s="7"/>
      <c r="C18" s="7"/>
    </row>
    <row r="19">
      <c r="A19" s="7"/>
      <c r="C19" s="7"/>
    </row>
    <row r="20">
      <c r="A20" s="7" t="s">
        <v>642</v>
      </c>
      <c r="C20" s="7" t="s">
        <v>643</v>
      </c>
    </row>
    <row r="21">
      <c r="A21" s="7" t="s">
        <v>644</v>
      </c>
      <c r="B21" s="7" t="s">
        <v>645</v>
      </c>
      <c r="C21" s="7">
        <v>400.0</v>
      </c>
      <c r="D21" s="7" t="s">
        <v>646</v>
      </c>
    </row>
    <row r="22">
      <c r="A22" s="7" t="s">
        <v>647</v>
      </c>
      <c r="B22" s="38">
        <v>42806.0</v>
      </c>
      <c r="C22" s="7">
        <v>400.0</v>
      </c>
      <c r="D22" s="7" t="s">
        <v>648</v>
      </c>
    </row>
    <row r="23">
      <c r="A23" s="231" t="s">
        <v>649</v>
      </c>
      <c r="B23" s="7" t="s">
        <v>650</v>
      </c>
      <c r="C23" s="7">
        <v>400.0</v>
      </c>
      <c r="D23" s="7" t="s">
        <v>651</v>
      </c>
    </row>
    <row r="24">
      <c r="A24" s="231" t="s">
        <v>652</v>
      </c>
      <c r="B24" s="7" t="s">
        <v>650</v>
      </c>
      <c r="C24" s="7">
        <v>0.0</v>
      </c>
      <c r="D24" s="7" t="s">
        <v>653</v>
      </c>
    </row>
    <row r="27">
      <c r="A27" s="232">
        <v>2018.0</v>
      </c>
    </row>
    <row r="28">
      <c r="A28" s="7" t="s">
        <v>642</v>
      </c>
    </row>
    <row r="29">
      <c r="A29" s="231" t="s">
        <v>649</v>
      </c>
      <c r="B29" s="230">
        <v>43138.0</v>
      </c>
      <c r="C29" s="7">
        <v>400.0</v>
      </c>
      <c r="D29" s="7" t="s">
        <v>651</v>
      </c>
    </row>
    <row r="30">
      <c r="A30" s="231" t="s">
        <v>652</v>
      </c>
      <c r="B30" s="230">
        <v>43138.0</v>
      </c>
      <c r="C30" s="7">
        <v>0.0</v>
      </c>
      <c r="D30" s="7" t="s">
        <v>653</v>
      </c>
    </row>
    <row r="31">
      <c r="A31" s="7" t="s">
        <v>654</v>
      </c>
      <c r="B31" s="230">
        <v>43138.0</v>
      </c>
    </row>
    <row r="32">
      <c r="A32" s="7" t="s">
        <v>655</v>
      </c>
      <c r="B32" s="230">
        <v>43138.0</v>
      </c>
      <c r="C32" s="7">
        <v>400.0</v>
      </c>
      <c r="D32" s="7" t="s">
        <v>656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48" t="s">
        <v>657</v>
      </c>
    </row>
    <row r="3">
      <c r="A3" s="7" t="s">
        <v>658</v>
      </c>
    </row>
    <row r="4">
      <c r="A4" s="7" t="s">
        <v>659</v>
      </c>
    </row>
    <row r="6">
      <c r="A6" s="148" t="s">
        <v>660</v>
      </c>
    </row>
    <row r="7">
      <c r="A7" s="7" t="s">
        <v>661</v>
      </c>
    </row>
    <row r="8">
      <c r="A8" s="7" t="s">
        <v>662</v>
      </c>
    </row>
    <row r="10">
      <c r="A10" s="148" t="s">
        <v>663</v>
      </c>
    </row>
    <row r="11">
      <c r="A11" s="7" t="s">
        <v>664</v>
      </c>
    </row>
    <row r="12">
      <c r="A12" s="7" t="s">
        <v>665</v>
      </c>
    </row>
    <row r="14">
      <c r="A14" s="233" t="s">
        <v>666</v>
      </c>
    </row>
    <row r="20">
      <c r="A20" s="7" t="s">
        <v>667</v>
      </c>
      <c r="B20" s="234" t="s">
        <v>668</v>
      </c>
    </row>
    <row r="21">
      <c r="B21" s="235"/>
    </row>
    <row r="22">
      <c r="B22" s="234" t="s">
        <v>669</v>
      </c>
    </row>
    <row r="24">
      <c r="A24" s="7" t="s">
        <v>670</v>
      </c>
    </row>
  </sheetData>
  <hyperlinks>
    <hyperlink r:id="rId1" ref="A1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6" max="6" width="14.5"/>
  </cols>
  <sheetData>
    <row r="1">
      <c r="A1" s="7" t="s">
        <v>671</v>
      </c>
      <c r="B1" s="7" t="s">
        <v>672</v>
      </c>
      <c r="C1" s="7" t="s">
        <v>673</v>
      </c>
      <c r="D1" s="7" t="s">
        <v>674</v>
      </c>
      <c r="E1" s="7" t="s">
        <v>675</v>
      </c>
      <c r="F1" s="7" t="s">
        <v>676</v>
      </c>
      <c r="G1" s="7" t="s">
        <v>677</v>
      </c>
      <c r="H1" s="7" t="s">
        <v>678</v>
      </c>
    </row>
    <row r="2">
      <c r="A2" s="7" t="s">
        <v>679</v>
      </c>
      <c r="B2" s="7" t="s">
        <v>680</v>
      </c>
      <c r="C2" s="16">
        <v>42822.0</v>
      </c>
      <c r="E2" s="7">
        <v>4478.0</v>
      </c>
      <c r="H2" s="236" t="s">
        <v>681</v>
      </c>
    </row>
    <row r="3">
      <c r="A3" s="7" t="s">
        <v>679</v>
      </c>
      <c r="B3" s="7" t="s">
        <v>680</v>
      </c>
      <c r="C3" s="16">
        <v>42860.0</v>
      </c>
      <c r="D3" s="7">
        <v>190.0</v>
      </c>
      <c r="E3" s="7">
        <v>190.0</v>
      </c>
      <c r="F3" s="7" t="s">
        <v>195</v>
      </c>
      <c r="G3" s="7" t="s">
        <v>195</v>
      </c>
      <c r="H3" s="7" t="s">
        <v>682</v>
      </c>
    </row>
    <row r="4">
      <c r="A4" s="7" t="s">
        <v>683</v>
      </c>
      <c r="B4" s="7" t="s">
        <v>684</v>
      </c>
      <c r="C4" s="16">
        <v>42877.0</v>
      </c>
      <c r="D4" s="7">
        <v>2090.0</v>
      </c>
      <c r="E4" s="7">
        <v>1200.0</v>
      </c>
      <c r="F4" s="7" t="s">
        <v>195</v>
      </c>
      <c r="G4" s="7" t="s">
        <v>685</v>
      </c>
      <c r="H4" s="7" t="s">
        <v>686</v>
      </c>
    </row>
    <row r="5">
      <c r="A5" s="7" t="s">
        <v>687</v>
      </c>
      <c r="B5" s="7" t="s">
        <v>688</v>
      </c>
      <c r="C5" s="16">
        <v>42830.0</v>
      </c>
      <c r="D5" s="7">
        <v>5200.0</v>
      </c>
      <c r="E5" s="7">
        <v>1000.0</v>
      </c>
      <c r="F5" s="7"/>
      <c r="G5" s="7" t="s">
        <v>195</v>
      </c>
      <c r="H5" s="7" t="s">
        <v>682</v>
      </c>
    </row>
    <row r="6">
      <c r="A6" s="7" t="s">
        <v>687</v>
      </c>
      <c r="B6" s="7" t="s">
        <v>689</v>
      </c>
      <c r="C6" s="16">
        <v>42878.0</v>
      </c>
      <c r="D6" s="7">
        <v>800.0</v>
      </c>
      <c r="E6" s="7">
        <v>1100.0</v>
      </c>
      <c r="F6" s="7"/>
      <c r="G6" s="7" t="s">
        <v>195</v>
      </c>
      <c r="H6" s="7" t="s">
        <v>690</v>
      </c>
    </row>
    <row r="7">
      <c r="A7" s="7" t="s">
        <v>687</v>
      </c>
      <c r="B7" s="7" t="s">
        <v>691</v>
      </c>
      <c r="C7" s="16">
        <v>42878.0</v>
      </c>
      <c r="D7" s="7">
        <v>30.0</v>
      </c>
      <c r="E7" s="7">
        <v>30.0</v>
      </c>
      <c r="F7" s="7"/>
      <c r="G7" s="7" t="s">
        <v>692</v>
      </c>
    </row>
    <row r="8">
      <c r="A8" s="7" t="s">
        <v>679</v>
      </c>
      <c r="B8" s="7" t="s">
        <v>693</v>
      </c>
      <c r="C8" s="16">
        <v>42896.0</v>
      </c>
      <c r="D8" s="7">
        <v>1730.0</v>
      </c>
      <c r="E8" s="7">
        <v>1730.0</v>
      </c>
      <c r="F8" s="7" t="s">
        <v>195</v>
      </c>
      <c r="G8" s="7" t="s">
        <v>195</v>
      </c>
      <c r="H8" s="7" t="s">
        <v>682</v>
      </c>
    </row>
    <row r="9">
      <c r="A9" s="7" t="s">
        <v>679</v>
      </c>
      <c r="B9" s="7" t="s">
        <v>694</v>
      </c>
      <c r="C9" s="16">
        <v>42942.0</v>
      </c>
      <c r="D9" s="7">
        <v>1706.0</v>
      </c>
      <c r="E9" s="7">
        <v>1706.0</v>
      </c>
      <c r="F9" s="7" t="s">
        <v>195</v>
      </c>
      <c r="G9" s="7" t="s">
        <v>685</v>
      </c>
      <c r="H9" s="236" t="s">
        <v>681</v>
      </c>
    </row>
    <row r="10">
      <c r="A10" s="7" t="s">
        <v>679</v>
      </c>
      <c r="B10" s="7" t="s">
        <v>695</v>
      </c>
      <c r="C10" s="16">
        <v>42942.0</v>
      </c>
      <c r="D10" s="7">
        <v>748.0</v>
      </c>
      <c r="E10" s="7">
        <v>748.0</v>
      </c>
      <c r="F10" s="7" t="s">
        <v>195</v>
      </c>
      <c r="G10" s="7" t="s">
        <v>685</v>
      </c>
      <c r="H10" s="236" t="s">
        <v>681</v>
      </c>
    </row>
    <row r="11">
      <c r="A11" s="7" t="s">
        <v>679</v>
      </c>
      <c r="B11" s="7" t="s">
        <v>696</v>
      </c>
      <c r="C11" s="16">
        <v>42942.0</v>
      </c>
      <c r="D11" s="7">
        <v>405.0</v>
      </c>
      <c r="E11" s="7">
        <v>405.0</v>
      </c>
      <c r="F11" s="7" t="s">
        <v>195</v>
      </c>
      <c r="G11" s="7" t="s">
        <v>685</v>
      </c>
      <c r="H11" s="236" t="s">
        <v>681</v>
      </c>
    </row>
    <row r="12">
      <c r="A12" s="7" t="s">
        <v>697</v>
      </c>
      <c r="B12" s="7" t="s">
        <v>698</v>
      </c>
      <c r="C12" s="16">
        <v>42948.0</v>
      </c>
      <c r="D12" s="7">
        <v>4394.0</v>
      </c>
      <c r="E12" s="7">
        <v>2613.0</v>
      </c>
      <c r="F12" s="7" t="s">
        <v>195</v>
      </c>
      <c r="G12" s="7" t="s">
        <v>685</v>
      </c>
    </row>
    <row r="13">
      <c r="A13" s="7" t="s">
        <v>699</v>
      </c>
      <c r="B13" s="7" t="s">
        <v>700</v>
      </c>
      <c r="C13" s="16">
        <v>42948.0</v>
      </c>
      <c r="D13" s="7">
        <v>2000.0</v>
      </c>
      <c r="E13" s="7">
        <v>2000.0</v>
      </c>
      <c r="F13" s="7" t="s">
        <v>195</v>
      </c>
      <c r="G13" s="7" t="s">
        <v>685</v>
      </c>
    </row>
    <row r="14">
      <c r="A14" s="7" t="s">
        <v>512</v>
      </c>
      <c r="B14" s="7" t="s">
        <v>701</v>
      </c>
      <c r="C14" s="16">
        <v>42926.0</v>
      </c>
      <c r="D14" s="7">
        <v>1500.0</v>
      </c>
      <c r="E14" s="7">
        <v>1500.0</v>
      </c>
      <c r="F14" s="7" t="s">
        <v>685</v>
      </c>
      <c r="G14" s="7" t="s">
        <v>195</v>
      </c>
      <c r="H14" s="7" t="s">
        <v>682</v>
      </c>
    </row>
    <row r="15">
      <c r="A15" s="7" t="s">
        <v>494</v>
      </c>
      <c r="B15" s="7" t="s">
        <v>702</v>
      </c>
      <c r="C15" s="16">
        <v>42982.0</v>
      </c>
      <c r="D15" s="7">
        <v>1210.0</v>
      </c>
      <c r="E15" s="7">
        <v>1000.0</v>
      </c>
      <c r="F15" s="7" t="s">
        <v>195</v>
      </c>
      <c r="G15" s="7" t="s">
        <v>685</v>
      </c>
      <c r="H15" s="7" t="s">
        <v>686</v>
      </c>
    </row>
    <row r="16">
      <c r="C16" s="16"/>
    </row>
    <row r="17">
      <c r="C17" s="16"/>
    </row>
    <row r="18">
      <c r="C18" s="16"/>
    </row>
    <row r="19">
      <c r="C19" s="16"/>
    </row>
    <row r="20">
      <c r="C20" s="16"/>
    </row>
    <row r="21">
      <c r="C21" s="16"/>
    </row>
    <row r="22">
      <c r="C22" s="16"/>
    </row>
    <row r="23">
      <c r="C23" s="16"/>
    </row>
    <row r="24">
      <c r="C24" s="16"/>
    </row>
    <row r="25">
      <c r="C25" s="16"/>
    </row>
    <row r="26">
      <c r="C26" s="16"/>
    </row>
    <row r="27">
      <c r="C27" s="16"/>
    </row>
    <row r="28">
      <c r="C28" s="16"/>
    </row>
    <row r="29">
      <c r="C29" s="16"/>
    </row>
    <row r="30">
      <c r="C30" s="16"/>
    </row>
    <row r="31">
      <c r="C31" s="16"/>
    </row>
    <row r="32">
      <c r="C32" s="16"/>
    </row>
    <row r="33">
      <c r="C33" s="16"/>
    </row>
    <row r="34">
      <c r="C34" s="16"/>
    </row>
    <row r="35">
      <c r="C35" s="16"/>
    </row>
    <row r="36">
      <c r="C36" s="16"/>
    </row>
    <row r="37">
      <c r="C37" s="16"/>
    </row>
    <row r="38">
      <c r="C38" s="16"/>
    </row>
    <row r="39">
      <c r="C39" s="16"/>
    </row>
    <row r="40">
      <c r="C40" s="16"/>
    </row>
    <row r="41">
      <c r="C41" s="16"/>
    </row>
    <row r="42">
      <c r="C42" s="16"/>
    </row>
    <row r="43">
      <c r="C43" s="16"/>
    </row>
    <row r="44">
      <c r="C44" s="16"/>
    </row>
    <row r="45">
      <c r="C45" s="16"/>
    </row>
    <row r="46">
      <c r="C46" s="16"/>
    </row>
    <row r="47">
      <c r="C47" s="16"/>
    </row>
    <row r="48">
      <c r="C48" s="1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25"/>
    <col customWidth="1" min="3" max="3" width="74.75"/>
    <col customWidth="1" min="4" max="4" width="5.38"/>
    <col customWidth="1" min="5" max="5" width="4.63"/>
    <col customWidth="1" min="6" max="6" width="6.63"/>
    <col customWidth="1" min="7" max="7" width="5.38"/>
    <col customWidth="1" min="8" max="8" width="5.75"/>
    <col customWidth="1" min="9" max="9" width="4.63"/>
    <col customWidth="1" min="10" max="10" width="6.5"/>
    <col customWidth="1" min="11" max="12" width="6.13"/>
    <col customWidth="1" min="13" max="13" width="6.25"/>
    <col customWidth="1" min="14" max="14" width="69.13"/>
  </cols>
  <sheetData>
    <row r="1">
      <c r="A1" s="7" t="s">
        <v>703</v>
      </c>
      <c r="B1" s="7" t="s">
        <v>673</v>
      </c>
      <c r="C1" s="7" t="s">
        <v>704</v>
      </c>
      <c r="D1" s="7" t="s">
        <v>705</v>
      </c>
      <c r="E1" s="7" t="s">
        <v>697</v>
      </c>
      <c r="F1" s="7" t="s">
        <v>586</v>
      </c>
      <c r="G1" s="7" t="s">
        <v>706</v>
      </c>
      <c r="H1" s="7" t="s">
        <v>707</v>
      </c>
      <c r="I1" s="7" t="s">
        <v>708</v>
      </c>
      <c r="J1" s="7" t="s">
        <v>709</v>
      </c>
      <c r="K1" s="7" t="s">
        <v>710</v>
      </c>
      <c r="L1" s="7" t="s">
        <v>711</v>
      </c>
      <c r="M1" s="7" t="s">
        <v>712</v>
      </c>
      <c r="N1" s="7" t="s">
        <v>713</v>
      </c>
    </row>
    <row r="2">
      <c r="A2" s="7">
        <v>1.0</v>
      </c>
      <c r="B2" s="16">
        <v>43125.0</v>
      </c>
      <c r="C2" s="237" t="s">
        <v>714</v>
      </c>
      <c r="D2" s="7" t="s">
        <v>195</v>
      </c>
      <c r="E2" s="7" t="s">
        <v>195</v>
      </c>
      <c r="F2" s="7" t="s">
        <v>195</v>
      </c>
      <c r="H2" s="7" t="s">
        <v>715</v>
      </c>
      <c r="I2" s="7" t="s">
        <v>195</v>
      </c>
      <c r="J2" s="7" t="s">
        <v>715</v>
      </c>
      <c r="K2" s="7"/>
      <c r="L2" s="7"/>
      <c r="M2" s="7"/>
      <c r="N2" s="238" t="s">
        <v>716</v>
      </c>
    </row>
    <row r="3">
      <c r="A3" s="7">
        <v>2.0</v>
      </c>
      <c r="B3" s="16">
        <v>43125.0</v>
      </c>
      <c r="C3" s="237" t="s">
        <v>717</v>
      </c>
      <c r="D3" s="7" t="s">
        <v>195</v>
      </c>
      <c r="E3" s="7" t="s">
        <v>195</v>
      </c>
      <c r="F3" s="7" t="s">
        <v>195</v>
      </c>
      <c r="H3" s="7" t="s">
        <v>195</v>
      </c>
      <c r="I3" s="7" t="s">
        <v>195</v>
      </c>
      <c r="J3" s="7" t="s">
        <v>685</v>
      </c>
      <c r="N3" s="239"/>
      <c r="O3" s="7" t="s">
        <v>718</v>
      </c>
    </row>
    <row r="4">
      <c r="A4" s="7">
        <v>3.0</v>
      </c>
      <c r="B4" s="16">
        <v>43125.0</v>
      </c>
      <c r="C4" s="237" t="s">
        <v>719</v>
      </c>
      <c r="D4" s="7" t="s">
        <v>195</v>
      </c>
      <c r="E4" s="7" t="s">
        <v>195</v>
      </c>
      <c r="F4" s="7" t="s">
        <v>195</v>
      </c>
      <c r="H4" s="7" t="s">
        <v>195</v>
      </c>
      <c r="I4" s="7" t="s">
        <v>195</v>
      </c>
      <c r="J4" s="7" t="s">
        <v>685</v>
      </c>
      <c r="N4" s="239"/>
      <c r="O4" s="7" t="s">
        <v>718</v>
      </c>
    </row>
    <row r="5">
      <c r="A5" s="7">
        <v>4.0</v>
      </c>
      <c r="B5" s="16">
        <v>43125.0</v>
      </c>
      <c r="C5" s="237" t="s">
        <v>720</v>
      </c>
      <c r="D5" s="7" t="s">
        <v>721</v>
      </c>
      <c r="E5" s="7" t="s">
        <v>195</v>
      </c>
      <c r="F5" s="7" t="s">
        <v>195</v>
      </c>
      <c r="H5" s="7" t="s">
        <v>685</v>
      </c>
      <c r="I5" s="7" t="s">
        <v>195</v>
      </c>
      <c r="J5" s="7" t="s">
        <v>195</v>
      </c>
      <c r="N5" s="238" t="s">
        <v>722</v>
      </c>
      <c r="O5" s="7" t="s">
        <v>718</v>
      </c>
    </row>
    <row r="6">
      <c r="A6" s="7">
        <v>5.0</v>
      </c>
      <c r="B6" s="16">
        <v>43125.0</v>
      </c>
      <c r="C6" s="237" t="s">
        <v>723</v>
      </c>
      <c r="D6" s="7" t="s">
        <v>724</v>
      </c>
      <c r="E6" s="7" t="s">
        <v>725</v>
      </c>
      <c r="F6" s="7" t="s">
        <v>725</v>
      </c>
      <c r="H6" s="7" t="s">
        <v>726</v>
      </c>
      <c r="I6" s="7" t="s">
        <v>727</v>
      </c>
      <c r="J6" s="7" t="s">
        <v>725</v>
      </c>
      <c r="N6" s="239"/>
      <c r="O6" s="7" t="s">
        <v>718</v>
      </c>
    </row>
    <row r="7">
      <c r="A7" s="7">
        <v>6.0</v>
      </c>
      <c r="B7" s="16">
        <v>43125.0</v>
      </c>
      <c r="C7" s="237" t="s">
        <v>728</v>
      </c>
      <c r="D7" s="7" t="s">
        <v>724</v>
      </c>
      <c r="E7" s="7" t="s">
        <v>725</v>
      </c>
      <c r="F7" s="7" t="s">
        <v>725</v>
      </c>
      <c r="H7" s="7" t="s">
        <v>726</v>
      </c>
      <c r="I7" s="7" t="s">
        <v>727</v>
      </c>
      <c r="J7" s="7" t="s">
        <v>725</v>
      </c>
      <c r="N7" s="240" t="s">
        <v>729</v>
      </c>
      <c r="O7" s="7" t="s">
        <v>718</v>
      </c>
    </row>
    <row r="8">
      <c r="A8" s="7">
        <v>7.0</v>
      </c>
      <c r="B8" s="16">
        <v>43125.0</v>
      </c>
      <c r="C8" s="237" t="s">
        <v>730</v>
      </c>
      <c r="D8" s="7" t="s">
        <v>685</v>
      </c>
      <c r="E8" s="7" t="s">
        <v>685</v>
      </c>
      <c r="F8" s="7" t="s">
        <v>685</v>
      </c>
      <c r="H8" s="7" t="s">
        <v>685</v>
      </c>
      <c r="I8" s="7" t="s">
        <v>685</v>
      </c>
      <c r="J8" s="7" t="s">
        <v>685</v>
      </c>
      <c r="N8" s="238" t="s">
        <v>731</v>
      </c>
      <c r="O8" s="7" t="s">
        <v>718</v>
      </c>
    </row>
    <row r="9">
      <c r="A9" s="7">
        <v>8.0</v>
      </c>
      <c r="B9" s="16">
        <v>43125.0</v>
      </c>
      <c r="C9" s="237" t="s">
        <v>732</v>
      </c>
      <c r="D9" s="7" t="s">
        <v>195</v>
      </c>
      <c r="E9" s="7" t="s">
        <v>195</v>
      </c>
      <c r="F9" s="7" t="s">
        <v>195</v>
      </c>
      <c r="H9" s="7" t="s">
        <v>195</v>
      </c>
      <c r="I9" s="7" t="s">
        <v>195</v>
      </c>
      <c r="J9" s="7" t="s">
        <v>195</v>
      </c>
      <c r="N9" s="239"/>
    </row>
    <row r="10">
      <c r="A10" s="7">
        <v>9.0</v>
      </c>
      <c r="B10" s="16">
        <v>43125.0</v>
      </c>
      <c r="C10" s="237" t="s">
        <v>733</v>
      </c>
      <c r="D10" s="7" t="s">
        <v>195</v>
      </c>
      <c r="E10" s="7"/>
      <c r="H10" s="7" t="s">
        <v>195</v>
      </c>
      <c r="I10" s="7" t="s">
        <v>195</v>
      </c>
      <c r="J10" s="7" t="s">
        <v>195</v>
      </c>
      <c r="N10" s="239"/>
    </row>
    <row r="11">
      <c r="A11" s="7">
        <v>10.0</v>
      </c>
      <c r="B11" s="16">
        <v>43125.0</v>
      </c>
      <c r="C11" s="237" t="s">
        <v>734</v>
      </c>
      <c r="D11" s="7" t="s">
        <v>685</v>
      </c>
      <c r="E11" s="7"/>
      <c r="H11" s="7" t="s">
        <v>685</v>
      </c>
      <c r="I11" s="7" t="s">
        <v>685</v>
      </c>
      <c r="J11" s="7" t="s">
        <v>685</v>
      </c>
      <c r="N11" s="239"/>
    </row>
    <row r="12">
      <c r="A12" s="7">
        <v>11.0</v>
      </c>
      <c r="B12" s="16">
        <v>43131.0</v>
      </c>
      <c r="C12" s="241" t="s">
        <v>735</v>
      </c>
      <c r="D12" s="7" t="s">
        <v>195</v>
      </c>
      <c r="E12" s="7" t="s">
        <v>685</v>
      </c>
      <c r="F12" s="7" t="s">
        <v>195</v>
      </c>
      <c r="G12" s="7" t="s">
        <v>195</v>
      </c>
      <c r="I12" s="7" t="s">
        <v>195</v>
      </c>
      <c r="J12" s="7" t="s">
        <v>195</v>
      </c>
      <c r="N12" s="239"/>
    </row>
    <row r="14">
      <c r="C14" s="241"/>
    </row>
    <row r="15">
      <c r="C15" s="7" t="s">
        <v>736</v>
      </c>
    </row>
    <row r="16">
      <c r="C16" s="242" t="s">
        <v>737</v>
      </c>
    </row>
    <row r="18">
      <c r="C18" s="241"/>
      <c r="D18" s="243"/>
    </row>
    <row r="20">
      <c r="C20" s="241"/>
    </row>
    <row r="22">
      <c r="C22" s="241"/>
    </row>
    <row r="24">
      <c r="C24" s="241"/>
    </row>
    <row r="26">
      <c r="C26" s="241"/>
    </row>
    <row r="28">
      <c r="C28" s="241"/>
    </row>
    <row r="30">
      <c r="C30" s="241"/>
    </row>
    <row r="32">
      <c r="C32" s="241"/>
    </row>
  </sheetData>
  <hyperlinks>
    <hyperlink r:id="rId1" ref="C16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3" max="3" width="43.63"/>
    <col customWidth="1" min="4" max="4" width="32.88"/>
  </cols>
  <sheetData>
    <row r="1">
      <c r="A1" s="7" t="s">
        <v>738</v>
      </c>
      <c r="B1" s="7" t="s">
        <v>739</v>
      </c>
      <c r="C1" s="7" t="s">
        <v>740</v>
      </c>
      <c r="D1" s="7" t="s">
        <v>741</v>
      </c>
    </row>
    <row r="2">
      <c r="A2" s="7" t="s">
        <v>742</v>
      </c>
      <c r="B2" s="7" t="s">
        <v>743</v>
      </c>
      <c r="C2" s="7" t="s">
        <v>744</v>
      </c>
      <c r="D2" s="233" t="s">
        <v>745</v>
      </c>
    </row>
    <row r="3">
      <c r="A3" s="7" t="s">
        <v>746</v>
      </c>
      <c r="B3" s="7" t="s">
        <v>743</v>
      </c>
      <c r="C3" s="7" t="s">
        <v>747</v>
      </c>
      <c r="D3" s="233" t="s">
        <v>748</v>
      </c>
    </row>
    <row r="4">
      <c r="A4" s="7" t="s">
        <v>749</v>
      </c>
      <c r="B4" s="7" t="s">
        <v>743</v>
      </c>
      <c r="C4" s="7" t="s">
        <v>750</v>
      </c>
      <c r="D4" s="233" t="s">
        <v>751</v>
      </c>
    </row>
    <row r="5">
      <c r="A5" s="7" t="s">
        <v>752</v>
      </c>
      <c r="B5" s="7" t="s">
        <v>743</v>
      </c>
      <c r="C5" s="7" t="s">
        <v>753</v>
      </c>
      <c r="D5" s="233" t="s">
        <v>752</v>
      </c>
    </row>
  </sheetData>
  <hyperlinks>
    <hyperlink r:id="rId1" ref="D2"/>
    <hyperlink r:id="rId2" ref="D3"/>
    <hyperlink r:id="rId3" ref="D4"/>
    <hyperlink r:id="rId4" ref="D5"/>
  </hyperlinks>
  <drawing r:id="rId5"/>
</worksheet>
</file>