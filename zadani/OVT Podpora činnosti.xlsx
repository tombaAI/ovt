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dpora 2025" sheetId="1" r:id="rId5"/>
    <sheet state="visible" name="Podpora 2024" sheetId="2" r:id="rId6"/>
    <sheet state="visible" name="Podpora 2023" sheetId="3" r:id="rId7"/>
    <sheet state="visible" name="Podpora 2022" sheetId="4" r:id="rId8"/>
    <sheet state="visible" name="Pravidla pro podporu činnosti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To jsou akce s prioritním nárokem na dotaci - tj. ČPV a zahraniční voda.
Na tyto akce bude vždy dostatek prostředků, i později během roku.</t>
      </text>
    </comment>
    <comment authorId="0" ref="D7">
      <text>
        <t xml:space="preserve">Dotace schvalované / navrhované během roku, tyto budou mít nárok podle pořadí během roku, do vyčerpání výše prostředků.</t>
      </text>
    </comment>
    <comment authorId="0" ref="G7">
      <text>
        <t xml:space="preserve">To je částka:
pokud je akce budoucí, pak rezervovaná, nebo nárokovaná
pokud akce proběhla, pak realizovaná.
Jde o částku, která je efektivně počítána v rozpočtu.</t>
      </text>
    </comment>
    <comment authorId="0" ref="C30">
      <text>
        <t xml:space="preserve">To je celkový součet rezervací, a to i těch, které již proběhly, bez ohledu na částku, kterou potom reálně čerpaly. Může být i vyšší, než 30.000,- Kč.</t>
      </text>
    </comment>
    <comment authorId="0" ref="D30">
      <text>
        <t xml:space="preserve">To je celkový součet rezervací, a to i těch, které již proběhly, bez ohledu na částku, kterou potom reálně čerpaly. Může být i vyšší, než 30.000,- Kč.</t>
      </text>
    </comment>
    <comment authorId="0" ref="F30">
      <text>
        <t xml:space="preserve">Vyčerpané peníze na podporu akcí, reálná částka, včetně 0,- Kč u akcí, které se nezrealizovaly.</t>
      </text>
    </comment>
    <comment authorId="0" ref="C31">
      <text>
        <t xml:space="preserve">Všechny rezervace na akce, které jíž proběhly, i ty, které neproběhly (a tedy zrealizovala se dotace 0,- Kč).
Fakticky se tato částka odečítá od všech rezervací.</t>
      </text>
    </comment>
    <comment authorId="0" ref="D31">
      <text>
        <t xml:space="preserve">Všechny rezervace na akce, které jíž proběhly, i ty, které neproběhly (a tedy zrealizovala se dotace 0,- Kč).
Fakticky se tato částka odečítá od všech rezervací.</t>
      </text>
    </comment>
    <comment authorId="0" ref="C32">
      <text>
        <t xml:space="preserve">Aktuálně platné prioritní rezervace = na toto musí ještě letos být dost peněz a je to částka, o kterou se ponižuje aktuální dostupný zůstatek pro další podporu akcí.</t>
      </text>
    </comment>
    <comment authorId="0" ref="D32">
      <text>
        <t xml:space="preserve">Aktuálně platná výše "žádostí" o dotace, ty budou uspokojovány v době konání akce podle pořadí během roku a do výše aktuálně dostupných prostředků pro dotace.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To jsou akce s prioritním nárokem na dotaci - tj. ČPV a zahraniční voda.
Na tyto akce bude vždy dostatek prostředků, i později během roku.</t>
      </text>
    </comment>
    <comment authorId="0" ref="D7">
      <text>
        <t xml:space="preserve">Dotace schvalované / navrhované během roku, tyto budou mít nárok podle pořadí během roku, do vyčerpání výše prostředků.</t>
      </text>
    </comment>
    <comment authorId="0" ref="G7">
      <text>
        <t xml:space="preserve">To je částka:
pokud je akce budoucí, pak rezervovaná, nebo nárokovaná
pokud akce proběhla, pak realizovaná.
Jde o částku, která je efektivně počítána v rozpočtu.</t>
      </text>
    </comment>
    <comment authorId="0" ref="C30">
      <text>
        <t xml:space="preserve">To je celkový součet rezervací, a to i těch, které již proběhly, bez ohledu na částku, kterou potom reálně čerpaly. Může být i vyšší, než 30.000,- Kč.</t>
      </text>
    </comment>
    <comment authorId="0" ref="D30">
      <text>
        <t xml:space="preserve">To je celkový součet rezervací, a to i těch, které již proběhly, bez ohledu na částku, kterou potom reálně čerpaly. Může být i vyšší, než 30.000,- Kč.</t>
      </text>
    </comment>
    <comment authorId="0" ref="F30">
      <text>
        <t xml:space="preserve">Vyčerpané peníze na podporu akcí, reálná částka, včetně 0,- Kč u akcí, které se nezrealizovaly.</t>
      </text>
    </comment>
    <comment authorId="0" ref="C31">
      <text>
        <t xml:space="preserve">Všechny rezervace na akce, které jíž proběhly, i ty, které neproběhly (a tedy zrealizovala se dotace 0,- Kč).
Fakticky se tato částka odečítá od všech rezervací.</t>
      </text>
    </comment>
    <comment authorId="0" ref="D31">
      <text>
        <t xml:space="preserve">Všechny rezervace na akce, které jíž proběhly, i ty, které neproběhly (a tedy zrealizovala se dotace 0,- Kč).
Fakticky se tato částka odečítá od všech rezervací.</t>
      </text>
    </comment>
    <comment authorId="0" ref="C32">
      <text>
        <t xml:space="preserve">Aktuálně platné prioritní rezervace = na toto musí ještě letos být dost peněz a je to částka, o kterou se ponižuje aktuální dostupný zůstatek pro další podporu akcí.</t>
      </text>
    </comment>
    <comment authorId="0" ref="D32">
      <text>
        <t xml:space="preserve">Aktuálně platná výše "žádostí" o dotace, ty budou uspokojovány v době konání akce podle pořadí během roku a do výše aktuálně dostupných prostředků pro dotace.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To jsou akce s prioritním nárokem na dotaci - tj. ČPV a zahraniční voda.
Na tyto akce bude vždy dostatek prostředků, i později během roku.</t>
      </text>
    </comment>
    <comment authorId="0" ref="D7">
      <text>
        <t xml:space="preserve">Dotace schvalované / navrhované během roku, tyto budou mít nárok podle pořadí během roku, do vyčerpání výše prostředků.</t>
      </text>
    </comment>
    <comment authorId="0" ref="G7">
      <text>
        <t xml:space="preserve">To je částka:
pokud je akce budoucí, pak rezervovaná, nebo nárokovaná
pokud akce proběhla, pak realizovaná.
Jde o částku, která je efektivně počítána v rozpočtu.</t>
      </text>
    </comment>
    <comment authorId="0" ref="C27">
      <text>
        <t xml:space="preserve">To je celkový součet rezervací, a to i těch, které již proběhly, bez ohledu na částku, kterou potom reálně čerpaly. Může být i vyšší, než 30.000,- Kč.</t>
      </text>
    </comment>
    <comment authorId="0" ref="D27">
      <text>
        <t xml:space="preserve">To je celkový součet rezervací, a to i těch, které již proběhly, bez ohledu na částku, kterou potom reálně čerpaly. Může být i vyšší, než 30.000,- Kč.</t>
      </text>
    </comment>
    <comment authorId="0" ref="F27">
      <text>
        <t xml:space="preserve">Vyčerpané peníze na podporu akcí, reálná částka, včetně 0,- Kč u akcí, které se nezrealizovaly.</t>
      </text>
    </comment>
    <comment authorId="0" ref="C28">
      <text>
        <t xml:space="preserve">Všechny rezervace na akce, které jíž proběhly, i ty, které neproběhly (a tedy zrealizovala se dotace 0,- Kč).
Fakticky se tato částka odečítá od všech rezervací.</t>
      </text>
    </comment>
    <comment authorId="0" ref="D28">
      <text>
        <t xml:space="preserve">Všechny rezervace na akce, které jíž proběhly, i ty, které neproběhly (a tedy zrealizovala se dotace 0,- Kč).
Fakticky se tato částka odečítá od všech rezervací.</t>
      </text>
    </comment>
    <comment authorId="0" ref="C29">
      <text>
        <t xml:space="preserve">Aktuálně platné prioritní rezervace = na toto musí ještě letos být dost peněz a je to částka, o kterou se ponižuje aktuální dostupný zůstatek pro další podporu akcí.</t>
      </text>
    </comment>
    <comment authorId="0" ref="D29">
      <text>
        <t xml:space="preserve">Aktuálně platná výše "žádostí" o dotace, ty budou uspokojovány v době konání akce podle pořadí během roku a do výše aktuálně dostupných prostředků pro dotace.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původně 3500</t>
      </text>
    </comment>
    <comment authorId="0" ref="C17">
      <text>
        <t xml:space="preserve">původně 3500</t>
      </text>
    </comment>
  </commentList>
</comments>
</file>

<file path=xl/sharedStrings.xml><?xml version="1.0" encoding="utf-8"?>
<sst xmlns="http://schemas.openxmlformats.org/spreadsheetml/2006/main" count="242" uniqueCount="116">
  <si>
    <r>
      <rPr>
        <b/>
      </rPr>
      <t xml:space="preserve">Pravidla pro podporu akcí najdete na listu: </t>
    </r>
    <r>
      <rPr>
        <b/>
        <color rgb="FF1155CC"/>
        <u/>
      </rPr>
      <t>Pravidla pro podporu činnosti.</t>
    </r>
  </si>
  <si>
    <t>Celkem k dispozici na dotace</t>
  </si>
  <si>
    <t>Na dotace je letos aktuálně volných:</t>
  </si>
  <si>
    <t>To je k dnešnímu datu, částka se může změnit oběma směry podle ne/uskutečnění akcí.</t>
  </si>
  <si>
    <t>Pouze ČPV a zahr.</t>
  </si>
  <si>
    <t>Ostatní akce</t>
  </si>
  <si>
    <t>Jestli je dostatek peněz</t>
  </si>
  <si>
    <t>Reálně poskytnutá dotace</t>
  </si>
  <si>
    <t>Datum</t>
  </si>
  <si>
    <t>Akce</t>
  </si>
  <si>
    <t>Rezervace</t>
  </si>
  <si>
    <t>Návrh/žádost</t>
  </si>
  <si>
    <t>Nárok na dotaci?</t>
  </si>
  <si>
    <t>Využitá</t>
  </si>
  <si>
    <t>Efektivní částka</t>
  </si>
  <si>
    <t>Kdo je zodpovědný za vyúčtování</t>
  </si>
  <si>
    <t>Hotové vyúčtování?</t>
  </si>
  <si>
    <t>Poznámky</t>
  </si>
  <si>
    <t>Doubrava</t>
  </si>
  <si>
    <t>ČPV Otava</t>
  </si>
  <si>
    <t>Kamenice</t>
  </si>
  <si>
    <t>České Vrbné</t>
  </si>
  <si>
    <t>ČPV Sázava</t>
  </si>
  <si>
    <t>Zahraniční voda</t>
  </si>
  <si>
    <t>Trnávka</t>
  </si>
  <si>
    <t>Roudnice</t>
  </si>
  <si>
    <t>Brandýs n.L.</t>
  </si>
  <si>
    <t>ČPV Blanice</t>
  </si>
  <si>
    <t>ČPV Úhlava</t>
  </si>
  <si>
    <t>ČPV Teplá, Střela</t>
  </si>
  <si>
    <t>Prahou přes 3 jezy</t>
  </si>
  <si>
    <t>Vavřinecký potok</t>
  </si>
  <si>
    <t>Vánoce</t>
  </si>
  <si>
    <t>Celkem:</t>
  </si>
  <si>
    <t>Realizované rezervace</t>
  </si>
  <si>
    <t>Zůstatek rezervace</t>
  </si>
  <si>
    <t>ČPV: Otava 3.500,- Kč Sázava 2.000,- Kč Blanice 3.000,- Kč Úhlava 3.000,- Kč Teplá a střela 3.500,- Kč</t>
  </si>
  <si>
    <r>
      <rPr>
        <b/>
      </rPr>
      <t xml:space="preserve">Pravidla pro podporu akcí najdete na listu: </t>
    </r>
    <r>
      <rPr>
        <b/>
        <color rgb="FF1155CC"/>
        <u/>
      </rPr>
      <t>Pravidla pro podporu činnosti.</t>
    </r>
  </si>
  <si>
    <t>Ešus</t>
  </si>
  <si>
    <t>Vyplaceno</t>
  </si>
  <si>
    <t>OK</t>
  </si>
  <si>
    <t>Tomík</t>
  </si>
  <si>
    <t>Bára K.</t>
  </si>
  <si>
    <t>Štěpán</t>
  </si>
  <si>
    <t>Lukáš Kopřiva</t>
  </si>
  <si>
    <t>TODO vyúčtovat !!</t>
  </si>
  <si>
    <r>
      <rPr>
        <b/>
      </rPr>
      <t xml:space="preserve">Pravidla pro podporu akcí najdete na listu: </t>
    </r>
    <r>
      <rPr>
        <b/>
        <color rgb="FF1155CC"/>
        <u/>
      </rPr>
      <t>Pravidla pro podporu činnosti.</t>
    </r>
  </si>
  <si>
    <t>Jašek</t>
  </si>
  <si>
    <t>Lukáš</t>
  </si>
  <si>
    <t>Jáchym</t>
  </si>
  <si>
    <t>Hugo</t>
  </si>
  <si>
    <t>Akce nebyla</t>
  </si>
  <si>
    <r>
      <rPr>
        <b/>
      </rPr>
      <t xml:space="preserve">Pravidla pro podporu akcí najdete na druhém listu: </t>
    </r>
    <r>
      <rPr>
        <b/>
        <color rgb="FF1155CC"/>
        <u/>
      </rPr>
      <t>Pravidla pro podporu činnosti.</t>
    </r>
  </si>
  <si>
    <t>Rezervovaná dotace</t>
  </si>
  <si>
    <t>Potvrzená dotace</t>
  </si>
  <si>
    <t>Kolik zbývá na dotace</t>
  </si>
  <si>
    <t>Vyplaceno (Ešus)</t>
  </si>
  <si>
    <t>Zaplatit</t>
  </si>
  <si>
    <t>Akce zrušena</t>
  </si>
  <si>
    <t>Kateřina Měrková, Marek Hořejší</t>
  </si>
  <si>
    <t>Vyplaceno (Tomík)</t>
  </si>
  <si>
    <t>Proběhla, zaplatit. Dotaci na místě pokryl Tomík, tak proplatit jemu</t>
  </si>
  <si>
    <t>Vyplaceno (Štěpán)</t>
  </si>
  <si>
    <t>Plán 5000</t>
  </si>
  <si>
    <t>Vyplaceno (Jáchym)</t>
  </si>
  <si>
    <t>asi nebyla</t>
  </si>
  <si>
    <t>neozval se org..</t>
  </si>
  <si>
    <t>doplnit ostatní plánované akce</t>
  </si>
  <si>
    <t>Pravidla pro podporu činnosti - dotace na akce</t>
  </si>
  <si>
    <t>Dotace jsou určeny pro členy oddílu jako podpora činnosti.</t>
  </si>
  <si>
    <t>Dotace je předána organizátorovi, který ji rozdělí na jednotlivé členy (typicky poníží celkovou cenu zájezdu/nebo proplatí dopravu).</t>
  </si>
  <si>
    <t>Dotace je adresná, tedy pokrývá náklady členů, typicky neslouží k pokrytí paušálních nákladů akce (tj. nepokrývá náklady nečlenů - dotace je benefit členů oddílu OVT).</t>
  </si>
  <si>
    <t>Akce (i dotace na ní) si chceme hlavně užít, všechna pravidla níže slouží spíš jako rámec "co čekat" a pro zjednodušení, ne pro striktní vyžadování pravidel. Chápejte ale prosím, že kolem toho je dost práce, takže nějaká pravidla to mít musí..</t>
  </si>
  <si>
    <t>Celkem je v rozpočtu na kalendářní rok schválený objem prostředků, v roce 2023 to je 30.000 Kč</t>
  </si>
  <si>
    <r>
      <rPr>
        <rFont val="Arial"/>
        <color theme="1"/>
      </rPr>
      <t xml:space="preserve">Základní </t>
    </r>
    <r>
      <rPr>
        <rFont val="Arial"/>
        <b/>
        <color theme="1"/>
      </rPr>
      <t>dotace na jednu akci je 2.000,- Kč</t>
    </r>
    <r>
      <rPr>
        <rFont val="Arial"/>
        <color theme="1"/>
      </rPr>
      <t>.</t>
    </r>
  </si>
  <si>
    <r>
      <rPr>
        <rFont val="Arial"/>
        <b/>
        <color theme="1"/>
      </rPr>
      <t>Dotace pro ĆPV</t>
    </r>
    <r>
      <rPr>
        <rFont val="Arial"/>
        <color theme="1"/>
      </rPr>
      <t xml:space="preserve"> jsou následující: </t>
    </r>
  </si>
  <si>
    <t>ČPV Otava 3.500,- Kč</t>
  </si>
  <si>
    <t>ČPV Sázava 2.000,- Kč</t>
  </si>
  <si>
    <t>ČPV Blanice 3.000,- Kč</t>
  </si>
  <si>
    <t>ČPV Úhlava 3.000,- Kč</t>
  </si>
  <si>
    <t>ČPV Teplá a střela 3.500,- Kč</t>
  </si>
  <si>
    <t>Na vybrané akce může mít až dvojnásobnou dotaci (tj. do 4.000), např. zahraniční zájezd, oddílový den, oddílové Vánoce.</t>
  </si>
  <si>
    <r>
      <rPr>
        <rFont val="Arial"/>
        <color theme="1"/>
      </rPr>
      <t xml:space="preserve">Dotace má zároveň </t>
    </r>
    <r>
      <rPr>
        <rFont val="Arial"/>
        <b/>
        <color theme="1"/>
      </rPr>
      <t>limit 200 Kč / člena / den</t>
    </r>
    <r>
      <rPr>
        <rFont val="Arial"/>
        <color theme="1"/>
      </rPr>
      <t xml:space="preserve"> (u víkendové akce se nepočítá případný pátek, resp. večírek v předvečer akce).</t>
    </r>
  </si>
  <si>
    <t>Dotace je vždy maximálně do výše relevantních nákladů, tedy není vždy vyčerpaná celá částka rezervovaná na akci (třeba když není moc členů).</t>
  </si>
  <si>
    <t>Na dotaci musí být dost peněz v rozpočtu, viz dále.</t>
  </si>
  <si>
    <t>Pravidla pro přidělení dotace na jednotlivou akci:</t>
  </si>
  <si>
    <t>1) Akce libovolného typu, nemusí souviset s vodáckou ani jinou sportovní činností, měla by ale splňovat společný skupinový charakter.</t>
  </si>
  <si>
    <t>2) Akce řádně vyhlášená, alespoň 3 dny předem:</t>
  </si>
  <si>
    <t>tj. v kalendáři akcí (typicky opakované akce jako ČPV a ostatní vody)</t>
  </si>
  <si>
    <t>nebo vyhlášená e-mailem "ovt-clenstvo".</t>
  </si>
  <si>
    <t>Pozvánka přes WA skupinu není samostatně dostatečná, protože jde o skupinu přátel kolem oddílu a nejsou tam všichni.</t>
  </si>
  <si>
    <t>3) S možností členů oddílu OVT v dostatečném množství, tj. aby bylo možné se přidat:</t>
  </si>
  <si>
    <t>i když nemám auto (a má ho někdo jiný)</t>
  </si>
  <si>
    <t>i když už jsou čtyři členové přihlášení (kapacita by měla být otevřená, nebo rozumně dostatečná. Na chalupě v Jiřetíně např. s časovou preferencí přihlášek členů OVT před nečleny po nějaký čas od vyhlášení)</t>
  </si>
  <si>
    <t>i když nemám děti / nejsem senior / nejsem ultramaratonec, ale mám s těmito sympatie (stačí, když mi moc nevadí)</t>
  </si>
  <si>
    <t>4) S relevantními náklady, které má dotace pokrýt:</t>
  </si>
  <si>
    <t>Typicky na dopravu, ubytování, startovné, kanál a jiné náklady, bez kterých to nejde.</t>
  </si>
  <si>
    <t>U oddílových společných akcí typu oddílového dnu a Vánoc jde dotace i na pokrytí společného stravování. Stravování na ostatních akcích není součástí dotace (ať už je individuální, nebo nějakým způsobem společné nebo zajištěné).</t>
  </si>
  <si>
    <t>5) O dotaci je nutné požádat předem:</t>
  </si>
  <si>
    <t>Pokud má akce již rezervovanou částku na listu "Podpora 20xx", není potřeba o ní žádat (typicky ČPV a ostatní pravidelné/oddílové akce)</t>
  </si>
  <si>
    <t>Jinak mailem na někoho z výboru, třeba na Bundáše ( tomas.bauer@centrum.cz ).</t>
  </si>
  <si>
    <t>Dotaci formálně schvaluje výbor, pokud je akce "nová", pošlete k tomu prosím i nějaké info, proč je dobré akci podpořit. Výbor má pravomoc dotaci odmítnout, pokud taková zjevně neplní účel podpory oddílových akcí.</t>
  </si>
  <si>
    <t>6) Dotaci je potřeba vyúčtovat:</t>
  </si>
  <si>
    <t>Poslat tabulku s přehledem členů (kteří dostali dotaci) a relevantních nákladů. Třeba dle tabulky vyúčtování viz: https://ovtbohemians.cz/dokumenty/</t>
  </si>
  <si>
    <t>Doklady z akce nepotřebujeme, nemusíte je (pro potřeby dotace) získávat, posílat ani předávat. Vašim vykázaným nákladům věřím.</t>
  </si>
  <si>
    <t>A říct, kolik chcete peněz a kam poslat (na účet nejlépe). Případně si předem říct o zálohu a pak ji vyrovnat podle výsledku.</t>
  </si>
  <si>
    <t>Jak se rozdělí peníze z rozpočtu mezi akce?</t>
  </si>
  <si>
    <t>Jednotlivé akce čerpají prostředky od začátku roku v pořadí jejích pořádání, do výše schváleného rozpočtu. Až rozpočet dojde, v daném roce už se dotace nepřidělují.</t>
  </si>
  <si>
    <t>Závody ČPV, zahraniční zájezd, Dobrava a Vavřinečák mají prostředky rezervované předem (prioritně), nemůže se tedy stát, že podzimní ČPV nebude mít dotaci.</t>
  </si>
  <si>
    <t>Příklady a praxe</t>
  </si>
  <si>
    <t>Na začátku roku je k dispozici 30 tisíc, a rezervováno 24 tisíc = 15 na ČPV, 5 na zahraniční vodu, 2 Doubrava a 2 Vavřinečák, je tedy k dispozici 6 tisíc na 3 akce.</t>
  </si>
  <si>
    <t>Během roku se některé z akcí, na které byly rezervované prostředy, neuskuteční, nebo mají nižší náklady - třeba Doubrava jen 600, Sázava nebude, Blanice 1300, atd. =&gt; zvyšuje se dostupná částka pro ostatní akce.</t>
  </si>
  <si>
    <t>Ostatní akce, třeba Kamenice, Vrbné, nebo kola v Jiřetíně čerpají dotace - vždy do výše v tu chvíli aktuální volné částky (30 tisíc, mínus vyčerpané dotace, mínus platné rezervace) v pořadí pořádání akce (datum pořádání akce).</t>
  </si>
  <si>
    <t>Může se tedy stát, že v červnu akce v Jiřetíne nedostane dotaci (protože už proběhly nějaké akce a zbytek prostředků je rezervovaný na podzimní ČPV), ale v září Prahou přes tři jezy ano, pokud se např. zruší ČPV Úhlava na začátku září (a z té se uvolní rezervované prostředky).</t>
  </si>
  <si>
    <t>Výbor má pravomoc upřesnit pravidla i během roku, pokud by se ukázalo, že mají nějakou zjevnou mezeru. O tom bude případně informovat členskou základnu e-mailem.</t>
  </si>
  <si>
    <t>A samozřejmě se můžeme pro určitou akci dohodnout na odchylkách z pravidel, cílem je poskytovat dotace na smysluplné akce, ne formálně trvat na podmínkách dotací. Jsme kamarádi, ne státní podnik.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</si>
</sst>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\ [$Kč-405]"/>
    <numFmt numFmtId="165" formatCode="#,##0_) Kč;[Red]-#,##0 Kč"/>
    <numFmt numFmtId="166" formatCode="d.m.yyyy"/>
  </numFmts>
  <fonts count="7">
    <font>
      <sz val="10.0"/>
      <color rgb="FF000000"/>
      <name val="Arial"/>
      <scheme val="minor"/>
    </font>
    <font>
      <b/>
      <u/>
      <color rgb="FF0000FF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F7981D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theme="7"/>
        <bgColor theme="7"/>
      </patternFill>
    </fill>
    <fill>
      <patternFill patternType="solid">
        <fgColor rgb="FFF3F3F3"/>
        <bgColor rgb="FFF3F3F3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1" fillId="3" fontId="2" numFmtId="0" xfId="0" applyAlignment="1" applyBorder="1" applyFill="1" applyFont="1">
      <alignment readingOrder="0"/>
    </xf>
    <xf borderId="0" fillId="0" fontId="2" numFmtId="0" xfId="0" applyFont="1"/>
    <xf borderId="0" fillId="0" fontId="3" numFmtId="166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4" fontId="3" numFmtId="164" xfId="0" applyAlignment="1" applyFill="1" applyFont="1" applyNumberFormat="1">
      <alignment readingOrder="0"/>
    </xf>
    <xf borderId="2" fillId="3" fontId="3" numFmtId="0" xfId="0" applyBorder="1" applyFont="1"/>
    <xf borderId="2" fillId="3" fontId="3" numFmtId="0" xfId="0" applyAlignment="1" applyBorder="1" applyFont="1">
      <alignment readingOrder="0"/>
    </xf>
    <xf borderId="2" fillId="3" fontId="3" numFmtId="164" xfId="0" applyBorder="1" applyFont="1" applyNumberFormat="1"/>
    <xf borderId="0" fillId="3" fontId="3" numFmtId="0" xfId="0" applyAlignment="1" applyFont="1">
      <alignment readingOrder="0"/>
    </xf>
    <xf borderId="0" fillId="3" fontId="3" numFmtId="164" xfId="0" applyAlignment="1" applyFont="1" applyNumberFormat="1">
      <alignment readingOrder="0"/>
    </xf>
    <xf borderId="0" fillId="0" fontId="4" numFmtId="0" xfId="0" applyFont="1"/>
    <xf borderId="0" fillId="5" fontId="3" numFmtId="0" xfId="0" applyAlignment="1" applyFill="1" applyFont="1">
      <alignment readingOrder="0"/>
    </xf>
    <xf borderId="0" fillId="5" fontId="3" numFmtId="166" xfId="0" applyAlignment="1" applyFont="1" applyNumberFormat="1">
      <alignment readingOrder="0"/>
    </xf>
    <xf borderId="0" fillId="2" fontId="2" numFmtId="164" xfId="0" applyAlignment="1" applyFont="1" applyNumberFormat="1">
      <alignment readingOrder="0"/>
    </xf>
    <xf borderId="1" fillId="3" fontId="3" numFmtId="0" xfId="0" applyAlignment="1" applyBorder="1" applyFont="1">
      <alignment readingOrder="0"/>
    </xf>
    <xf borderId="0" fillId="6" fontId="3" numFmtId="164" xfId="0" applyAlignment="1" applyFill="1" applyFont="1" applyNumberFormat="1">
      <alignment readingOrder="0"/>
    </xf>
    <xf borderId="0" fillId="0" fontId="3" numFmtId="164" xfId="0" applyFont="1" applyNumberFormat="1"/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15.38"/>
    <col customWidth="1" min="4" max="4" width="12.0"/>
    <col customWidth="1" min="5" max="5" width="29.25"/>
    <col customWidth="1" min="6" max="6" width="9.25"/>
    <col customWidth="1" min="7" max="7" width="13.63"/>
    <col customWidth="1" min="8" max="8" width="9.0"/>
    <col customWidth="1" min="9" max="9" width="17.13"/>
    <col customWidth="1" min="10" max="10" width="24.38"/>
  </cols>
  <sheetData>
    <row r="1">
      <c r="A1" s="1" t="s">
        <v>0</v>
      </c>
    </row>
    <row r="2">
      <c r="A2" s="2"/>
    </row>
    <row r="3">
      <c r="A3" s="3" t="s">
        <v>1</v>
      </c>
      <c r="C3" s="4">
        <v>30000.0</v>
      </c>
    </row>
    <row r="4">
      <c r="A4" s="5" t="s">
        <v>2</v>
      </c>
      <c r="B4" s="6"/>
      <c r="C4" s="7">
        <f>$C$3-$C$32-$F$30-$D$32</f>
        <v>3000</v>
      </c>
      <c r="D4" s="8" t="s">
        <v>3</v>
      </c>
      <c r="E4" s="8"/>
      <c r="F4" s="8"/>
      <c r="G4" s="8"/>
      <c r="J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</row>
    <row r="6">
      <c r="A6" s="8"/>
      <c r="B6" s="8"/>
      <c r="C6" s="8" t="s">
        <v>4</v>
      </c>
      <c r="D6" s="8" t="s">
        <v>5</v>
      </c>
      <c r="E6" s="8" t="s">
        <v>6</v>
      </c>
      <c r="F6" s="8" t="s">
        <v>7</v>
      </c>
      <c r="G6" s="8"/>
      <c r="H6" s="8"/>
      <c r="I6" s="8"/>
      <c r="J6" s="8"/>
    </row>
    <row r="7">
      <c r="A7" s="9" t="s">
        <v>8</v>
      </c>
      <c r="B7" s="9" t="s">
        <v>9</v>
      </c>
      <c r="C7" s="9" t="s">
        <v>10</v>
      </c>
      <c r="D7" s="9" t="s">
        <v>11</v>
      </c>
      <c r="E7" s="9" t="s">
        <v>12</v>
      </c>
      <c r="F7" s="9" t="s">
        <v>13</v>
      </c>
      <c r="G7" s="9" t="s">
        <v>14</v>
      </c>
      <c r="H7" s="9" t="s">
        <v>15</v>
      </c>
      <c r="I7" s="9" t="s">
        <v>16</v>
      </c>
      <c r="J7" s="9" t="s">
        <v>17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>
      <c r="A8" s="11">
        <v>45388.0</v>
      </c>
      <c r="B8" s="8" t="s">
        <v>18</v>
      </c>
      <c r="C8" s="12"/>
      <c r="D8" s="12">
        <v>2000.0</v>
      </c>
      <c r="E8" s="12" t="str">
        <f>IF(NOT(ISBLANK(F8)),"Již proběhla",IF(C8&gt;0,"Ano, prioritní",IF(($C$3-$C$30+SUM($C$7:$C8)-SUM($G$7:$G8)-D8)&gt;0,CONCATENATE("Ano, je dost prostředků (",$C$3-$C$30+SUM($C$7:$C8)-SUM($G$7:$G8)-D8,")"),CONCATENATE("Zatím ne, není dostprostředků (",$C$3-$C$30+SUM($C$7:$C8)-SUM($G$7:$G8)-D8,")"))))</f>
        <v>Ano, je dost prostředků (4000)</v>
      </c>
      <c r="F8" s="12"/>
      <c r="G8" s="12">
        <f t="shared" ref="G8:G29" si="1">IF(NOT(ISBLANK(F8)),F8,C8+D8)</f>
        <v>2000</v>
      </c>
      <c r="I8" s="8"/>
      <c r="J8" s="8"/>
    </row>
    <row r="9">
      <c r="A9" s="11"/>
      <c r="B9" s="8" t="s">
        <v>19</v>
      </c>
      <c r="C9" s="13">
        <v>3500.0</v>
      </c>
      <c r="D9" s="12"/>
      <c r="E9" s="12" t="str">
        <f t="shared" ref="E9:E16" si="2">IF(NOT(ISBLANK(F9)),"Již proběhla",IF(C9&gt;0,"Ano, prioritní",IF(($C$3-$C$30+SUM($C$8:$C8)-SUM($G$8:$G8)-D9)&gt;0,CONCATENATE("Ano, je dost prostředků (",$C$3-$C$30+SUM($C$8:$C8)-SUM($G$8:$G8)-D9,")"),CONCATENATE("Zatím ne, není dostprostředků (",$C$3-$C$30+SUM($C$8:$C8)-SUM($G$8:$G8)-D9,")"))))</f>
        <v>Ano, prioritní</v>
      </c>
      <c r="F9" s="12"/>
      <c r="G9" s="12">
        <f t="shared" si="1"/>
        <v>3500</v>
      </c>
      <c r="I9" s="8"/>
      <c r="J9" s="8"/>
    </row>
    <row r="10">
      <c r="A10" s="11"/>
      <c r="B10" s="8" t="s">
        <v>20</v>
      </c>
      <c r="C10" s="12"/>
      <c r="D10" s="12"/>
      <c r="E10" s="12" t="str">
        <f t="shared" si="2"/>
        <v>Ano, je dost prostředků (6000)</v>
      </c>
      <c r="F10" s="12"/>
      <c r="G10" s="12">
        <f t="shared" si="1"/>
        <v>0</v>
      </c>
      <c r="I10" s="8"/>
      <c r="J10" s="8"/>
    </row>
    <row r="11">
      <c r="A11" s="11"/>
      <c r="B11" s="8" t="s">
        <v>21</v>
      </c>
      <c r="C11" s="12"/>
      <c r="D11" s="12"/>
      <c r="E11" s="12" t="str">
        <f t="shared" si="2"/>
        <v>Ano, je dost prostředků (6000)</v>
      </c>
      <c r="F11" s="12"/>
      <c r="G11" s="12">
        <f t="shared" si="1"/>
        <v>0</v>
      </c>
      <c r="I11" s="8"/>
      <c r="J11" s="8"/>
    </row>
    <row r="12">
      <c r="A12" s="11"/>
      <c r="B12" s="8" t="s">
        <v>22</v>
      </c>
      <c r="C12" s="13">
        <v>2000.0</v>
      </c>
      <c r="D12" s="12"/>
      <c r="E12" s="12" t="str">
        <f t="shared" si="2"/>
        <v>Ano, prioritní</v>
      </c>
      <c r="F12" s="12"/>
      <c r="G12" s="12">
        <f t="shared" si="1"/>
        <v>2000</v>
      </c>
      <c r="I12" s="8"/>
      <c r="J12" s="8"/>
    </row>
    <row r="13">
      <c r="A13" s="11">
        <v>45438.0</v>
      </c>
      <c r="B13" s="8" t="s">
        <v>23</v>
      </c>
      <c r="C13" s="13">
        <v>5000.0</v>
      </c>
      <c r="D13" s="12"/>
      <c r="E13" s="12" t="str">
        <f t="shared" si="2"/>
        <v>Ano, prioritní</v>
      </c>
      <c r="F13" s="12"/>
      <c r="G13" s="12">
        <f t="shared" si="1"/>
        <v>5000</v>
      </c>
      <c r="I13" s="8"/>
      <c r="J13" s="8"/>
    </row>
    <row r="14">
      <c r="A14" s="11"/>
      <c r="B14" s="8" t="s">
        <v>24</v>
      </c>
      <c r="C14" s="12"/>
      <c r="D14" s="12"/>
      <c r="E14" s="12" t="str">
        <f t="shared" si="2"/>
        <v>Ano, je dost prostředků (6000)</v>
      </c>
      <c r="F14" s="12"/>
      <c r="G14" s="12">
        <f t="shared" si="1"/>
        <v>0</v>
      </c>
      <c r="I14" s="8"/>
      <c r="J14" s="8"/>
    </row>
    <row r="15">
      <c r="A15" s="11">
        <v>45417.0</v>
      </c>
      <c r="B15" s="8" t="s">
        <v>25</v>
      </c>
      <c r="C15" s="12"/>
      <c r="D15" s="12"/>
      <c r="E15" s="12" t="str">
        <f t="shared" si="2"/>
        <v>Ano, je dost prostředků (6000)</v>
      </c>
      <c r="F15" s="12"/>
      <c r="G15" s="12">
        <f t="shared" si="1"/>
        <v>0</v>
      </c>
      <c r="I15" s="8"/>
      <c r="J15" s="8"/>
    </row>
    <row r="16">
      <c r="A16" s="11"/>
      <c r="B16" s="8" t="s">
        <v>26</v>
      </c>
      <c r="C16" s="12"/>
      <c r="D16" s="12"/>
      <c r="E16" s="12" t="str">
        <f t="shared" si="2"/>
        <v>Ano, je dost prostředků (6000)</v>
      </c>
      <c r="F16" s="12"/>
      <c r="G16" s="12">
        <f t="shared" si="1"/>
        <v>0</v>
      </c>
      <c r="I16" s="8"/>
    </row>
    <row r="17">
      <c r="A17" s="11"/>
      <c r="B17" s="8" t="s">
        <v>27</v>
      </c>
      <c r="C17" s="13">
        <v>3000.0</v>
      </c>
      <c r="D17" s="12"/>
      <c r="E17" s="12" t="str">
        <f>IF(NOT(ISBLANK(F17)),"Již proběhla",IF(C17&gt;0,"Ano, prioritní",IF(($C$3-$C$30+SUM($C$8:$C13)-SUM($G$8:$G13)-D17)&gt;0,CONCATENATE("Ano, je dost prostředků (",$C$3-$C$30+SUM($C$8:$C13)-SUM($G$8:$G13)-D17,")"),CONCATENATE("Zatím ne, není dostprostředků (",$C$3-$C$30+SUM($C$8:$C13)-SUM($G$8:$G13)-D17,")"))))</f>
        <v>Ano, prioritní</v>
      </c>
      <c r="F17" s="12"/>
      <c r="G17" s="12">
        <f t="shared" si="1"/>
        <v>3000</v>
      </c>
      <c r="I17" s="8"/>
    </row>
    <row r="18">
      <c r="A18" s="11"/>
      <c r="B18" s="8" t="s">
        <v>28</v>
      </c>
      <c r="C18" s="13">
        <v>3000.0</v>
      </c>
      <c r="D18" s="12"/>
      <c r="E18" s="12" t="str">
        <f t="shared" ref="E18:E29" si="3">IF(NOT(ISBLANK(F18)),"Již proběhla",IF(C18&gt;0,"Ano, prioritní",IF(($C$3-$C$30+SUM($C$8:$C17)-SUM($G$8:$G17)-D18)&gt;0,CONCATENATE("Ano, je dost prostředků (",$C$3-$C$30+SUM($C$8:$C17)-SUM($G$8:$G17)-D18,")"),CONCATENATE("Zatím ne, není dostprostředků (",$C$3-$C$30+SUM($C$8:$C17)-SUM($G$8:$G17)-D18,")"))))</f>
        <v>Ano, prioritní</v>
      </c>
      <c r="F18" s="12"/>
      <c r="G18" s="12">
        <f t="shared" si="1"/>
        <v>3000</v>
      </c>
      <c r="I18" s="8"/>
    </row>
    <row r="19">
      <c r="A19" s="11"/>
      <c r="B19" s="8" t="s">
        <v>29</v>
      </c>
      <c r="C19" s="13">
        <v>3500.0</v>
      </c>
      <c r="D19" s="12">
        <v>0.0</v>
      </c>
      <c r="E19" s="12" t="str">
        <f t="shared" si="3"/>
        <v>Ano, prioritní</v>
      </c>
      <c r="F19" s="12"/>
      <c r="G19" s="12">
        <f t="shared" si="1"/>
        <v>3500</v>
      </c>
    </row>
    <row r="20">
      <c r="A20" s="11"/>
      <c r="B20" s="8" t="s">
        <v>26</v>
      </c>
      <c r="C20" s="12"/>
      <c r="D20" s="12"/>
      <c r="E20" s="12" t="str">
        <f t="shared" si="3"/>
        <v>Ano, je dost prostředků (6000)</v>
      </c>
      <c r="F20" s="12"/>
      <c r="G20" s="12">
        <f t="shared" si="1"/>
        <v>0</v>
      </c>
      <c r="I20" s="8"/>
    </row>
    <row r="21">
      <c r="A21" s="11"/>
      <c r="B21" s="8" t="s">
        <v>30</v>
      </c>
      <c r="C21" s="12"/>
      <c r="D21" s="12"/>
      <c r="E21" s="12" t="str">
        <f t="shared" si="3"/>
        <v>Ano, je dost prostředků (6000)</v>
      </c>
      <c r="F21" s="12"/>
      <c r="G21" s="12">
        <f t="shared" si="1"/>
        <v>0</v>
      </c>
      <c r="I21" s="8"/>
    </row>
    <row r="22">
      <c r="A22" s="11"/>
      <c r="B22" s="8" t="s">
        <v>31</v>
      </c>
      <c r="C22" s="13">
        <v>2000.0</v>
      </c>
      <c r="D22" s="12"/>
      <c r="E22" s="12" t="str">
        <f t="shared" si="3"/>
        <v>Ano, prioritní</v>
      </c>
      <c r="F22" s="12"/>
      <c r="G22" s="12">
        <f t="shared" si="1"/>
        <v>2000</v>
      </c>
    </row>
    <row r="23">
      <c r="A23" s="11"/>
      <c r="B23" s="8" t="s">
        <v>32</v>
      </c>
      <c r="C23" s="12"/>
      <c r="D23" s="12">
        <v>3000.0</v>
      </c>
      <c r="E23" s="12" t="str">
        <f t="shared" si="3"/>
        <v>Ano, je dost prostředků (3000)</v>
      </c>
      <c r="F23" s="12"/>
      <c r="G23" s="12">
        <f t="shared" si="1"/>
        <v>3000</v>
      </c>
      <c r="I23" s="8"/>
    </row>
    <row r="24">
      <c r="C24" s="12"/>
      <c r="D24" s="12"/>
      <c r="E24" s="12" t="str">
        <f t="shared" si="3"/>
        <v>Ano, je dost prostředků (3000)</v>
      </c>
      <c r="F24" s="12"/>
      <c r="G24" s="12">
        <f t="shared" si="1"/>
        <v>0</v>
      </c>
    </row>
    <row r="25">
      <c r="B25" s="8"/>
      <c r="C25" s="12"/>
      <c r="D25" s="12"/>
      <c r="E25" s="12" t="str">
        <f t="shared" si="3"/>
        <v>Ano, je dost prostředků (3000)</v>
      </c>
      <c r="F25" s="12"/>
      <c r="G25" s="12">
        <f t="shared" si="1"/>
        <v>0</v>
      </c>
    </row>
    <row r="26">
      <c r="B26" s="8"/>
      <c r="C26" s="12"/>
      <c r="D26" s="12"/>
      <c r="E26" s="12" t="str">
        <f t="shared" si="3"/>
        <v>Ano, je dost prostředků (3000)</v>
      </c>
      <c r="F26" s="12"/>
      <c r="G26" s="12">
        <f t="shared" si="1"/>
        <v>0</v>
      </c>
    </row>
    <row r="27">
      <c r="A27" s="11"/>
      <c r="C27" s="12"/>
      <c r="D27" s="12"/>
      <c r="E27" s="12" t="str">
        <f t="shared" si="3"/>
        <v>Ano, je dost prostředků (3000)</v>
      </c>
      <c r="F27" s="12"/>
      <c r="G27" s="12">
        <f t="shared" si="1"/>
        <v>0</v>
      </c>
    </row>
    <row r="28">
      <c r="A28" s="11"/>
      <c r="C28" s="12"/>
      <c r="D28" s="12"/>
      <c r="E28" s="12" t="str">
        <f t="shared" si="3"/>
        <v>Ano, je dost prostředků (3000)</v>
      </c>
      <c r="F28" s="12"/>
      <c r="G28" s="12">
        <f t="shared" si="1"/>
        <v>0</v>
      </c>
    </row>
    <row r="29">
      <c r="C29" s="12"/>
      <c r="D29" s="12"/>
      <c r="E29" s="12" t="str">
        <f t="shared" si="3"/>
        <v>Ano, je dost prostředků (3000)</v>
      </c>
      <c r="F29" s="12"/>
      <c r="G29" s="12">
        <f t="shared" si="1"/>
        <v>0</v>
      </c>
    </row>
    <row r="30">
      <c r="A30" s="14"/>
      <c r="B30" s="15" t="s">
        <v>33</v>
      </c>
      <c r="C30" s="16">
        <f t="shared" ref="C30:D30" si="4">SUM(C8:C29)</f>
        <v>22000</v>
      </c>
      <c r="D30" s="16">
        <f t="shared" si="4"/>
        <v>5000</v>
      </c>
      <c r="E30" s="14"/>
      <c r="F30" s="16">
        <f t="shared" ref="F30:G30" si="5">SUM(F8:F29)</f>
        <v>0</v>
      </c>
      <c r="G30" s="16">
        <f t="shared" si="5"/>
        <v>27000</v>
      </c>
      <c r="H30" s="14"/>
      <c r="I30" s="14"/>
      <c r="J30" s="14"/>
    </row>
    <row r="31">
      <c r="B31" s="8" t="s">
        <v>34</v>
      </c>
      <c r="C31" s="12">
        <f t="shared" ref="C31:D31" si="6">SUMIFS(C$8:C$29,$F$8:$F$29,"&gt;0")</f>
        <v>0</v>
      </c>
      <c r="D31" s="12">
        <f t="shared" si="6"/>
        <v>0</v>
      </c>
    </row>
    <row r="32">
      <c r="B32" s="17" t="s">
        <v>35</v>
      </c>
      <c r="C32" s="18">
        <f t="shared" ref="C32:D32" si="7">C30-C31</f>
        <v>22000</v>
      </c>
      <c r="D32" s="18">
        <f t="shared" si="7"/>
        <v>5000</v>
      </c>
    </row>
    <row r="33">
      <c r="C33" s="8"/>
    </row>
    <row r="34">
      <c r="C34" s="8" t="s">
        <v>36</v>
      </c>
    </row>
    <row r="36">
      <c r="C36" s="19"/>
    </row>
  </sheetData>
  <conditionalFormatting sqref="E8:E29">
    <cfRule type="containsText" dxfId="0" priority="1" operator="containsText" text="proběhla">
      <formula>NOT(ISERROR(SEARCH(("proběhla"),(E8))))</formula>
    </cfRule>
  </conditionalFormatting>
  <conditionalFormatting sqref="E8:E29">
    <cfRule type="containsText" dxfId="1" priority="2" operator="containsText" text="Ano">
      <formula>NOT(ISERROR(SEARCH(("Ano"),(E8))))</formula>
    </cfRule>
  </conditionalFormatting>
  <conditionalFormatting sqref="E8:E29">
    <cfRule type="containsText" dxfId="2" priority="3" operator="containsText" text="ne">
      <formula>NOT(ISERROR(SEARCH(("ne"),(E8))))</formula>
    </cfRule>
  </conditionalFormatting>
  <hyperlinks>
    <hyperlink display="Pravidla pro podporu akcí najdete na listu: Pravidla pro podporu činnosti." location="'Pravidla pro podporu činnosti'!A1" ref="A1"/>
  </hyperlin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15.38"/>
    <col customWidth="1" min="4" max="4" width="12.0"/>
    <col customWidth="1" min="5" max="5" width="29.25"/>
    <col customWidth="1" min="6" max="6" width="9.25"/>
    <col customWidth="1" min="7" max="7" width="13.63"/>
    <col customWidth="1" min="8" max="8" width="9.0"/>
    <col customWidth="1" min="9" max="9" width="17.13"/>
    <col customWidth="1" min="10" max="10" width="24.38"/>
  </cols>
  <sheetData>
    <row r="1">
      <c r="A1" s="1" t="s">
        <v>37</v>
      </c>
    </row>
    <row r="2">
      <c r="A2" s="2"/>
    </row>
    <row r="3">
      <c r="A3" s="3" t="s">
        <v>1</v>
      </c>
      <c r="C3" s="4">
        <v>30000.0</v>
      </c>
    </row>
    <row r="4">
      <c r="A4" s="5" t="s">
        <v>2</v>
      </c>
      <c r="B4" s="6"/>
      <c r="C4" s="7">
        <f>$C$3-$C$32-$F$30-$D$32</f>
        <v>-3700</v>
      </c>
      <c r="D4" s="8" t="s">
        <v>3</v>
      </c>
      <c r="E4" s="8"/>
      <c r="F4" s="8"/>
      <c r="G4" s="8"/>
      <c r="J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</row>
    <row r="6">
      <c r="A6" s="8"/>
      <c r="B6" s="8"/>
      <c r="C6" s="8" t="s">
        <v>4</v>
      </c>
      <c r="D6" s="8" t="s">
        <v>5</v>
      </c>
      <c r="E6" s="8" t="s">
        <v>6</v>
      </c>
      <c r="F6" s="8" t="s">
        <v>7</v>
      </c>
      <c r="G6" s="8"/>
      <c r="H6" s="8"/>
      <c r="I6" s="8"/>
      <c r="J6" s="8"/>
    </row>
    <row r="7">
      <c r="A7" s="9" t="s">
        <v>8</v>
      </c>
      <c r="B7" s="9" t="s">
        <v>9</v>
      </c>
      <c r="C7" s="9" t="s">
        <v>10</v>
      </c>
      <c r="D7" s="9" t="s">
        <v>11</v>
      </c>
      <c r="E7" s="9" t="s">
        <v>12</v>
      </c>
      <c r="F7" s="9" t="s">
        <v>13</v>
      </c>
      <c r="G7" s="9" t="s">
        <v>14</v>
      </c>
      <c r="H7" s="9" t="s">
        <v>15</v>
      </c>
      <c r="I7" s="9" t="s">
        <v>16</v>
      </c>
      <c r="J7" s="9" t="s">
        <v>17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>
      <c r="A8" s="11">
        <v>45388.0</v>
      </c>
      <c r="B8" s="8" t="s">
        <v>18</v>
      </c>
      <c r="C8" s="12"/>
      <c r="D8" s="12"/>
      <c r="E8" s="12" t="str">
        <f>IF(NOT(ISBLANK(F8)),"Již proběhla",IF(C8&gt;0,"Ano, prioritní",IF(($C$3-$C$30+SUM($C$7:$C8)-SUM($G$7:$G8)-D8)&gt;0,CONCATENATE("Ano, je dost prostředků (",$C$3-$C$30+SUM($C$7:$C8)-SUM($G$7:$G8)-D8,")"),CONCATENATE("Zatím ne, není dostprostředků (",$C$3-$C$30+SUM($C$7:$C8)-SUM($G$7:$G8)-D8,")"))))</f>
        <v>Již proběhla</v>
      </c>
      <c r="F8" s="12">
        <v>1800.0</v>
      </c>
      <c r="G8" s="12">
        <f t="shared" ref="G8:G29" si="1">IF(NOT(ISBLANK(F8)),F8,C8+D8)</f>
        <v>1800</v>
      </c>
      <c r="H8" s="8" t="s">
        <v>38</v>
      </c>
      <c r="I8" s="20" t="s">
        <v>39</v>
      </c>
      <c r="J8" s="8" t="s">
        <v>40</v>
      </c>
    </row>
    <row r="9">
      <c r="A9" s="11"/>
      <c r="B9" s="8" t="s">
        <v>19</v>
      </c>
      <c r="C9" s="13">
        <v>3500.0</v>
      </c>
      <c r="D9" s="12"/>
      <c r="E9" s="12" t="str">
        <f t="shared" ref="E9:E16" si="2">IF(NOT(ISBLANK(F9)),"Již proběhla",IF(C9&gt;0,"Ano, prioritní",IF(($C$3-$C$30+SUM($C$8:$C8)-SUM($G$8:$G8)-D9)&gt;0,CONCATENATE("Ano, je dost prostředků (",$C$3-$C$30+SUM($C$8:$C8)-SUM($G$8:$G8)-D9,")"),CONCATENATE("Zatím ne, není dostprostředků (",$C$3-$C$30+SUM($C$8:$C8)-SUM($G$8:$G8)-D9,")"))))</f>
        <v>Již proběhla</v>
      </c>
      <c r="F9" s="12">
        <v>0.0</v>
      </c>
      <c r="G9" s="12">
        <f t="shared" si="1"/>
        <v>0</v>
      </c>
      <c r="I9" s="8"/>
    </row>
    <row r="10">
      <c r="A10" s="11"/>
      <c r="B10" s="8" t="s">
        <v>20</v>
      </c>
      <c r="C10" s="12"/>
      <c r="D10" s="12">
        <v>2000.0</v>
      </c>
      <c r="E10" s="12" t="str">
        <f t="shared" si="2"/>
        <v>Již proběhla</v>
      </c>
      <c r="F10" s="12">
        <v>2000.0</v>
      </c>
      <c r="G10" s="12">
        <f t="shared" si="1"/>
        <v>2000</v>
      </c>
      <c r="H10" s="8" t="s">
        <v>41</v>
      </c>
      <c r="I10" s="20" t="s">
        <v>39</v>
      </c>
      <c r="J10" s="8" t="s">
        <v>40</v>
      </c>
    </row>
    <row r="11">
      <c r="A11" s="11"/>
      <c r="B11" s="8" t="s">
        <v>21</v>
      </c>
      <c r="C11" s="12"/>
      <c r="D11" s="12"/>
      <c r="E11" s="12" t="str">
        <f t="shared" si="2"/>
        <v>Již proběhla</v>
      </c>
      <c r="F11" s="12">
        <v>0.0</v>
      </c>
      <c r="G11" s="12">
        <f t="shared" si="1"/>
        <v>0</v>
      </c>
      <c r="I11" s="8"/>
    </row>
    <row r="12">
      <c r="A12" s="11"/>
      <c r="B12" s="8" t="s">
        <v>22</v>
      </c>
      <c r="C12" s="13">
        <v>2000.0</v>
      </c>
      <c r="D12" s="12"/>
      <c r="E12" s="12" t="str">
        <f t="shared" si="2"/>
        <v>Již proběhla</v>
      </c>
      <c r="F12" s="12">
        <v>1400.0</v>
      </c>
      <c r="G12" s="12">
        <f t="shared" si="1"/>
        <v>1400</v>
      </c>
      <c r="H12" s="8" t="s">
        <v>42</v>
      </c>
      <c r="I12" s="20" t="s">
        <v>39</v>
      </c>
      <c r="J12" s="8" t="s">
        <v>40</v>
      </c>
    </row>
    <row r="13">
      <c r="A13" s="11">
        <v>45438.0</v>
      </c>
      <c r="B13" s="8" t="s">
        <v>23</v>
      </c>
      <c r="C13" s="13">
        <v>5000.0</v>
      </c>
      <c r="D13" s="12"/>
      <c r="E13" s="12" t="str">
        <f t="shared" si="2"/>
        <v>Již proběhla</v>
      </c>
      <c r="F13" s="12">
        <v>5000.0</v>
      </c>
      <c r="G13" s="12">
        <f t="shared" si="1"/>
        <v>5000</v>
      </c>
      <c r="H13" s="8" t="s">
        <v>43</v>
      </c>
      <c r="I13" s="20" t="s">
        <v>39</v>
      </c>
      <c r="J13" s="8" t="s">
        <v>40</v>
      </c>
    </row>
    <row r="14">
      <c r="A14" s="11"/>
      <c r="B14" s="8" t="s">
        <v>24</v>
      </c>
      <c r="C14" s="12"/>
      <c r="D14" s="12">
        <v>0.0</v>
      </c>
      <c r="E14" s="12" t="str">
        <f t="shared" si="2"/>
        <v>Již proběhla</v>
      </c>
      <c r="F14" s="12">
        <v>0.0</v>
      </c>
      <c r="G14" s="12">
        <f t="shared" si="1"/>
        <v>0</v>
      </c>
      <c r="I14" s="8"/>
    </row>
    <row r="15">
      <c r="A15" s="11">
        <v>45417.0</v>
      </c>
      <c r="B15" s="8" t="s">
        <v>25</v>
      </c>
      <c r="C15" s="12"/>
      <c r="D15" s="12">
        <v>2000.0</v>
      </c>
      <c r="E15" s="12" t="str">
        <f t="shared" si="2"/>
        <v>Již proběhla</v>
      </c>
      <c r="F15" s="12">
        <v>2000.0</v>
      </c>
      <c r="G15" s="12">
        <f t="shared" si="1"/>
        <v>2000</v>
      </c>
      <c r="H15" s="8" t="s">
        <v>44</v>
      </c>
      <c r="I15" s="20" t="s">
        <v>39</v>
      </c>
      <c r="J15" s="8" t="s">
        <v>40</v>
      </c>
    </row>
    <row r="16">
      <c r="A16" s="11"/>
      <c r="B16" s="8" t="s">
        <v>26</v>
      </c>
      <c r="C16" s="12"/>
      <c r="D16" s="12">
        <v>0.0</v>
      </c>
      <c r="E16" s="12" t="str">
        <f t="shared" si="2"/>
        <v>Již proběhla</v>
      </c>
      <c r="F16" s="12">
        <v>0.0</v>
      </c>
      <c r="G16" s="12">
        <f t="shared" si="1"/>
        <v>0</v>
      </c>
      <c r="I16" s="8"/>
    </row>
    <row r="17">
      <c r="A17" s="11"/>
      <c r="B17" s="8" t="s">
        <v>27</v>
      </c>
      <c r="C17" s="13">
        <v>3000.0</v>
      </c>
      <c r="D17" s="12"/>
      <c r="E17" s="12" t="str">
        <f>IF(NOT(ISBLANK(F17)),"Již proběhla",IF(C17&gt;0,"Ano, prioritní",IF(($C$3-$C$30+SUM($C$8:$C13)-SUM($G$8:$G13)-D17)&gt;0,CONCATENATE("Ano, je dost prostředků (",$C$3-$C$30+SUM($C$8:$C13)-SUM($G$8:$G13)-D17,")"),CONCATENATE("Zatím ne, není dostprostředků (",$C$3-$C$30+SUM($C$8:$C13)-SUM($G$8:$G13)-D17,")"))))</f>
        <v>Již proběhla</v>
      </c>
      <c r="F17" s="12">
        <v>0.0</v>
      </c>
      <c r="G17" s="12">
        <f t="shared" si="1"/>
        <v>0</v>
      </c>
      <c r="I17" s="8"/>
    </row>
    <row r="18">
      <c r="A18" s="11"/>
      <c r="B18" s="8" t="s">
        <v>28</v>
      </c>
      <c r="C18" s="13">
        <v>3000.0</v>
      </c>
      <c r="D18" s="12"/>
      <c r="E18" s="12" t="str">
        <f t="shared" ref="E18:E29" si="3">IF(NOT(ISBLANK(F18)),"Již proběhla",IF(C18&gt;0,"Ano, prioritní",IF(($C$3-$C$30+SUM($C$8:$C17)-SUM($G$8:$G17)-D18)&gt;0,CONCATENATE("Ano, je dost prostředků (",$C$3-$C$30+SUM($C$8:$C17)-SUM($G$8:$G17)-D18,")"),CONCATENATE("Zatím ne, není dostprostředků (",$C$3-$C$30+SUM($C$8:$C17)-SUM($G$8:$G17)-D18,")"))))</f>
        <v>Již proběhla</v>
      </c>
      <c r="F18" s="12">
        <v>0.0</v>
      </c>
      <c r="G18" s="12">
        <f t="shared" si="1"/>
        <v>0</v>
      </c>
      <c r="I18" s="8"/>
    </row>
    <row r="19">
      <c r="A19" s="11"/>
      <c r="B19" s="8" t="s">
        <v>29</v>
      </c>
      <c r="C19" s="13">
        <v>3500.0</v>
      </c>
      <c r="D19" s="12">
        <v>0.0</v>
      </c>
      <c r="E19" s="12" t="str">
        <f t="shared" si="3"/>
        <v>Již proběhla</v>
      </c>
      <c r="F19" s="12">
        <v>0.0</v>
      </c>
      <c r="G19" s="12">
        <f t="shared" si="1"/>
        <v>0</v>
      </c>
    </row>
    <row r="20">
      <c r="A20" s="11"/>
      <c r="B20" s="8" t="s">
        <v>26</v>
      </c>
      <c r="C20" s="12"/>
      <c r="D20" s="12">
        <v>2000.0</v>
      </c>
      <c r="E20" s="12" t="str">
        <f t="shared" si="3"/>
        <v>Již proběhla</v>
      </c>
      <c r="F20" s="12">
        <v>0.0</v>
      </c>
      <c r="G20" s="12">
        <f t="shared" si="1"/>
        <v>0</v>
      </c>
      <c r="I20" s="8"/>
    </row>
    <row r="21">
      <c r="A21" s="11"/>
      <c r="B21" s="8" t="s">
        <v>30</v>
      </c>
      <c r="C21" s="12"/>
      <c r="D21" s="12">
        <v>1500.0</v>
      </c>
      <c r="E21" s="12" t="str">
        <f t="shared" si="3"/>
        <v>Již proběhla</v>
      </c>
      <c r="F21" s="12">
        <v>0.0</v>
      </c>
      <c r="G21" s="12">
        <f t="shared" si="1"/>
        <v>0</v>
      </c>
      <c r="I21" s="8"/>
      <c r="J21" s="8" t="s">
        <v>45</v>
      </c>
    </row>
    <row r="22">
      <c r="A22" s="11"/>
      <c r="B22" s="8" t="s">
        <v>31</v>
      </c>
      <c r="C22" s="13">
        <v>2000.0</v>
      </c>
      <c r="D22" s="12"/>
      <c r="E22" s="12" t="str">
        <f t="shared" si="3"/>
        <v>Již proběhla</v>
      </c>
      <c r="F22" s="12">
        <v>0.0</v>
      </c>
      <c r="G22" s="12">
        <f t="shared" si="1"/>
        <v>0</v>
      </c>
    </row>
    <row r="23">
      <c r="A23" s="11"/>
      <c r="B23" s="8" t="s">
        <v>32</v>
      </c>
      <c r="C23" s="12"/>
      <c r="D23" s="12">
        <v>3000.0</v>
      </c>
      <c r="E23" s="12" t="str">
        <f t="shared" si="3"/>
        <v>Ano, je dost prostředků (14800)</v>
      </c>
      <c r="F23" s="12"/>
      <c r="G23" s="12">
        <f t="shared" si="1"/>
        <v>3000</v>
      </c>
      <c r="I23" s="8"/>
      <c r="J23" s="8" t="s">
        <v>45</v>
      </c>
    </row>
    <row r="24">
      <c r="C24" s="12"/>
      <c r="D24" s="12"/>
      <c r="E24" s="12" t="str">
        <f t="shared" si="3"/>
        <v>Ano, je dost prostředků (14800)</v>
      </c>
      <c r="F24" s="12"/>
      <c r="G24" s="12">
        <f t="shared" si="1"/>
        <v>0</v>
      </c>
    </row>
    <row r="25">
      <c r="B25" s="8"/>
      <c r="C25" s="12"/>
      <c r="D25" s="12"/>
      <c r="E25" s="12" t="str">
        <f t="shared" si="3"/>
        <v>Ano, je dost prostředků (14800)</v>
      </c>
      <c r="F25" s="12"/>
      <c r="G25" s="12">
        <f t="shared" si="1"/>
        <v>0</v>
      </c>
    </row>
    <row r="26">
      <c r="B26" s="8"/>
      <c r="C26" s="12"/>
      <c r="D26" s="12"/>
      <c r="E26" s="12" t="str">
        <f t="shared" si="3"/>
        <v>Ano, je dost prostředků (14800)</v>
      </c>
      <c r="F26" s="12"/>
      <c r="G26" s="12">
        <f t="shared" si="1"/>
        <v>0</v>
      </c>
    </row>
    <row r="27">
      <c r="A27" s="11"/>
      <c r="C27" s="12"/>
      <c r="D27" s="12"/>
      <c r="E27" s="12" t="str">
        <f t="shared" si="3"/>
        <v>Ano, je dost prostředků (14800)</v>
      </c>
      <c r="F27" s="12"/>
      <c r="G27" s="12">
        <f t="shared" si="1"/>
        <v>0</v>
      </c>
    </row>
    <row r="28">
      <c r="A28" s="11"/>
      <c r="C28" s="12"/>
      <c r="D28" s="12"/>
      <c r="E28" s="12" t="str">
        <f t="shared" si="3"/>
        <v>Ano, je dost prostředků (14800)</v>
      </c>
      <c r="F28" s="12"/>
      <c r="G28" s="12">
        <f t="shared" si="1"/>
        <v>0</v>
      </c>
    </row>
    <row r="29">
      <c r="C29" s="12"/>
      <c r="D29" s="12"/>
      <c r="E29" s="12" t="str">
        <f t="shared" si="3"/>
        <v>Ano, je dost prostředků (14800)</v>
      </c>
      <c r="F29" s="12"/>
      <c r="G29" s="12">
        <f t="shared" si="1"/>
        <v>0</v>
      </c>
    </row>
    <row r="30">
      <c r="A30" s="14"/>
      <c r="B30" s="15" t="s">
        <v>33</v>
      </c>
      <c r="C30" s="16">
        <f t="shared" ref="C30:D30" si="4">SUM(C8:C29)</f>
        <v>22000</v>
      </c>
      <c r="D30" s="16">
        <f t="shared" si="4"/>
        <v>10500</v>
      </c>
      <c r="E30" s="14"/>
      <c r="F30" s="16">
        <f t="shared" ref="F30:G30" si="5">SUM(F8:F29)</f>
        <v>12200</v>
      </c>
      <c r="G30" s="16">
        <f t="shared" si="5"/>
        <v>15200</v>
      </c>
      <c r="H30" s="14"/>
      <c r="I30" s="14"/>
      <c r="J30" s="14"/>
    </row>
    <row r="31">
      <c r="B31" s="8" t="s">
        <v>34</v>
      </c>
      <c r="C31" s="12">
        <f t="shared" ref="C31:D31" si="6">SUMIFS(C$8:C$29,$F$8:$F$29,"&gt;0")</f>
        <v>7000</v>
      </c>
      <c r="D31" s="12">
        <f t="shared" si="6"/>
        <v>4000</v>
      </c>
    </row>
    <row r="32">
      <c r="B32" s="17" t="s">
        <v>35</v>
      </c>
      <c r="C32" s="18">
        <f t="shared" ref="C32:D32" si="7">C30-C31</f>
        <v>15000</v>
      </c>
      <c r="D32" s="18">
        <f t="shared" si="7"/>
        <v>6500</v>
      </c>
    </row>
    <row r="33">
      <c r="C33" s="8"/>
    </row>
    <row r="34">
      <c r="C34" s="8" t="s">
        <v>36</v>
      </c>
    </row>
    <row r="36">
      <c r="C36" s="19"/>
    </row>
  </sheetData>
  <conditionalFormatting sqref="E8:E29">
    <cfRule type="containsText" dxfId="0" priority="1" operator="containsText" text="proběhla">
      <formula>NOT(ISERROR(SEARCH(("proběhla"),(E8))))</formula>
    </cfRule>
  </conditionalFormatting>
  <conditionalFormatting sqref="E8:E29">
    <cfRule type="containsText" dxfId="1" priority="2" operator="containsText" text="Ano">
      <formula>NOT(ISERROR(SEARCH(("Ano"),(E8))))</formula>
    </cfRule>
  </conditionalFormatting>
  <conditionalFormatting sqref="E8:E29">
    <cfRule type="containsText" dxfId="2" priority="3" operator="containsText" text="ne">
      <formula>NOT(ISERROR(SEARCH(("ne"),(E8))))</formula>
    </cfRule>
  </conditionalFormatting>
  <hyperlinks>
    <hyperlink display="Pravidla pro podporu akcí najdete na listu: Pravidla pro podporu činnosti." location="'Pravidla pro podporu činnosti'!A1" ref="A1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15.38"/>
    <col customWidth="1" min="4" max="4" width="12.0"/>
    <col customWidth="1" min="5" max="5" width="29.25"/>
    <col customWidth="1" min="6" max="6" width="9.25"/>
    <col customWidth="1" min="7" max="7" width="13.63"/>
    <col customWidth="1" min="8" max="8" width="9.0"/>
    <col customWidth="1" min="9" max="9" width="17.13"/>
    <col customWidth="1" min="10" max="10" width="24.38"/>
  </cols>
  <sheetData>
    <row r="1">
      <c r="A1" s="1" t="s">
        <v>46</v>
      </c>
    </row>
    <row r="2">
      <c r="A2" s="2"/>
    </row>
    <row r="3">
      <c r="A3" s="3" t="s">
        <v>1</v>
      </c>
      <c r="C3" s="4">
        <v>30000.0</v>
      </c>
    </row>
    <row r="4">
      <c r="A4" s="5" t="s">
        <v>2</v>
      </c>
      <c r="B4" s="6"/>
      <c r="C4" s="7">
        <f>$C$3-$C$29-$F$27-$D$29</f>
        <v>2390</v>
      </c>
      <c r="D4" s="8" t="s">
        <v>3</v>
      </c>
      <c r="E4" s="8"/>
      <c r="F4" s="8"/>
      <c r="G4" s="8"/>
      <c r="J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</row>
    <row r="6">
      <c r="A6" s="8"/>
      <c r="B6" s="8"/>
      <c r="C6" s="8" t="s">
        <v>4</v>
      </c>
      <c r="D6" s="8" t="s">
        <v>5</v>
      </c>
      <c r="E6" s="8" t="s">
        <v>6</v>
      </c>
      <c r="F6" s="8" t="s">
        <v>7</v>
      </c>
      <c r="G6" s="8"/>
      <c r="H6" s="8"/>
      <c r="I6" s="8"/>
      <c r="J6" s="8"/>
    </row>
    <row r="7">
      <c r="A7" s="9" t="s">
        <v>8</v>
      </c>
      <c r="B7" s="9" t="s">
        <v>9</v>
      </c>
      <c r="C7" s="9" t="s">
        <v>10</v>
      </c>
      <c r="D7" s="9" t="s">
        <v>11</v>
      </c>
      <c r="E7" s="9" t="s">
        <v>12</v>
      </c>
      <c r="F7" s="9" t="s">
        <v>13</v>
      </c>
      <c r="G7" s="9" t="s">
        <v>14</v>
      </c>
      <c r="H7" s="9" t="s">
        <v>15</v>
      </c>
      <c r="I7" s="9" t="s">
        <v>16</v>
      </c>
      <c r="J7" s="9" t="s">
        <v>17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>
      <c r="A8" s="21">
        <v>45017.0</v>
      </c>
      <c r="B8" s="8" t="s">
        <v>18</v>
      </c>
      <c r="C8" s="12"/>
      <c r="D8" s="12"/>
      <c r="E8" s="12" t="str">
        <f t="shared" ref="E8:E26" si="1">IF(NOT(ISBLANK(F8)),"Již proběhla",IF(C8&gt;0,"Ano, prioritní",IF(($C$3-$C$27+SUM($C7:$C$8)-SUM($G7:$G$8)-D8)&gt;0,CONCATENATE("Ano, je dost prostředků (",$C$3-$C$27+SUM($C7:$C$8)-SUM($G7:$G$8)-D8,")"),CONCATENATE("Zatím ne, není dostprostředků (",$C$3-$C$27+SUM($C7:$C$8)-SUM($G7:$G$8)-D8,")"))))</f>
        <v>Již proběhla</v>
      </c>
      <c r="F8" s="12">
        <v>600.0</v>
      </c>
      <c r="G8" s="12">
        <f t="shared" ref="G8:G26" si="2">IF(NOT(ISBLANK(F8)),F8,C8+D8)</f>
        <v>600</v>
      </c>
      <c r="H8" s="8" t="s">
        <v>47</v>
      </c>
      <c r="I8" s="20" t="s">
        <v>39</v>
      </c>
      <c r="J8" s="8" t="s">
        <v>40</v>
      </c>
    </row>
    <row r="9">
      <c r="A9" s="21">
        <v>45031.0</v>
      </c>
      <c r="B9" s="8" t="s">
        <v>19</v>
      </c>
      <c r="C9" s="13">
        <v>3500.0</v>
      </c>
      <c r="D9" s="12"/>
      <c r="E9" s="12" t="str">
        <f t="shared" si="1"/>
        <v>Již proběhla</v>
      </c>
      <c r="F9" s="12">
        <v>1800.0</v>
      </c>
      <c r="G9" s="12">
        <f t="shared" si="2"/>
        <v>1800</v>
      </c>
      <c r="H9" s="8" t="s">
        <v>38</v>
      </c>
      <c r="I9" s="20" t="s">
        <v>39</v>
      </c>
    </row>
    <row r="10">
      <c r="A10" s="21">
        <v>45038.0</v>
      </c>
      <c r="B10" s="8" t="s">
        <v>20</v>
      </c>
      <c r="C10" s="12"/>
      <c r="D10" s="12">
        <v>2000.0</v>
      </c>
      <c r="E10" s="12" t="str">
        <f t="shared" si="1"/>
        <v>Již proběhla</v>
      </c>
      <c r="F10" s="12">
        <v>2000.0</v>
      </c>
      <c r="G10" s="12">
        <f t="shared" si="2"/>
        <v>2000</v>
      </c>
      <c r="H10" s="8" t="s">
        <v>41</v>
      </c>
      <c r="I10" s="20" t="s">
        <v>39</v>
      </c>
    </row>
    <row r="11">
      <c r="A11" s="21">
        <v>45051.0</v>
      </c>
      <c r="B11" s="8" t="s">
        <v>21</v>
      </c>
      <c r="C11" s="12"/>
      <c r="D11" s="12">
        <v>2000.0</v>
      </c>
      <c r="E11" s="12" t="str">
        <f t="shared" si="1"/>
        <v>Již proběhla</v>
      </c>
      <c r="F11" s="12">
        <v>2000.0</v>
      </c>
      <c r="G11" s="12">
        <f t="shared" si="2"/>
        <v>2000</v>
      </c>
      <c r="H11" s="8" t="s">
        <v>48</v>
      </c>
      <c r="I11" s="20" t="s">
        <v>39</v>
      </c>
    </row>
    <row r="12">
      <c r="A12" s="21">
        <v>45059.0</v>
      </c>
      <c r="B12" s="8" t="s">
        <v>22</v>
      </c>
      <c r="C12" s="13">
        <v>2000.0</v>
      </c>
      <c r="D12" s="12"/>
      <c r="E12" s="12" t="str">
        <f t="shared" si="1"/>
        <v>Již proběhla</v>
      </c>
      <c r="F12" s="12">
        <v>2000.0</v>
      </c>
      <c r="G12" s="12">
        <f t="shared" si="2"/>
        <v>2000</v>
      </c>
      <c r="H12" s="8" t="s">
        <v>41</v>
      </c>
      <c r="I12" s="20" t="s">
        <v>39</v>
      </c>
    </row>
    <row r="13">
      <c r="A13" s="21">
        <v>45078.0</v>
      </c>
      <c r="B13" s="8" t="s">
        <v>23</v>
      </c>
      <c r="C13" s="13">
        <v>5000.0</v>
      </c>
      <c r="D13" s="12"/>
      <c r="E13" s="12" t="str">
        <f t="shared" si="1"/>
        <v>Již proběhla</v>
      </c>
      <c r="F13" s="12">
        <v>5000.0</v>
      </c>
      <c r="G13" s="12">
        <f t="shared" si="2"/>
        <v>5000</v>
      </c>
      <c r="H13" s="8" t="s">
        <v>43</v>
      </c>
      <c r="I13" s="20" t="s">
        <v>39</v>
      </c>
    </row>
    <row r="14">
      <c r="A14" s="21">
        <v>45080.0</v>
      </c>
      <c r="B14" s="8" t="s">
        <v>27</v>
      </c>
      <c r="C14" s="13">
        <v>3000.0</v>
      </c>
      <c r="D14" s="12"/>
      <c r="E14" s="12" t="str">
        <f t="shared" si="1"/>
        <v>Již proběhla</v>
      </c>
      <c r="F14" s="12">
        <v>3000.0</v>
      </c>
      <c r="G14" s="12">
        <f t="shared" si="2"/>
        <v>3000</v>
      </c>
      <c r="H14" s="8" t="s">
        <v>49</v>
      </c>
      <c r="I14" s="20" t="s">
        <v>39</v>
      </c>
    </row>
    <row r="15">
      <c r="A15" s="21">
        <v>45178.0</v>
      </c>
      <c r="B15" s="8" t="s">
        <v>28</v>
      </c>
      <c r="C15" s="13">
        <v>3000.0</v>
      </c>
      <c r="D15" s="12"/>
      <c r="E15" s="12" t="str">
        <f t="shared" si="1"/>
        <v>Již proběhla</v>
      </c>
      <c r="F15" s="12">
        <v>1800.0</v>
      </c>
      <c r="G15" s="12">
        <f t="shared" si="2"/>
        <v>1800</v>
      </c>
      <c r="H15" s="8" t="s">
        <v>50</v>
      </c>
      <c r="I15" s="20" t="s">
        <v>39</v>
      </c>
    </row>
    <row r="16">
      <c r="A16" s="21">
        <v>45185.0</v>
      </c>
      <c r="B16" s="8" t="s">
        <v>29</v>
      </c>
      <c r="C16" s="13">
        <v>3500.0</v>
      </c>
      <c r="D16" s="12">
        <v>0.0</v>
      </c>
      <c r="E16" s="12" t="str">
        <f t="shared" si="1"/>
        <v>Již proběhla</v>
      </c>
      <c r="F16" s="12">
        <v>0.0</v>
      </c>
      <c r="G16" s="12">
        <f t="shared" si="2"/>
        <v>0</v>
      </c>
      <c r="I16" s="8" t="s">
        <v>51</v>
      </c>
    </row>
    <row r="17">
      <c r="A17" s="21">
        <v>45186.0</v>
      </c>
      <c r="B17" s="8" t="s">
        <v>26</v>
      </c>
      <c r="C17" s="12"/>
      <c r="D17" s="12">
        <v>2000.0</v>
      </c>
      <c r="E17" s="12" t="str">
        <f t="shared" si="1"/>
        <v>Již proběhla</v>
      </c>
      <c r="F17" s="12">
        <v>500.0</v>
      </c>
      <c r="G17" s="12">
        <f t="shared" si="2"/>
        <v>500</v>
      </c>
      <c r="H17" s="8" t="s">
        <v>49</v>
      </c>
      <c r="I17" s="20" t="s">
        <v>39</v>
      </c>
    </row>
    <row r="18">
      <c r="A18" s="21">
        <v>45197.0</v>
      </c>
      <c r="B18" s="8" t="s">
        <v>30</v>
      </c>
      <c r="C18" s="12"/>
      <c r="D18" s="12">
        <v>1550.0</v>
      </c>
      <c r="E18" s="12" t="str">
        <f t="shared" si="1"/>
        <v>Již proběhla</v>
      </c>
      <c r="F18" s="12">
        <v>1550.0</v>
      </c>
      <c r="G18" s="12">
        <f t="shared" si="2"/>
        <v>1550</v>
      </c>
      <c r="H18" s="8" t="s">
        <v>41</v>
      </c>
      <c r="I18" s="20" t="s">
        <v>39</v>
      </c>
    </row>
    <row r="19">
      <c r="A19" s="11">
        <v>45209.0</v>
      </c>
      <c r="B19" s="8" t="s">
        <v>31</v>
      </c>
      <c r="C19" s="13">
        <v>2000.0</v>
      </c>
      <c r="D19" s="12"/>
      <c r="E19" s="12" t="str">
        <f t="shared" si="1"/>
        <v>Již proběhla</v>
      </c>
      <c r="F19" s="12">
        <v>0.0</v>
      </c>
      <c r="G19" s="12">
        <f t="shared" si="2"/>
        <v>0</v>
      </c>
      <c r="I19" s="8" t="s">
        <v>51</v>
      </c>
    </row>
    <row r="20">
      <c r="A20" s="21">
        <v>45270.0</v>
      </c>
      <c r="B20" s="8" t="s">
        <v>32</v>
      </c>
      <c r="C20" s="12"/>
      <c r="D20" s="12">
        <v>1860.0</v>
      </c>
      <c r="E20" s="12" t="str">
        <f t="shared" si="1"/>
        <v>Již proběhla</v>
      </c>
      <c r="F20" s="12">
        <v>1860.0</v>
      </c>
      <c r="G20" s="12">
        <f t="shared" si="2"/>
        <v>1860</v>
      </c>
      <c r="H20" s="8" t="s">
        <v>41</v>
      </c>
      <c r="I20" s="20" t="s">
        <v>39</v>
      </c>
    </row>
    <row r="21">
      <c r="C21" s="12"/>
      <c r="D21" s="12"/>
      <c r="E21" s="12" t="str">
        <f t="shared" si="1"/>
        <v>Ano, je dost prostředků (7890)</v>
      </c>
      <c r="F21" s="12"/>
      <c r="G21" s="12">
        <f t="shared" si="2"/>
        <v>0</v>
      </c>
    </row>
    <row r="22">
      <c r="B22" s="8"/>
      <c r="C22" s="12"/>
      <c r="D22" s="12"/>
      <c r="E22" s="12" t="str">
        <f t="shared" si="1"/>
        <v>Ano, je dost prostředků (7890)</v>
      </c>
      <c r="F22" s="12"/>
      <c r="G22" s="12">
        <f t="shared" si="2"/>
        <v>0</v>
      </c>
    </row>
    <row r="23">
      <c r="B23" s="8"/>
      <c r="C23" s="12"/>
      <c r="D23" s="12"/>
      <c r="E23" s="12" t="str">
        <f t="shared" si="1"/>
        <v>Ano, je dost prostředků (7890)</v>
      </c>
      <c r="F23" s="12"/>
      <c r="G23" s="12">
        <f t="shared" si="2"/>
        <v>0</v>
      </c>
    </row>
    <row r="24">
      <c r="A24" s="11"/>
      <c r="C24" s="12"/>
      <c r="D24" s="12"/>
      <c r="E24" s="12" t="str">
        <f t="shared" si="1"/>
        <v>Ano, je dost prostředků (7890)</v>
      </c>
      <c r="F24" s="12"/>
      <c r="G24" s="12">
        <f t="shared" si="2"/>
        <v>0</v>
      </c>
    </row>
    <row r="25">
      <c r="A25" s="11"/>
      <c r="C25" s="12"/>
      <c r="D25" s="12"/>
      <c r="E25" s="12" t="str">
        <f t="shared" si="1"/>
        <v>Ano, je dost prostředků (7890)</v>
      </c>
      <c r="F25" s="12"/>
      <c r="G25" s="12">
        <f t="shared" si="2"/>
        <v>0</v>
      </c>
    </row>
    <row r="26">
      <c r="C26" s="12"/>
      <c r="D26" s="12"/>
      <c r="E26" s="12" t="str">
        <f t="shared" si="1"/>
        <v>Ano, je dost prostředků (7890)</v>
      </c>
      <c r="F26" s="12"/>
      <c r="G26" s="12">
        <f t="shared" si="2"/>
        <v>0</v>
      </c>
    </row>
    <row r="27">
      <c r="A27" s="14"/>
      <c r="B27" s="15" t="s">
        <v>33</v>
      </c>
      <c r="C27" s="16">
        <f t="shared" ref="C27:D27" si="3">SUM(C8:C26)</f>
        <v>22000</v>
      </c>
      <c r="D27" s="16">
        <f t="shared" si="3"/>
        <v>9410</v>
      </c>
      <c r="E27" s="14"/>
      <c r="F27" s="16">
        <f t="shared" ref="F27:G27" si="4">SUM(F8:F26)</f>
        <v>22110</v>
      </c>
      <c r="G27" s="16">
        <f t="shared" si="4"/>
        <v>22110</v>
      </c>
      <c r="H27" s="14"/>
      <c r="I27" s="14"/>
      <c r="J27" s="14"/>
    </row>
    <row r="28">
      <c r="B28" s="8" t="s">
        <v>34</v>
      </c>
      <c r="C28" s="12">
        <f t="shared" ref="C28:D28" si="5">SUMIFS(C$8:C$26,$F$8:$F$26,"&gt;0")</f>
        <v>16500</v>
      </c>
      <c r="D28" s="12">
        <f t="shared" si="5"/>
        <v>9410</v>
      </c>
    </row>
    <row r="29">
      <c r="B29" s="17" t="s">
        <v>35</v>
      </c>
      <c r="C29" s="18">
        <f t="shared" ref="C29:D29" si="6">C27-C28</f>
        <v>5500</v>
      </c>
      <c r="D29" s="18">
        <f t="shared" si="6"/>
        <v>0</v>
      </c>
    </row>
    <row r="30">
      <c r="C30" s="8"/>
    </row>
    <row r="31">
      <c r="C31" s="8" t="s">
        <v>36</v>
      </c>
    </row>
    <row r="33">
      <c r="C33" s="19"/>
    </row>
  </sheetData>
  <conditionalFormatting sqref="E8:E26">
    <cfRule type="containsText" dxfId="0" priority="1" operator="containsText" text="proběhla">
      <formula>NOT(ISERROR(SEARCH(("proběhla"),(E8))))</formula>
    </cfRule>
  </conditionalFormatting>
  <conditionalFormatting sqref="E8:E26">
    <cfRule type="containsText" dxfId="1" priority="2" operator="containsText" text="Ano">
      <formula>NOT(ISERROR(SEARCH(("Ano"),(E8))))</formula>
    </cfRule>
  </conditionalFormatting>
  <conditionalFormatting sqref="E8:E26">
    <cfRule type="containsText" dxfId="2" priority="3" operator="containsText" text="ne">
      <formula>NOT(ISERROR(SEARCH(("ne"),(E8))))</formula>
    </cfRule>
  </conditionalFormatting>
  <hyperlinks>
    <hyperlink display="Pravidla pro podporu akcí najdete na listu: Pravidla pro podporu činnosti." location="'Pravidla pro podporu činnosti'!A1" ref="A1"/>
  </hyperlin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6.0"/>
    <col customWidth="1" min="4" max="4" width="16.75"/>
    <col customWidth="1" min="5" max="5" width="24.75"/>
    <col customWidth="1" min="6" max="7" width="18.5"/>
    <col customWidth="1" min="8" max="8" width="24.38"/>
  </cols>
  <sheetData>
    <row r="1">
      <c r="A1" s="2"/>
    </row>
    <row r="2">
      <c r="A2" s="1" t="s">
        <v>52</v>
      </c>
    </row>
    <row r="4">
      <c r="A4" s="5" t="s">
        <v>2</v>
      </c>
      <c r="B4" s="6"/>
      <c r="C4" s="22">
        <f>MIN(G7:G24)</f>
        <v>15161</v>
      </c>
      <c r="D4" s="8"/>
      <c r="E4" s="8"/>
      <c r="F4" s="8"/>
      <c r="G4" s="8"/>
      <c r="H4" s="8"/>
    </row>
    <row r="5">
      <c r="A5" s="8"/>
      <c r="B5" s="8"/>
      <c r="C5" s="8"/>
      <c r="D5" s="8"/>
      <c r="E5" s="8"/>
      <c r="F5" s="8"/>
      <c r="G5" s="8"/>
      <c r="H5" s="8"/>
    </row>
    <row r="6">
      <c r="A6" s="23" t="s">
        <v>8</v>
      </c>
      <c r="B6" s="23" t="s">
        <v>9</v>
      </c>
      <c r="C6" s="23" t="s">
        <v>53</v>
      </c>
      <c r="D6" s="23" t="s">
        <v>54</v>
      </c>
      <c r="E6" s="23" t="s">
        <v>15</v>
      </c>
      <c r="F6" s="23" t="s">
        <v>16</v>
      </c>
      <c r="G6" s="23" t="s">
        <v>55</v>
      </c>
      <c r="H6" s="23" t="s">
        <v>17</v>
      </c>
    </row>
    <row r="7">
      <c r="A7" s="21">
        <v>44653.0</v>
      </c>
      <c r="B7" s="8" t="s">
        <v>18</v>
      </c>
      <c r="C7" s="12"/>
      <c r="D7" s="12">
        <v>2000.0</v>
      </c>
      <c r="E7" s="8" t="s">
        <v>38</v>
      </c>
      <c r="F7" s="20" t="s">
        <v>56</v>
      </c>
      <c r="G7" s="24">
        <f>30000-D7-$C$25</f>
        <v>28000</v>
      </c>
      <c r="H7" s="8" t="s">
        <v>57</v>
      </c>
    </row>
    <row r="8">
      <c r="A8" s="21">
        <v>44674.0</v>
      </c>
      <c r="B8" s="8" t="s">
        <v>19</v>
      </c>
      <c r="C8" s="13">
        <v>0.0</v>
      </c>
      <c r="D8" s="12">
        <v>0.0</v>
      </c>
      <c r="G8" s="25">
        <f>G7-D8</f>
        <v>28000</v>
      </c>
      <c r="H8" s="8" t="s">
        <v>58</v>
      </c>
    </row>
    <row r="9">
      <c r="A9" s="21">
        <v>44674.0</v>
      </c>
      <c r="B9" s="8" t="s">
        <v>20</v>
      </c>
      <c r="C9" s="12"/>
      <c r="D9" s="12">
        <v>2000.0</v>
      </c>
      <c r="E9" s="8" t="s">
        <v>59</v>
      </c>
      <c r="F9" s="20" t="s">
        <v>60</v>
      </c>
      <c r="G9" s="25">
        <f>G7-D9</f>
        <v>26000</v>
      </c>
      <c r="H9" s="8" t="s">
        <v>61</v>
      </c>
    </row>
    <row r="10">
      <c r="A10" s="21">
        <v>44702.0</v>
      </c>
      <c r="B10" s="8" t="s">
        <v>22</v>
      </c>
      <c r="C10" s="13"/>
      <c r="D10" s="12">
        <v>2000.0</v>
      </c>
      <c r="F10" s="20" t="s">
        <v>56</v>
      </c>
      <c r="G10" s="25">
        <f t="shared" ref="G10:G24" si="1">G9-D10</f>
        <v>24000</v>
      </c>
    </row>
    <row r="11">
      <c r="A11" s="21">
        <v>44710.0</v>
      </c>
      <c r="B11" s="8" t="s">
        <v>23</v>
      </c>
      <c r="C11" s="12"/>
      <c r="D11" s="12">
        <v>5000.0</v>
      </c>
      <c r="F11" s="20" t="s">
        <v>62</v>
      </c>
      <c r="G11" s="25">
        <f t="shared" si="1"/>
        <v>19000</v>
      </c>
      <c r="H11" s="8" t="s">
        <v>63</v>
      </c>
    </row>
    <row r="12">
      <c r="A12" s="21">
        <v>44735.0</v>
      </c>
      <c r="B12" s="8" t="s">
        <v>27</v>
      </c>
      <c r="C12" s="13"/>
      <c r="D12" s="12">
        <v>1380.0</v>
      </c>
      <c r="F12" s="20" t="s">
        <v>56</v>
      </c>
      <c r="G12" s="25">
        <f t="shared" si="1"/>
        <v>17620</v>
      </c>
    </row>
    <row r="13">
      <c r="A13" s="11"/>
      <c r="C13" s="12"/>
      <c r="D13" s="12"/>
      <c r="G13" s="25">
        <f t="shared" si="1"/>
        <v>17620</v>
      </c>
    </row>
    <row r="14">
      <c r="A14" s="21">
        <v>44832.0</v>
      </c>
      <c r="B14" s="8" t="s">
        <v>30</v>
      </c>
      <c r="C14" s="12"/>
      <c r="D14" s="12">
        <v>200.0</v>
      </c>
      <c r="F14" s="20" t="s">
        <v>60</v>
      </c>
      <c r="G14" s="25">
        <f t="shared" si="1"/>
        <v>17420</v>
      </c>
    </row>
    <row r="15">
      <c r="A15" s="11"/>
      <c r="B15" s="8"/>
      <c r="C15" s="12"/>
      <c r="D15" s="12"/>
      <c r="G15" s="25">
        <f t="shared" si="1"/>
        <v>17420</v>
      </c>
    </row>
    <row r="16">
      <c r="A16" s="21">
        <v>44819.0</v>
      </c>
      <c r="B16" s="8" t="s">
        <v>28</v>
      </c>
      <c r="C16" s="13"/>
      <c r="D16" s="12">
        <v>1107.0</v>
      </c>
      <c r="F16" s="20" t="s">
        <v>64</v>
      </c>
      <c r="G16" s="25">
        <f t="shared" si="1"/>
        <v>16313</v>
      </c>
    </row>
    <row r="17">
      <c r="A17" s="11"/>
      <c r="B17" s="8" t="s">
        <v>29</v>
      </c>
      <c r="C17" s="13">
        <v>0.0</v>
      </c>
      <c r="D17" s="12"/>
      <c r="F17" s="8" t="s">
        <v>65</v>
      </c>
      <c r="G17" s="25">
        <f t="shared" si="1"/>
        <v>16313</v>
      </c>
    </row>
    <row r="18">
      <c r="C18" s="12"/>
      <c r="D18" s="12"/>
      <c r="G18" s="25">
        <f t="shared" si="1"/>
        <v>16313</v>
      </c>
    </row>
    <row r="19">
      <c r="B19" s="8"/>
      <c r="C19" s="13"/>
      <c r="D19" s="12"/>
      <c r="G19" s="25">
        <f t="shared" si="1"/>
        <v>16313</v>
      </c>
    </row>
    <row r="20">
      <c r="B20" s="8" t="s">
        <v>31</v>
      </c>
      <c r="C20" s="13"/>
      <c r="D20" s="12"/>
      <c r="F20" s="8" t="s">
        <v>66</v>
      </c>
      <c r="G20" s="25">
        <f t="shared" si="1"/>
        <v>16313</v>
      </c>
    </row>
    <row r="21">
      <c r="C21" s="12"/>
      <c r="D21" s="12"/>
      <c r="G21" s="25">
        <f t="shared" si="1"/>
        <v>16313</v>
      </c>
    </row>
    <row r="22">
      <c r="A22" s="21">
        <v>44909.0</v>
      </c>
      <c r="B22" s="8" t="s">
        <v>32</v>
      </c>
      <c r="C22" s="12"/>
      <c r="D22" s="12">
        <v>1152.0</v>
      </c>
      <c r="E22" s="8" t="s">
        <v>41</v>
      </c>
      <c r="F22" s="20" t="s">
        <v>60</v>
      </c>
      <c r="G22" s="25">
        <f t="shared" si="1"/>
        <v>15161</v>
      </c>
    </row>
    <row r="23">
      <c r="C23" s="12"/>
      <c r="D23" s="12"/>
      <c r="G23" s="25">
        <f t="shared" si="1"/>
        <v>15161</v>
      </c>
      <c r="H23" s="8" t="s">
        <v>67</v>
      </c>
    </row>
    <row r="24">
      <c r="C24" s="12"/>
      <c r="D24" s="12"/>
      <c r="G24" s="25">
        <f t="shared" si="1"/>
        <v>15161</v>
      </c>
    </row>
    <row r="25">
      <c r="A25" s="14"/>
      <c r="B25" s="15" t="s">
        <v>33</v>
      </c>
      <c r="C25" s="16">
        <f t="shared" ref="C25:D25" si="2">SUM(C7:C24)</f>
        <v>0</v>
      </c>
      <c r="D25" s="16">
        <f t="shared" si="2"/>
        <v>14839</v>
      </c>
      <c r="E25" s="14"/>
      <c r="F25" s="14"/>
      <c r="G25" s="16">
        <f>MIN(G7:G24)</f>
        <v>15161</v>
      </c>
      <c r="H25" s="14"/>
    </row>
  </sheetData>
  <hyperlinks>
    <hyperlink display="Pravidla pro podporu akcí najdete na druhém listu: Pravidla pro podporu činnosti." location="'Pravidla pro podporu činnosti'!A1" ref="A2"/>
  </hyperlin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26"/>
      <c r="B1" s="26"/>
    </row>
    <row r="2">
      <c r="A2" s="26"/>
      <c r="B2" s="26" t="s">
        <v>68</v>
      </c>
    </row>
    <row r="3">
      <c r="A3" s="8"/>
      <c r="B3" s="8" t="s">
        <v>69</v>
      </c>
    </row>
    <row r="4">
      <c r="A4" s="8"/>
      <c r="B4" s="8" t="s">
        <v>70</v>
      </c>
    </row>
    <row r="5">
      <c r="A5" s="8"/>
      <c r="B5" s="8" t="s">
        <v>71</v>
      </c>
    </row>
    <row r="6">
      <c r="A6" s="8"/>
      <c r="B6" s="8" t="s">
        <v>72</v>
      </c>
    </row>
    <row r="7">
      <c r="A7" s="8"/>
      <c r="B7" s="8"/>
    </row>
    <row r="8">
      <c r="A8" s="8"/>
      <c r="B8" s="8" t="s">
        <v>73</v>
      </c>
    </row>
    <row r="9">
      <c r="A9" s="8"/>
      <c r="B9" s="8" t="s">
        <v>74</v>
      </c>
    </row>
    <row r="10">
      <c r="A10" s="8"/>
      <c r="B10" s="8" t="s">
        <v>75</v>
      </c>
    </row>
    <row r="11">
      <c r="C11" s="8" t="s">
        <v>76</v>
      </c>
    </row>
    <row r="12">
      <c r="C12" s="8" t="s">
        <v>77</v>
      </c>
    </row>
    <row r="13">
      <c r="C13" s="8" t="s">
        <v>78</v>
      </c>
    </row>
    <row r="14">
      <c r="C14" s="8" t="s">
        <v>79</v>
      </c>
    </row>
    <row r="15">
      <c r="C15" s="8" t="s">
        <v>80</v>
      </c>
    </row>
    <row r="16">
      <c r="A16" s="27"/>
      <c r="B16" s="27" t="s">
        <v>81</v>
      </c>
      <c r="C16" s="8"/>
    </row>
    <row r="17">
      <c r="A17" s="8"/>
      <c r="B17" s="8" t="s">
        <v>82</v>
      </c>
      <c r="C17" s="8"/>
    </row>
    <row r="18">
      <c r="A18" s="8"/>
      <c r="B18" s="8" t="s">
        <v>83</v>
      </c>
      <c r="C18" s="8"/>
    </row>
    <row r="19">
      <c r="B19" s="8" t="s">
        <v>84</v>
      </c>
      <c r="C19" s="8"/>
    </row>
    <row r="20">
      <c r="C20" s="8"/>
    </row>
    <row r="21">
      <c r="B21" s="28" t="s">
        <v>85</v>
      </c>
      <c r="C21" s="8"/>
    </row>
    <row r="22">
      <c r="B22" s="8" t="s">
        <v>86</v>
      </c>
      <c r="C22" s="27"/>
    </row>
    <row r="23">
      <c r="B23" s="8" t="s">
        <v>87</v>
      </c>
      <c r="C23" s="27"/>
    </row>
    <row r="24">
      <c r="C24" s="8" t="s">
        <v>88</v>
      </c>
    </row>
    <row r="25">
      <c r="C25" s="8" t="s">
        <v>89</v>
      </c>
    </row>
    <row r="26">
      <c r="C26" s="8" t="s">
        <v>90</v>
      </c>
    </row>
    <row r="27">
      <c r="B27" s="8" t="s">
        <v>91</v>
      </c>
    </row>
    <row r="28">
      <c r="C28" s="8" t="s">
        <v>92</v>
      </c>
    </row>
    <row r="29">
      <c r="C29" s="8" t="s">
        <v>93</v>
      </c>
    </row>
    <row r="30">
      <c r="C30" s="8" t="s">
        <v>94</v>
      </c>
    </row>
    <row r="31">
      <c r="B31" s="8" t="s">
        <v>95</v>
      </c>
      <c r="C31" s="27"/>
    </row>
    <row r="32">
      <c r="C32" s="8" t="s">
        <v>96</v>
      </c>
    </row>
    <row r="33">
      <c r="C33" s="8" t="s">
        <v>97</v>
      </c>
    </row>
    <row r="34">
      <c r="B34" s="8" t="s">
        <v>98</v>
      </c>
      <c r="C34" s="27"/>
    </row>
    <row r="35">
      <c r="C35" s="8" t="s">
        <v>99</v>
      </c>
    </row>
    <row r="36">
      <c r="C36" s="8" t="s">
        <v>100</v>
      </c>
    </row>
    <row r="37">
      <c r="B37" s="8"/>
      <c r="C37" s="8" t="s">
        <v>101</v>
      </c>
    </row>
    <row r="38">
      <c r="B38" s="8" t="s">
        <v>102</v>
      </c>
      <c r="C38" s="27"/>
    </row>
    <row r="39">
      <c r="C39" s="8" t="s">
        <v>103</v>
      </c>
    </row>
    <row r="40">
      <c r="C40" s="8" t="s">
        <v>104</v>
      </c>
    </row>
    <row r="41">
      <c r="C41" s="8" t="s">
        <v>105</v>
      </c>
    </row>
    <row r="42">
      <c r="C42" s="27"/>
    </row>
    <row r="43">
      <c r="C43" s="27"/>
    </row>
    <row r="44">
      <c r="B44" s="28" t="s">
        <v>106</v>
      </c>
      <c r="C44" s="27"/>
    </row>
    <row r="45">
      <c r="B45" s="8" t="s">
        <v>73</v>
      </c>
      <c r="C45" s="27"/>
    </row>
    <row r="46">
      <c r="B46" s="8" t="s">
        <v>107</v>
      </c>
      <c r="C46" s="27"/>
    </row>
    <row r="47">
      <c r="B47" s="8" t="s">
        <v>108</v>
      </c>
      <c r="C47" s="27"/>
    </row>
    <row r="49">
      <c r="B49" s="28" t="s">
        <v>109</v>
      </c>
    </row>
    <row r="50">
      <c r="B50" s="8" t="s">
        <v>110</v>
      </c>
    </row>
    <row r="51">
      <c r="B51" s="8" t="s">
        <v>111</v>
      </c>
    </row>
    <row r="52">
      <c r="B52" s="8" t="s">
        <v>112</v>
      </c>
    </row>
    <row r="53">
      <c r="B53" s="8" t="s">
        <v>113</v>
      </c>
    </row>
    <row r="55">
      <c r="B55" s="27" t="s">
        <v>114</v>
      </c>
    </row>
    <row r="56">
      <c r="B56" s="8" t="s">
        <v>115</v>
      </c>
    </row>
    <row r="58">
      <c r="C58" s="8"/>
    </row>
  </sheetData>
  <drawing r:id="rId1"/>
</worksheet>
</file>