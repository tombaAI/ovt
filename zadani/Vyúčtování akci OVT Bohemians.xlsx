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ázdný - kopírovat do new" sheetId="1" r:id="rId5"/>
    <sheet state="visible" name="prázdný - kopírovat do nových" sheetId="2" r:id="rId6"/>
    <sheet state="visible" name="Prahou přes tři jezy" sheetId="3" r:id="rId7"/>
    <sheet state="visible" name="Kamenice  2022" sheetId="4" r:id="rId8"/>
    <sheet state="visible" name="Kamenice 2023" sheetId="5" r:id="rId9"/>
    <sheet state="visible" name="Sázava 2023" sheetId="6" r:id="rId10"/>
    <sheet state="visible" name="Prahou přes tři jezy 2023" sheetId="7" r:id="rId11"/>
    <sheet state="visible" name="Kamenice 2024" sheetId="8" r:id="rId12"/>
    <sheet state="visible" name="seznam_clenu_OVT" sheetId="9" r:id="rId13"/>
    <sheet state="hidden" name="pomocna_tabulka" sheetId="10" r:id="rId14"/>
  </sheets>
  <definedNames>
    <definedName hidden="1" localSheetId="0" name="_xlnm._FilterDatabase">'Prázdný - kopírovat do new'!$A$10:$Y$36</definedName>
    <definedName hidden="1" localSheetId="4" name="_xlnm._FilterDatabase">'Kamenice 2023'!$A$10:$Y$36</definedName>
    <definedName hidden="1" localSheetId="5" name="_xlnm._FilterDatabase">'Sázava 2023'!$A$9:$AA$56</definedName>
    <definedName hidden="1" localSheetId="6" name="_xlnm._FilterDatabase">'Prahou přes tři jezy 2023'!$A$10:$Y$36</definedName>
    <definedName hidden="1" localSheetId="7" name="_xlnm._FilterDatabase">'Kamenice 2024'!$A$8:$AA$55</definedName>
  </definedNames>
  <calcPr/>
</workbook>
</file>

<file path=xl/sharedStrings.xml><?xml version="1.0" encoding="utf-8"?>
<sst xmlns="http://schemas.openxmlformats.org/spreadsheetml/2006/main" count="1757" uniqueCount="316">
  <si>
    <t>1248728083/3030</t>
  </si>
  <si>
    <t>Akce XXXXXX</t>
  </si>
  <si>
    <t>můj účet</t>
  </si>
  <si>
    <t>Název výdaje / příjmu</t>
  </si>
  <si>
    <t>Dotace</t>
  </si>
  <si>
    <t>Výdaj</t>
  </si>
  <si>
    <t>ucet</t>
  </si>
  <si>
    <t>Příjem</t>
  </si>
  <si>
    <t>Celkové výdaje</t>
  </si>
  <si>
    <t>Způsob výpočtu</t>
  </si>
  <si>
    <t>A - Rozdělit</t>
  </si>
  <si>
    <t>B - Na hlavu</t>
  </si>
  <si>
    <t>Celkové příjmy (máš před akcí)</t>
  </si>
  <si>
    <t>banka</t>
  </si>
  <si>
    <t>Počet lidí</t>
  </si>
  <si>
    <t>Celkem vybrat na místě</t>
  </si>
  <si>
    <t>Celkem</t>
  </si>
  <si>
    <t>Zokrouhlení halířů (= zbyde ti na pivo)</t>
  </si>
  <si>
    <t>Částka na hlavu</t>
  </si>
  <si>
    <t>ID</t>
  </si>
  <si>
    <t>Jméno</t>
  </si>
  <si>
    <t>QR kód k zaplacení - URL</t>
  </si>
  <si>
    <t>QR kód k zaplacení</t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</si>
  <si>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před zaokrouhlením</t>
    </r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</si>
  <si>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po zaokrouhlení</t>
    </r>
  </si>
  <si>
    <t>Již platil ze svého</t>
  </si>
  <si>
    <t>Rozdíl - finální srovnání</t>
  </si>
  <si>
    <t>Osoba se podílí na příjmu /výdaji</t>
  </si>
  <si>
    <t>Jáchymovo</t>
  </si>
  <si>
    <t>Jáchym</t>
  </si>
  <si>
    <t>Matěj</t>
  </si>
  <si>
    <t>Matějkovic</t>
  </si>
  <si>
    <t>Tomáš</t>
  </si>
  <si>
    <t>Oskar</t>
  </si>
  <si>
    <t>Maruška</t>
  </si>
  <si>
    <t>Lukáš Kopřiva</t>
  </si>
  <si>
    <t>Evičky auto</t>
  </si>
  <si>
    <t>Evka</t>
  </si>
  <si>
    <t>Fanda</t>
  </si>
  <si>
    <t>Bára</t>
  </si>
  <si>
    <t>Vojta</t>
  </si>
  <si>
    <t>Kubík</t>
  </si>
  <si>
    <t>Bus večer</t>
  </si>
  <si>
    <t>Klára</t>
  </si>
  <si>
    <t>Báry</t>
  </si>
  <si>
    <t>Vilda</t>
  </si>
  <si>
    <t>Dorostenci</t>
  </si>
  <si>
    <t xml:space="preserve">Štěpán </t>
  </si>
  <si>
    <t>Filip</t>
  </si>
  <si>
    <t>8 dalších kusů</t>
  </si>
  <si>
    <t>XXXXX</t>
  </si>
  <si>
    <t>Vybraná záloha</t>
  </si>
  <si>
    <t>Autobus</t>
  </si>
  <si>
    <t>Startovné</t>
  </si>
  <si>
    <t>Kempovné</t>
  </si>
  <si>
    <t>Propadlá záloha</t>
  </si>
  <si>
    <r>
      <rPr>
        <rFont val="Calibri"/>
        <b/>
        <i/>
        <color theme="1"/>
        <sz val="10.0"/>
      </rPr>
      <t>&lt;= Krok 1 -</t>
    </r>
    <r>
      <rPr>
        <rFont val="Calibri"/>
        <b/>
        <i/>
        <color theme="1"/>
        <sz val="10.0"/>
      </rPr>
      <t xml:space="preserve"> sepiš všechny výdaje a příjmy. </t>
    </r>
    <r>
      <rPr>
        <rFont val="Calibri"/>
        <b/>
        <i/>
        <color theme="1"/>
        <sz val="10.0"/>
      </rPr>
      <t xml:space="preserve">Vždy vyplň jen jednu z buňek. </t>
    </r>
    <r>
      <rPr>
        <rFont val="Calibri"/>
        <b/>
        <i/>
        <color theme="1"/>
        <sz val="10.0"/>
      </rPr>
      <t>Příjem je například dotace nebo vybraná záloha. Výdaj naopak zaplacené startovné nebo bus.</t>
    </r>
  </si>
  <si>
    <r>
      <rPr>
        <rFont val="Calibri, Arial"/>
        <b/>
        <i/>
        <color rgb="FF000000"/>
      </rPr>
      <t>&lt;= Krok 2</t>
    </r>
    <r>
      <rPr>
        <rFont val="Calibri"/>
        <b val="0"/>
        <i/>
        <color theme="1"/>
        <sz val="10.0"/>
      </rPr>
      <t xml:space="preserve"> - definuj způsob výpočtu.</t>
    </r>
    <r>
      <rPr>
        <rFont val="Calibri"/>
        <b/>
        <i/>
        <color theme="1"/>
        <sz val="10.0"/>
      </rPr>
      <t xml:space="preserve"> "A - rozdělit" </t>
    </r>
    <r>
      <rPr>
        <rFont val="Calibri"/>
        <b val="0"/>
        <i/>
        <color theme="1"/>
        <sz val="10.0"/>
      </rPr>
      <t xml:space="preserve">rozdělí danou čásku rovnoměrně mezi všechny, které níže označíš. </t>
    </r>
    <r>
      <rPr>
        <rFont val="Calibri"/>
        <b/>
        <i/>
        <color theme="1"/>
        <sz val="10.0"/>
      </rPr>
      <t>"B - na hlavu"</t>
    </r>
    <r>
      <rPr>
        <rFont val="Calibri"/>
        <b val="0"/>
        <i/>
        <color theme="1"/>
        <sz val="10.0"/>
      </rPr>
      <t xml:space="preserve"> naopak "nic nedělá" a daná částka se počítá vždy za jednotlivce</t>
    </r>
  </si>
  <si>
    <t>&lt;= šedou zónu nevyplňuješ</t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</si>
  <si>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před zaokrouhlením</t>
    </r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</si>
  <si>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po zaokrouhlení</t>
    </r>
  </si>
  <si>
    <r>
      <rPr>
        <rFont val="Calibri, Arial"/>
        <b/>
        <i/>
        <color rgb="FF000000"/>
      </rPr>
      <t>&lt;= Krok 3</t>
    </r>
    <r>
      <rPr>
        <rFont val="Calibri, Arial"/>
        <b val="0"/>
        <i/>
        <color rgb="FF000000"/>
      </rPr>
      <t xml:space="preserve"> - definuj kteří lidé jedou na akci a jakých částí rozpočtu se účastní</t>
    </r>
    <r>
      <rPr>
        <rFont val="Calibri, Arial"/>
        <b/>
        <i/>
        <color rgb="FF000000"/>
      </rPr>
      <t xml:space="preserve"> - zapiš "Ano" kde je to relevatní. Z nabídky u jména můžeš vybrat členy OVT
Jakákoliv hodnota v buňce se počítá jako "ano". Pouze prázdná buňka nebo buňka s pomlčkou "-" jako "ne"</t>
    </r>
  </si>
  <si>
    <t>Akce Prahou přes tři jezy</t>
  </si>
  <si>
    <t>Dítě</t>
  </si>
  <si>
    <r>
      <rPr>
        <rFont val="Calibri"/>
        <b/>
        <i/>
        <color theme="1"/>
        <sz val="10.0"/>
      </rPr>
      <t>&lt;= Krok 1 -</t>
    </r>
    <r>
      <rPr>
        <rFont val="Calibri"/>
        <b/>
        <i/>
        <color theme="1"/>
        <sz val="10.0"/>
      </rPr>
      <t xml:space="preserve"> sepiš všechny výdaje a příjmy. </t>
    </r>
    <r>
      <rPr>
        <rFont val="Calibri"/>
        <b/>
        <i/>
        <color theme="1"/>
        <sz val="10.0"/>
      </rPr>
      <t xml:space="preserve">Vždy vyplň jen jednu z buňek. </t>
    </r>
    <r>
      <rPr>
        <rFont val="Calibri"/>
        <b/>
        <i/>
        <color theme="1"/>
        <sz val="10.0"/>
      </rPr>
      <t>Příjem je například dotace nebo vybraná záloha. Výdaj naopak zaplacené startovné nebo bus.</t>
    </r>
  </si>
  <si>
    <r>
      <rPr>
        <rFont val="Calibri, Arial"/>
        <b/>
        <i/>
        <color rgb="FF000000"/>
      </rPr>
      <t>&lt;= Krok 2</t>
    </r>
    <r>
      <rPr>
        <rFont val="Calibri"/>
        <b val="0"/>
        <i/>
        <color theme="1"/>
        <sz val="10.0"/>
      </rPr>
      <t xml:space="preserve"> - definuj způsob výpočtu.</t>
    </r>
    <r>
      <rPr>
        <rFont val="Calibri"/>
        <b/>
        <i/>
        <color theme="1"/>
        <sz val="10.0"/>
      </rPr>
      <t xml:space="preserve"> "A - rozdělit" </t>
    </r>
    <r>
      <rPr>
        <rFont val="Calibri"/>
        <b val="0"/>
        <i/>
        <color theme="1"/>
        <sz val="10.0"/>
      </rPr>
      <t xml:space="preserve">rozdělí danou čásku rovnoměrně mezi všechny, které níže označíš. </t>
    </r>
    <r>
      <rPr>
        <rFont val="Calibri"/>
        <b/>
        <i/>
        <color theme="1"/>
        <sz val="10.0"/>
      </rPr>
      <t>"B - na hlavu"</t>
    </r>
    <r>
      <rPr>
        <rFont val="Calibri"/>
        <b val="0"/>
        <i/>
        <color theme="1"/>
        <sz val="10.0"/>
      </rPr>
      <t xml:space="preserve"> naopak "nic nedělá" a daná částka se počítá vždy za jednotlivce</t>
    </r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</si>
  <si>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před zaokrouhlením</t>
    </r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</si>
  <si>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po zaokrouhlení</t>
    </r>
  </si>
  <si>
    <t>Matějka Tomáš</t>
  </si>
  <si>
    <t>Ano</t>
  </si>
  <si>
    <r>
      <rPr>
        <rFont val="Calibri, Arial"/>
        <b/>
        <i/>
        <color rgb="FF000000"/>
      </rPr>
      <t>&lt;= Krok 3</t>
    </r>
    <r>
      <rPr>
        <rFont val="Calibri, Arial"/>
        <b val="0"/>
        <i/>
        <color rgb="FF000000"/>
      </rPr>
      <t xml:space="preserve"> - definuj kteří lidé jedou na akci a jakých částí rozpočtu se účastní</t>
    </r>
    <r>
      <rPr>
        <rFont val="Calibri, Arial"/>
        <b/>
        <i/>
        <color rgb="FF000000"/>
      </rPr>
      <t xml:space="preserve"> - zapiš "Ano" kde je to relevatní. Z nabídky u jména můžeš vybrat členy OVT
Jakákoliv hodnota v buňce se počítá jako "ano". Pouze prázdná buňka nebo buňka s pomlčkou "-" jako "ne"</t>
    </r>
  </si>
  <si>
    <t>Matějková Klára</t>
  </si>
  <si>
    <t>Matějková Marie</t>
  </si>
  <si>
    <t>Matějka Oskar</t>
  </si>
  <si>
    <t>-</t>
  </si>
  <si>
    <t>Bára Bernardová</t>
  </si>
  <si>
    <t>Čenda</t>
  </si>
  <si>
    <t>Honza Kukla</t>
  </si>
  <si>
    <t>Markéta Kuklová</t>
  </si>
  <si>
    <t>Musil Petr</t>
  </si>
  <si>
    <t>Kubík Musilů</t>
  </si>
  <si>
    <t>Matějková Eva</t>
  </si>
  <si>
    <t>Matějka Fanoušek</t>
  </si>
  <si>
    <t>Akce KAMENICE 
2022</t>
  </si>
  <si>
    <t>dotace</t>
  </si>
  <si>
    <t>Tomík doprava</t>
  </si>
  <si>
    <t>Jáchym doprava</t>
  </si>
  <si>
    <t>Šťěpa doprava</t>
  </si>
  <si>
    <t>Jirka doprava</t>
  </si>
  <si>
    <t>Marek doprava</t>
  </si>
  <si>
    <t>Strava Majka</t>
  </si>
  <si>
    <r>
      <rPr>
        <rFont val="Calibri"/>
        <b/>
        <i/>
        <color theme="1"/>
        <sz val="10.0"/>
      </rPr>
      <t>&lt;= Krok 1 -</t>
    </r>
    <r>
      <rPr>
        <rFont val="Calibri"/>
        <i/>
        <color theme="1"/>
        <sz val="10.0"/>
      </rPr>
      <t xml:space="preserve"> sepiš všechny výdaje a příjmy. </t>
    </r>
    <r>
      <rPr>
        <rFont val="Calibri"/>
        <b/>
        <i/>
        <color theme="1"/>
        <sz val="10.0"/>
      </rPr>
      <t xml:space="preserve">Vždy vyplň jen jednu z buňek. </t>
    </r>
    <r>
      <rPr>
        <rFont val="Calibri"/>
        <i/>
        <color theme="1"/>
        <sz val="10.0"/>
      </rPr>
      <t>Příjem je například dotace nebo vybraná záloha. Výdaj naopak zaplacené startovné nebo bus.</t>
    </r>
  </si>
  <si>
    <r>
      <rPr>
        <rFont val="Calibri"/>
        <b/>
        <i/>
        <color theme="1"/>
        <sz val="10.0"/>
      </rPr>
      <t>&lt;= Krok 2</t>
    </r>
    <r>
      <rPr>
        <rFont val="Calibri"/>
        <b val="0"/>
        <i/>
        <color theme="1"/>
        <sz val="10.0"/>
      </rPr>
      <t xml:space="preserve"> - definuj způsob výpočtu.</t>
    </r>
    <r>
      <rPr>
        <rFont val="Calibri"/>
        <b/>
        <i/>
        <color theme="1"/>
        <sz val="10.0"/>
      </rPr>
      <t xml:space="preserve"> "A - rozdělit" </t>
    </r>
    <r>
      <rPr>
        <rFont val="Calibri"/>
        <b val="0"/>
        <i/>
        <color theme="1"/>
        <sz val="10.0"/>
      </rPr>
      <t xml:space="preserve">rozdělí danou čásku rovnoměrně mezi všechny, které níže označíš. </t>
    </r>
    <r>
      <rPr>
        <rFont val="Calibri"/>
        <b/>
        <i/>
        <color theme="1"/>
        <sz val="10.0"/>
      </rPr>
      <t>"B - na hlavu"</t>
    </r>
    <r>
      <rPr>
        <rFont val="Calibri"/>
        <b val="0"/>
        <i/>
        <color theme="1"/>
        <sz val="10.0"/>
      </rPr>
      <t xml:space="preserve"> naopak "nic nedělá" a daná částka se počítá vždy za jednotlivce</t>
    </r>
  </si>
  <si>
    <r>
      <rPr>
        <rFont val="Calibri"/>
        <b/>
        <color theme="1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před zaokrouhlením</t>
    </r>
  </si>
  <si>
    <r>
      <rPr>
        <rFont val="Calibri"/>
        <b/>
        <color theme="1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po zaokrouhlení</t>
    </r>
  </si>
  <si>
    <r>
      <rPr>
        <rFont val="Calibri"/>
        <b/>
        <i/>
        <color theme="1"/>
        <sz val="10.0"/>
      </rPr>
      <t>&lt;= Krok 3</t>
    </r>
    <r>
      <rPr>
        <rFont val="Calibri"/>
        <b val="0"/>
        <i/>
        <color theme="1"/>
        <sz val="10.0"/>
      </rPr>
      <t xml:space="preserve"> - definuj kteří lidé jedou na akci a jakých částí rozpočtu se účastní</t>
    </r>
    <r>
      <rPr>
        <rFont val="Calibri"/>
        <b/>
        <i/>
        <color theme="1"/>
        <sz val="10.0"/>
      </rPr>
      <t xml:space="preserve"> - zapiš "Ano" kde je to relevatní. Z nabídky u jména můžeš vybrat členy OVT
Jakákoliv hodnota v buňce se počítá jako "ano". Pouze prázdná buňka nebo buňka s pomlčkou "-" jako "ne"</t>
    </r>
  </si>
  <si>
    <t>Kopřiva Jáchym</t>
  </si>
  <si>
    <t>Měrková Kateřina</t>
  </si>
  <si>
    <t>Klíma Jiří</t>
  </si>
  <si>
    <t>Kopřiva Lukáš</t>
  </si>
  <si>
    <t>Havlíček Filip</t>
  </si>
  <si>
    <t>Hořejší Štěpán</t>
  </si>
  <si>
    <t>Hořejší Václav</t>
  </si>
  <si>
    <t>Hořejší Marek</t>
  </si>
  <si>
    <t>Hořejší Marie</t>
  </si>
  <si>
    <t>Odstrčil Šimon</t>
  </si>
  <si>
    <t>Hlaváčková Martina</t>
  </si>
  <si>
    <t>Pepák</t>
  </si>
  <si>
    <t>Pepákovy děti</t>
  </si>
  <si>
    <t xml:space="preserve">Matěj </t>
  </si>
  <si>
    <t>David</t>
  </si>
  <si>
    <t>Pilín</t>
  </si>
  <si>
    <t>Jirka Procházka</t>
  </si>
  <si>
    <t>Lada</t>
  </si>
  <si>
    <t>Niki</t>
  </si>
  <si>
    <t>Kočina</t>
  </si>
  <si>
    <t>Magda</t>
  </si>
  <si>
    <t>zaplaceno na místě</t>
  </si>
  <si>
    <t>670100-2203580083/6210</t>
  </si>
  <si>
    <t>170578876/0300</t>
  </si>
  <si>
    <t>492484063/0800</t>
  </si>
  <si>
    <t>670100-2214737023/6210</t>
  </si>
  <si>
    <t>1248728016/3030</t>
  </si>
  <si>
    <t>43-3346560287/0100</t>
  </si>
  <si>
    <t>Akce Kamenice 2023</t>
  </si>
  <si>
    <t>jidlo prvni pulka</t>
  </si>
  <si>
    <t>jidlo druha pulka</t>
  </si>
  <si>
    <t>bydleni</t>
  </si>
  <si>
    <t>Bara Bernardová z Prahy</t>
  </si>
  <si>
    <t>Bara bernardová na místě</t>
  </si>
  <si>
    <t>Jáchym z Prahy</t>
  </si>
  <si>
    <t>Jáchym na místě</t>
  </si>
  <si>
    <t>Štěpán z Prahy (vlek)</t>
  </si>
  <si>
    <t>Štěpán z Prahy (cestující)</t>
  </si>
  <si>
    <t>panda na místě</t>
  </si>
  <si>
    <t>Bára z Prahy</t>
  </si>
  <si>
    <t>Tom z Prahy</t>
  </si>
  <si>
    <t>Tomík na místě + vlek + vlak</t>
  </si>
  <si>
    <t>Evka z Prahy</t>
  </si>
  <si>
    <t>Evka do Prahy</t>
  </si>
  <si>
    <t>Evka na miste</t>
  </si>
  <si>
    <t>https://mapy.cz/s/panusasagu</t>
  </si>
  <si>
    <t>https://mapy.cz/s/bonunulure</t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</si>
  <si>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před zaokrouhlením</t>
    </r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</si>
  <si>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po zaokrouhlení</t>
    </r>
  </si>
  <si>
    <t>Oskar Matějka</t>
  </si>
  <si>
    <t>Marie Matějková</t>
  </si>
  <si>
    <t>Fanda Matějka</t>
  </si>
  <si>
    <t>Kostková Barbora</t>
  </si>
  <si>
    <t>Vojtík</t>
  </si>
  <si>
    <t>Bernardová Barbora</t>
  </si>
  <si>
    <t>Jirka</t>
  </si>
  <si>
    <t>Dorka</t>
  </si>
  <si>
    <t>Niky</t>
  </si>
  <si>
    <t>Akce Sázava 2023</t>
  </si>
  <si>
    <t>Doprava</t>
  </si>
  <si>
    <t>Kemp</t>
  </si>
  <si>
    <t>záloha</t>
  </si>
  <si>
    <t>Doprava mini děti</t>
  </si>
  <si>
    <t>telefon vyúčtování</t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</si>
  <si>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před zaokrouhlením</t>
    </r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</si>
  <si>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po zaokrouhlení</t>
    </r>
  </si>
  <si>
    <t>Mezisoučty</t>
  </si>
  <si>
    <t>Blechová Marie</t>
  </si>
  <si>
    <t>Hladík Hubert</t>
  </si>
  <si>
    <t>Ošťádalová Tereza</t>
  </si>
  <si>
    <t>Milotová Lada</t>
  </si>
  <si>
    <t>Honskus Jáchym</t>
  </si>
  <si>
    <t>Procházka Jiří</t>
  </si>
  <si>
    <t>Kuklová Anna</t>
  </si>
  <si>
    <t>Kukla Jaromír</t>
  </si>
  <si>
    <t>Iacono Brigida</t>
  </si>
  <si>
    <t>Legát Kuba</t>
  </si>
  <si>
    <t>Legát David</t>
  </si>
  <si>
    <t>Hillerová Mája</t>
  </si>
  <si>
    <t>Krejčí Soňa</t>
  </si>
  <si>
    <t>Milotová Dora</t>
  </si>
  <si>
    <t>Hillerová Ida</t>
  </si>
  <si>
    <t>Hladíková Nikola</t>
  </si>
  <si>
    <t>Mith David</t>
  </si>
  <si>
    <t>Klusáček Filip (Pilín)</t>
  </si>
  <si>
    <t>Topol Martin</t>
  </si>
  <si>
    <t>xxx</t>
  </si>
  <si>
    <t>Matějka Fanda</t>
  </si>
  <si>
    <t>Kačaba Vojta</t>
  </si>
  <si>
    <t>Kačaba Vojtík</t>
  </si>
  <si>
    <t>Kačaba Jakub</t>
  </si>
  <si>
    <t>Šálek Pavel</t>
  </si>
  <si>
    <t>Ptáček Miroslav</t>
  </si>
  <si>
    <t>Klepač Štěpán</t>
  </si>
  <si>
    <t>Klepačová Kateřina</t>
  </si>
  <si>
    <t>Klepačová Tonka</t>
  </si>
  <si>
    <t>Klepač Eda</t>
  </si>
  <si>
    <t>Kukla Jan</t>
  </si>
  <si>
    <t>Kuklová Markéta</t>
  </si>
  <si>
    <t>Kotovská Karolína</t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</si>
  <si>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před zaokrouhlením</t>
    </r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</si>
  <si>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po zaokrouhlení</t>
    </r>
  </si>
  <si>
    <t>Tomáš Matějka</t>
  </si>
  <si>
    <t>Klára Matějková</t>
  </si>
  <si>
    <t>Eva Matějková</t>
  </si>
  <si>
    <t>Tomáš Bauer</t>
  </si>
  <si>
    <t>Tobiáš Bauer</t>
  </si>
  <si>
    <t>Martin Bauer</t>
  </si>
  <si>
    <t>Katka Měrková</t>
  </si>
  <si>
    <t>K1</t>
  </si>
  <si>
    <t>dospěláctvo</t>
  </si>
  <si>
    <t>Příjmení</t>
  </si>
  <si>
    <t>počet osob</t>
  </si>
  <si>
    <t>cena za osobu</t>
  </si>
  <si>
    <t>zaplať</t>
  </si>
  <si>
    <t>jsi hodný, zaplatil jsi</t>
  </si>
  <si>
    <t>Jakub Chochola</t>
  </si>
  <si>
    <t>C2 Baraka</t>
  </si>
  <si>
    <t>Matějková</t>
  </si>
  <si>
    <t>ano</t>
  </si>
  <si>
    <t>Chocholův kámoš</t>
  </si>
  <si>
    <t>Katka</t>
  </si>
  <si>
    <t>Měrková</t>
  </si>
  <si>
    <t>Raft colorado</t>
  </si>
  <si>
    <t>Jakub</t>
  </si>
  <si>
    <t>Chochola</t>
  </si>
  <si>
    <t>raft1</t>
  </si>
  <si>
    <t>Marek Veselý</t>
  </si>
  <si>
    <t>C2 - američka</t>
  </si>
  <si>
    <t>Karel Veselý</t>
  </si>
  <si>
    <t>Jana Veselá</t>
  </si>
  <si>
    <t>Adam Chochola</t>
  </si>
  <si>
    <t>raft2</t>
  </si>
  <si>
    <t>Marcela Chocholová</t>
  </si>
  <si>
    <t>Bára Kostková</t>
  </si>
  <si>
    <t>Mirek Ptáček</t>
  </si>
  <si>
    <t>Dospělák 2</t>
  </si>
  <si>
    <t>Štěpán Klepač</t>
  </si>
  <si>
    <t>asi 2x baraka</t>
  </si>
  <si>
    <t>Dosplěák 3</t>
  </si>
  <si>
    <t>6x malé dítě</t>
  </si>
  <si>
    <t>Raft colorado - 2. kolo</t>
  </si>
  <si>
    <t xml:space="preserve">Marek Veselý </t>
  </si>
  <si>
    <t xml:space="preserve">Jana Veselá </t>
  </si>
  <si>
    <t>Ceklem</t>
  </si>
  <si>
    <t>Akce Kamenice 2024</t>
  </si>
  <si>
    <t>ubytování pátek</t>
  </si>
  <si>
    <t>ubytování sobota</t>
  </si>
  <si>
    <t>Jídlo Majka</t>
  </si>
  <si>
    <t>Jídlo Tom</t>
  </si>
  <si>
    <t>Doprava z Prahy a do Prahy Zuzka</t>
  </si>
  <si>
    <t>Doprava z Prahy Jáchym</t>
  </si>
  <si>
    <t>Doprava do Prahy Jáchym</t>
  </si>
  <si>
    <t>Doprava z Prahy TOM</t>
  </si>
  <si>
    <t>Doprava do Prahy TOM</t>
  </si>
  <si>
    <t>Doprava z Prahy BOB</t>
  </si>
  <si>
    <t>Doprava do Prahy BOB</t>
  </si>
  <si>
    <t>Doprava kolem řeky BOB</t>
  </si>
  <si>
    <t>Doprava kolem řeky PANDA</t>
  </si>
  <si>
    <t>Doprava kolem řeky Bára</t>
  </si>
  <si>
    <t>Doprava kolem řeky TOM</t>
  </si>
  <si>
    <t>vlaky</t>
  </si>
  <si>
    <t>Dotace Jáchym</t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</si>
  <si>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před zaokrouhlením</t>
    </r>
  </si>
  <si>
    <r>
      <rPr>
        <rFont val="Calibri, Arial"/>
        <b/>
        <color rgb="FF000000"/>
        <sz val="11.0"/>
      </rPr>
      <t xml:space="preserve">Celkem platí </t>
    </r>
    <r>
      <rPr>
        <rFont val="Calibri"/>
        <b/>
        <color theme="1"/>
        <sz val="11.0"/>
        <u/>
      </rPr>
      <t xml:space="preserve">na místě </t>
    </r>
    <r>
      <rPr>
        <rFont val="Calibri"/>
        <b/>
        <color theme="1"/>
        <sz val="11.0"/>
      </rPr>
      <t>po zaokrouhlení</t>
    </r>
  </si>
  <si>
    <t>Jáchym Kopřiva</t>
  </si>
  <si>
    <t>Bob</t>
  </si>
  <si>
    <t>Matěj Měrka</t>
  </si>
  <si>
    <t>Jiřík</t>
  </si>
  <si>
    <t>Magda Košťálová</t>
  </si>
  <si>
    <t>Dora Milatová</t>
  </si>
  <si>
    <t>Nikola Hladíková</t>
  </si>
  <si>
    <t>Lada Milatová</t>
  </si>
  <si>
    <t>Vojta Tuč</t>
  </si>
  <si>
    <t>Čermáková Zuzana</t>
  </si>
  <si>
    <t>predseda Tonda</t>
  </si>
  <si>
    <t>Dítě 1</t>
  </si>
  <si>
    <t>Dítě 2</t>
  </si>
  <si>
    <t>Filip Havlíček</t>
  </si>
  <si>
    <t>Katka Křížová</t>
  </si>
  <si>
    <t>Marek Hořejší</t>
  </si>
  <si>
    <t>Majka Hořejší</t>
  </si>
  <si>
    <t xml:space="preserve">Kuba </t>
  </si>
  <si>
    <t>Bastl Pavel</t>
  </si>
  <si>
    <t>Bauer Tomáš</t>
  </si>
  <si>
    <t>Beitler Leonard</t>
  </si>
  <si>
    <t>Bernardová Hana</t>
  </si>
  <si>
    <t>Dostálová Anna</t>
  </si>
  <si>
    <t>Elis Zdeněk</t>
  </si>
  <si>
    <t>Fiala Jakub</t>
  </si>
  <si>
    <t>Fiala Matěj</t>
  </si>
  <si>
    <t>Herynek Zbyněk</t>
  </si>
  <si>
    <t>Hrabák Milan</t>
  </si>
  <si>
    <t>Chochola Adam</t>
  </si>
  <si>
    <t>Chochola Jakub</t>
  </si>
  <si>
    <t>Chvojková Karolína</t>
  </si>
  <si>
    <t>Karabec Martin</t>
  </si>
  <si>
    <t>Kopřiva Vojtěch</t>
  </si>
  <si>
    <t>Kovářová Eva</t>
  </si>
  <si>
    <t>Kříž Martin</t>
  </si>
  <si>
    <t>Liška Roman</t>
  </si>
  <si>
    <t>Machálek Pavel</t>
  </si>
  <si>
    <t>Machálek Václav</t>
  </si>
  <si>
    <t>Menčík Michal</t>
  </si>
  <si>
    <t>Němec Aleš</t>
  </si>
  <si>
    <t>Novák Petr</t>
  </si>
  <si>
    <t>Pejsar Jan</t>
  </si>
  <si>
    <t>Poštulková Alžběta</t>
  </si>
  <si>
    <t>Procházková Lina</t>
  </si>
  <si>
    <t>Skála Vít</t>
  </si>
  <si>
    <t>Skálová Lucie</t>
  </si>
  <si>
    <t>Šefců Oskar</t>
  </si>
  <si>
    <t>Švecová Lenka</t>
  </si>
  <si>
    <t>Vais Jan</t>
  </si>
  <si>
    <t>Vašut Jan</t>
  </si>
  <si>
    <t>Veselý Marek</t>
  </si>
  <si>
    <t>Vodička Gríša</t>
  </si>
  <si>
    <t>Vodička Jiří</t>
  </si>
  <si>
    <t>Zpusob Vypoctu</t>
  </si>
  <si>
    <t>Hodnota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</si>
</sst>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&quot;Kč&quot;"/>
    <numFmt numFmtId="165" formatCode="#,##0.0\ &quot;Kč&quot;"/>
    <numFmt numFmtId="166" formatCode="#,##0\ &quot;Kč&quot;"/>
  </numFmts>
  <fonts count="30">
    <font>
      <sz val="11.0"/>
      <color theme="1"/>
      <name val="Calibri"/>
      <scheme val="minor"/>
    </font>
    <font>
      <b/>
      <sz val="2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1.0"/>
      <color rgb="FF000000"/>
      <name val="Calibri"/>
    </font>
    <font>
      <b/>
      <sz val="15.0"/>
      <color theme="1"/>
      <name val="Calibri"/>
    </font>
    <font>
      <u/>
      <sz val="11.0"/>
      <color rgb="FF0000FF"/>
      <name val="Calibri"/>
    </font>
    <font>
      <color theme="1"/>
      <name val="Arial"/>
    </font>
    <font>
      <b/>
      <i/>
      <color rgb="FF000000"/>
      <name val="Calibri"/>
    </font>
    <font>
      <b/>
      <i/>
      <color theme="1"/>
      <name val="Calibri"/>
    </font>
    <font>
      <i/>
      <sz val="10.0"/>
      <color theme="1"/>
      <name val="Calibri"/>
    </font>
    <font>
      <b/>
      <i/>
      <sz val="10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rgb="FF000000"/>
      <name val="Arial"/>
    </font>
    <font>
      <sz val="11.0"/>
      <color rgb="FF000000"/>
      <name val="Calibri"/>
    </font>
    <font>
      <u/>
      <sz val="11.0"/>
      <color rgb="FF222222"/>
      <name val="Arial"/>
    </font>
    <font>
      <sz val="11.0"/>
      <color rgb="FF222222"/>
      <name val="Calibri"/>
    </font>
    <font>
      <u/>
      <sz val="11.0"/>
      <color rgb="FF222222"/>
      <name val="Arial"/>
    </font>
    <font>
      <u/>
      <color rgb="FF222222"/>
      <name val="Arial"/>
    </font>
    <font>
      <u/>
      <color rgb="FF222222"/>
      <name val="Arial"/>
    </font>
    <font>
      <u/>
      <sz val="11.0"/>
      <color rgb="FF222222"/>
      <name val="Arial"/>
    </font>
    <font>
      <u/>
      <color rgb="FF222222"/>
      <name val="Arial"/>
    </font>
    <font>
      <u/>
      <color rgb="FF222222"/>
      <name val="Arial"/>
    </font>
    <font>
      <b/>
      <color theme="1"/>
      <name val="Calibri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CBABA"/>
        <bgColor rgb="FFFCBABA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A6A6A6"/>
        <bgColor rgb="FFA6A6A6"/>
      </patternFill>
    </fill>
    <fill>
      <patternFill patternType="solid">
        <fgColor rgb="FFFFE599"/>
        <bgColor rgb="FFFFE599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D7D31"/>
        <bgColor rgb="FFED7D31"/>
      </patternFill>
    </fill>
    <fill>
      <patternFill patternType="solid">
        <fgColor rgb="FFD5A6BD"/>
        <bgColor rgb="FFD5A6BD"/>
      </patternFill>
    </fill>
  </fills>
  <borders count="127">
    <border/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/>
      <top style="thin">
        <color rgb="FF000000"/>
      </top>
    </border>
    <border>
      <left style="thin">
        <color rgb="FF000000"/>
      </left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/>
      <bottom/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000000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</border>
    <border>
      <left/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BFBFBF"/>
      </right>
      <top style="thin">
        <color rgb="FFBFBFBF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</border>
    <border>
      <left style="thin">
        <color rgb="FFBFBFBF"/>
      </left>
      <right style="medium">
        <color rgb="FF000000"/>
      </right>
      <top style="thin">
        <color rgb="FFBFBFBF"/>
      </top>
      <bottom style="medium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ck">
        <color rgb="FF000000"/>
      </left>
      <right style="dotted">
        <color rgb="FF000000"/>
      </right>
      <bottom style="dotted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BFBFBF"/>
      </right>
      <top style="medium">
        <color rgb="FF000000"/>
      </top>
      <bottom style="thin">
        <color rgb="FFBFBFBF"/>
      </bottom>
    </border>
    <border>
      <right style="thin">
        <color rgb="FFBFBFBF"/>
      </right>
      <top style="medium">
        <color rgb="FF000000"/>
      </top>
      <bottom style="thin">
        <color rgb="FFBFBFBF"/>
      </bottom>
    </border>
    <border>
      <right style="medium">
        <color rgb="FF000000"/>
      </right>
      <top style="medium">
        <color rgb="FF000000"/>
      </top>
      <bottom style="thin">
        <color rgb="FFBFBFBF"/>
      </bottom>
    </border>
    <border>
      <left style="medium">
        <color rgb="FF000000"/>
      </left>
      <right style="thin">
        <color rgb="FFBFBFBF"/>
      </right>
      <bottom style="thin">
        <color rgb="FFBFBFBF"/>
      </bottom>
    </border>
    <border>
      <right style="medium">
        <color rgb="FF000000"/>
      </right>
      <bottom style="thin">
        <color rgb="FFBFBFBF"/>
      </bottom>
    </border>
    <border>
      <left style="medium">
        <color rgb="FF000000"/>
      </left>
      <right style="thin">
        <color rgb="FFBFBFBF"/>
      </right>
      <bottom style="medium">
        <color rgb="FF000000"/>
      </bottom>
    </border>
    <border>
      <right style="thin">
        <color rgb="FFBFBFBF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shrinkToFit="0" vertical="top" wrapText="1"/>
    </xf>
    <xf borderId="0" fillId="2" fontId="3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2" fontId="2" numFmtId="0" xfId="0" applyAlignment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vertical="top" wrapText="1"/>
    </xf>
    <xf borderId="2" fillId="0" fontId="5" numFmtId="0" xfId="0" applyBorder="1" applyFont="1"/>
    <xf borderId="3" fillId="0" fontId="2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horizontal="center" shrinkToFit="0" vertical="top" wrapText="1"/>
    </xf>
    <xf borderId="4" fillId="3" fontId="3" numFmtId="0" xfId="0" applyAlignment="1" applyBorder="1" applyFill="1" applyFont="1">
      <alignment horizontal="center" shrinkToFit="0" wrapText="1"/>
    </xf>
    <xf borderId="4" fillId="3" fontId="2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 readingOrder="0" shrinkToFit="0" wrapText="1"/>
    </xf>
    <xf borderId="4" fillId="4" fontId="4" numFmtId="0" xfId="0" applyAlignment="1" applyBorder="1" applyFill="1" applyFont="1">
      <alignment horizontal="center" readingOrder="0" shrinkToFit="0" wrapText="1"/>
    </xf>
    <xf borderId="5" fillId="0" fontId="1" numFmtId="0" xfId="0" applyAlignment="1" applyBorder="1" applyFont="1">
      <alignment readingOrder="0" shrinkToFit="0" vertical="top" wrapText="1"/>
    </xf>
    <xf borderId="6" fillId="0" fontId="1" numFmtId="0" xfId="0" applyAlignment="1" applyBorder="1" applyFont="1">
      <alignment readingOrder="0" shrinkToFit="0" vertical="top" wrapText="1"/>
    </xf>
    <xf borderId="3" fillId="0" fontId="2" numFmtId="0" xfId="0" applyAlignment="1" applyBorder="1" applyFont="1">
      <alignment horizontal="center" shrinkToFit="0" vertical="top" wrapText="0"/>
    </xf>
    <xf borderId="4" fillId="3" fontId="2" numFmtId="164" xfId="0" applyAlignment="1" applyBorder="1" applyFont="1" applyNumberFormat="1">
      <alignment horizontal="center" readingOrder="0" shrinkToFit="0" wrapText="1"/>
    </xf>
    <xf borderId="4" fillId="3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vertical="top"/>
    </xf>
    <xf borderId="4" fillId="0" fontId="2" numFmtId="0" xfId="0" applyAlignment="1" applyBorder="1" applyFont="1">
      <alignment horizontal="center" vertical="top"/>
    </xf>
    <xf borderId="4" fillId="3" fontId="3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 readingOrder="0"/>
    </xf>
    <xf borderId="4" fillId="3" fontId="2" numFmtId="164" xfId="0" applyAlignment="1" applyBorder="1" applyFont="1" applyNumberFormat="1">
      <alignment horizontal="center" readingOrder="0"/>
    </xf>
    <xf borderId="7" fillId="0" fontId="1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readingOrder="0" shrinkToFit="0" vertical="top" wrapText="1"/>
    </xf>
    <xf borderId="4" fillId="5" fontId="2" numFmtId="164" xfId="0" applyAlignment="1" applyBorder="1" applyFill="1" applyFont="1" applyNumberFormat="1">
      <alignment horizontal="center"/>
    </xf>
    <xf borderId="4" fillId="3" fontId="2" numFmtId="164" xfId="0" applyAlignment="1" applyBorder="1" applyFont="1" applyNumberFormat="1">
      <alignment horizontal="center"/>
    </xf>
    <xf borderId="9" fillId="6" fontId="3" numFmtId="0" xfId="0" applyAlignment="1" applyBorder="1" applyFill="1" applyFont="1">
      <alignment horizontal="center" shrinkToFit="0" wrapText="1"/>
    </xf>
    <xf borderId="9" fillId="6" fontId="3" numFmtId="164" xfId="0" applyAlignment="1" applyBorder="1" applyFont="1" applyNumberFormat="1">
      <alignment horizontal="left"/>
    </xf>
    <xf borderId="4" fillId="0" fontId="2" numFmtId="0" xfId="0" applyAlignment="1" applyBorder="1" applyFont="1">
      <alignment horizontal="center" readingOrder="0" shrinkToFit="0" vertical="top" wrapText="0"/>
    </xf>
    <xf borderId="4" fillId="7" fontId="3" numFmtId="0" xfId="0" applyAlignment="1" applyBorder="1" applyFill="1" applyFont="1">
      <alignment horizontal="center"/>
    </xf>
    <xf borderId="4" fillId="7" fontId="2" numFmtId="0" xfId="0" applyAlignment="1" applyBorder="1" applyFont="1">
      <alignment horizontal="center"/>
    </xf>
    <xf borderId="4" fillId="7" fontId="2" numFmtId="0" xfId="0" applyAlignment="1" applyBorder="1" applyFont="1">
      <alignment horizontal="center" readingOrder="0"/>
    </xf>
    <xf borderId="4" fillId="6" fontId="3" numFmtId="0" xfId="0" applyAlignment="1" applyBorder="1" applyFont="1">
      <alignment horizontal="center" shrinkToFit="0" wrapText="1"/>
    </xf>
    <xf borderId="4" fillId="6" fontId="3" numFmtId="164" xfId="0" applyAlignment="1" applyBorder="1" applyFont="1" applyNumberFormat="1">
      <alignment horizontal="left"/>
    </xf>
    <xf borderId="4" fillId="8" fontId="3" numFmtId="0" xfId="0" applyAlignment="1" applyBorder="1" applyFill="1" applyFont="1">
      <alignment horizontal="center"/>
    </xf>
    <xf borderId="4" fillId="8" fontId="2" numFmtId="0" xfId="0" applyAlignment="1" applyBorder="1" applyFont="1">
      <alignment horizontal="center"/>
    </xf>
    <xf borderId="4" fillId="6" fontId="3" numFmtId="0" xfId="0" applyAlignment="1" applyBorder="1" applyFont="1">
      <alignment horizontal="center" shrinkToFit="0" wrapText="1"/>
    </xf>
    <xf borderId="4" fillId="8" fontId="2" numFmtId="164" xfId="0" applyAlignment="1" applyBorder="1" applyFont="1" applyNumberFormat="1">
      <alignment horizontal="center"/>
    </xf>
    <xf borderId="4" fillId="8" fontId="2" numFmtId="164" xfId="0" applyAlignment="1" applyBorder="1" applyFont="1" applyNumberFormat="1">
      <alignment horizontal="center" readingOrder="0"/>
    </xf>
    <xf borderId="10" fillId="6" fontId="3" numFmtId="0" xfId="0" applyAlignment="1" applyBorder="1" applyFont="1">
      <alignment horizontal="center" shrinkToFit="0" wrapText="1"/>
    </xf>
    <xf borderId="10" fillId="6" fontId="3" numFmtId="164" xfId="0" applyAlignment="1" applyBorder="1" applyFont="1" applyNumberFormat="1">
      <alignment horizontal="left"/>
    </xf>
    <xf borderId="10" fillId="0" fontId="2" numFmtId="0" xfId="0" applyAlignment="1" applyBorder="1" applyFont="1">
      <alignment horizontal="center" shrinkToFit="0" vertical="top" wrapText="0"/>
    </xf>
    <xf borderId="10" fillId="0" fontId="2" numFmtId="0" xfId="0" applyAlignment="1" applyBorder="1" applyFont="1">
      <alignment horizontal="center" vertical="top"/>
    </xf>
    <xf borderId="10" fillId="8" fontId="3" numFmtId="0" xfId="0" applyAlignment="1" applyBorder="1" applyFont="1">
      <alignment horizontal="center"/>
    </xf>
    <xf borderId="10" fillId="8" fontId="2" numFmtId="164" xfId="0" applyAlignment="1" applyBorder="1" applyFont="1" applyNumberFormat="1">
      <alignment horizontal="center"/>
    </xf>
    <xf borderId="11" fillId="9" fontId="3" numFmtId="0" xfId="0" applyAlignment="1" applyBorder="1" applyFill="1" applyFont="1">
      <alignment horizontal="center"/>
    </xf>
    <xf borderId="12" fillId="9" fontId="3" numFmtId="0" xfId="0" applyAlignment="1" applyBorder="1" applyFont="1">
      <alignment horizontal="left"/>
    </xf>
    <xf borderId="12" fillId="9" fontId="6" numFmtId="0" xfId="0" applyAlignment="1" applyBorder="1" applyFont="1">
      <alignment horizontal="center" readingOrder="0" shrinkToFit="0" wrapText="0"/>
    </xf>
    <xf borderId="12" fillId="9" fontId="6" numFmtId="0" xfId="0" applyAlignment="1" applyBorder="1" applyFont="1">
      <alignment horizontal="center" readingOrder="0" shrinkToFit="0" wrapText="1"/>
    </xf>
    <xf borderId="12" fillId="9" fontId="6" numFmtId="0" xfId="0" applyAlignment="1" applyBorder="1" applyFont="1">
      <alignment horizontal="center" shrinkToFit="0" wrapText="1"/>
    </xf>
    <xf borderId="13" fillId="9" fontId="6" numFmtId="0" xfId="0" applyAlignment="1" applyBorder="1" applyFont="1">
      <alignment horizontal="center" shrinkToFit="0" wrapText="1"/>
    </xf>
    <xf borderId="13" fillId="9" fontId="6" numFmtId="0" xfId="0" applyAlignment="1" applyBorder="1" applyFont="1">
      <alignment horizontal="center" readingOrder="0" shrinkToFit="0" wrapText="1"/>
    </xf>
    <xf borderId="14" fillId="9" fontId="6" numFmtId="0" xfId="0" applyAlignment="1" applyBorder="1" applyFont="1">
      <alignment horizontal="center" readingOrder="0" shrinkToFit="0" wrapText="1"/>
    </xf>
    <xf borderId="15" fillId="9" fontId="7" numFmtId="0" xfId="0" applyAlignment="1" applyBorder="1" applyFont="1">
      <alignment horizontal="center" vertical="center"/>
    </xf>
    <xf borderId="15" fillId="0" fontId="5" numFmtId="0" xfId="0" applyBorder="1" applyFont="1"/>
    <xf borderId="16" fillId="0" fontId="5" numFmtId="0" xfId="0" applyBorder="1" applyFont="1"/>
    <xf borderId="17" fillId="2" fontId="2" numFmtId="0" xfId="0" applyAlignment="1" applyBorder="1" applyFont="1">
      <alignment horizontal="center" vertical="center"/>
    </xf>
    <xf borderId="18" fillId="2" fontId="2" numFmtId="0" xfId="0" applyAlignment="1" applyBorder="1" applyFont="1">
      <alignment horizontal="left" readingOrder="0" vertical="center"/>
    </xf>
    <xf borderId="18" fillId="2" fontId="8" numFmtId="165" xfId="0" applyAlignment="1" applyBorder="1" applyFont="1" applyNumberFormat="1">
      <alignment horizontal="center" shrinkToFit="0" vertical="center" wrapText="0"/>
    </xf>
    <xf borderId="18" fillId="2" fontId="2" numFmtId="165" xfId="0" applyAlignment="1" applyBorder="1" applyFont="1" applyNumberFormat="1">
      <alignment horizontal="center" vertical="center"/>
    </xf>
    <xf borderId="18" fillId="2" fontId="2" numFmtId="166" xfId="0" applyAlignment="1" applyBorder="1" applyFont="1" applyNumberFormat="1">
      <alignment horizontal="center" vertical="center"/>
    </xf>
    <xf borderId="19" fillId="10" fontId="2" numFmtId="166" xfId="0" applyAlignment="1" applyBorder="1" applyFill="1" applyFont="1" applyNumberFormat="1">
      <alignment horizontal="center" vertical="center"/>
    </xf>
    <xf borderId="20" fillId="2" fontId="2" numFmtId="0" xfId="0" applyAlignment="1" applyBorder="1" applyFont="1">
      <alignment horizontal="center" readingOrder="0" vertical="center"/>
    </xf>
    <xf borderId="21" fillId="2" fontId="2" numFmtId="0" xfId="0" applyAlignment="1" applyBorder="1" applyFont="1">
      <alignment horizontal="center" readingOrder="0" vertical="center"/>
    </xf>
    <xf borderId="22" fillId="2" fontId="2" numFmtId="0" xfId="0" applyAlignment="1" applyBorder="1" applyFont="1">
      <alignment horizontal="center" readingOrder="0" vertical="center"/>
    </xf>
    <xf borderId="23" fillId="2" fontId="2" numFmtId="0" xfId="0" applyAlignment="1" applyBorder="1" applyFont="1">
      <alignment horizontal="center" readingOrder="0" vertical="center"/>
    </xf>
    <xf borderId="24" fillId="2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25" fillId="11" fontId="2" numFmtId="0" xfId="0" applyAlignment="1" applyBorder="1" applyFill="1" applyFont="1">
      <alignment horizontal="center" vertical="center"/>
    </xf>
    <xf borderId="26" fillId="11" fontId="2" numFmtId="0" xfId="0" applyAlignment="1" applyBorder="1" applyFont="1">
      <alignment horizontal="left" readingOrder="0" vertical="center"/>
    </xf>
    <xf borderId="26" fillId="2" fontId="2" numFmtId="165" xfId="0" applyAlignment="1" applyBorder="1" applyFont="1" applyNumberFormat="1">
      <alignment horizontal="center" vertical="center"/>
    </xf>
    <xf borderId="26" fillId="11" fontId="2" numFmtId="165" xfId="0" applyAlignment="1" applyBorder="1" applyFont="1" applyNumberFormat="1">
      <alignment horizontal="center" vertical="center"/>
    </xf>
    <xf borderId="26" fillId="11" fontId="2" numFmtId="166" xfId="0" applyAlignment="1" applyBorder="1" applyFont="1" applyNumberFormat="1">
      <alignment horizontal="center" vertical="center"/>
    </xf>
    <xf borderId="27" fillId="10" fontId="2" numFmtId="166" xfId="0" applyAlignment="1" applyBorder="1" applyFont="1" applyNumberFormat="1">
      <alignment horizontal="center" vertical="center"/>
    </xf>
    <xf borderId="28" fillId="11" fontId="2" numFmtId="0" xfId="0" applyAlignment="1" applyBorder="1" applyFont="1">
      <alignment horizontal="center" readingOrder="0" vertical="center"/>
    </xf>
    <xf borderId="26" fillId="11" fontId="2" numFmtId="0" xfId="0" applyAlignment="1" applyBorder="1" applyFont="1">
      <alignment horizontal="center" readingOrder="0" vertical="center"/>
    </xf>
    <xf borderId="29" fillId="11" fontId="2" numFmtId="0" xfId="0" applyAlignment="1" applyBorder="1" applyFont="1">
      <alignment horizontal="center" readingOrder="0" vertical="center"/>
    </xf>
    <xf borderId="27" fillId="11" fontId="2" numFmtId="0" xfId="0" applyAlignment="1" applyBorder="1" applyFont="1">
      <alignment horizontal="center" readingOrder="0" vertical="center"/>
    </xf>
    <xf borderId="25" fillId="2" fontId="2" numFmtId="0" xfId="0" applyAlignment="1" applyBorder="1" applyFont="1">
      <alignment horizontal="center" vertical="center"/>
    </xf>
    <xf borderId="26" fillId="2" fontId="2" numFmtId="0" xfId="0" applyAlignment="1" applyBorder="1" applyFont="1">
      <alignment horizontal="left" readingOrder="0" vertical="center"/>
    </xf>
    <xf borderId="26" fillId="2" fontId="2" numFmtId="166" xfId="0" applyAlignment="1" applyBorder="1" applyFont="1" applyNumberFormat="1">
      <alignment horizontal="center" vertical="center"/>
    </xf>
    <xf borderId="28" fillId="2" fontId="2" numFmtId="0" xfId="0" applyAlignment="1" applyBorder="1" applyFont="1">
      <alignment horizontal="center" readingOrder="0" vertical="center"/>
    </xf>
    <xf borderId="26" fillId="2" fontId="2" numFmtId="0" xfId="0" applyAlignment="1" applyBorder="1" applyFont="1">
      <alignment horizontal="center" readingOrder="0" vertical="center"/>
    </xf>
    <xf borderId="29" fillId="2" fontId="2" numFmtId="0" xfId="0" applyAlignment="1" applyBorder="1" applyFont="1">
      <alignment horizontal="center" readingOrder="0" vertical="center"/>
    </xf>
    <xf borderId="27" fillId="2" fontId="2" numFmtId="0" xfId="0" applyAlignment="1" applyBorder="1" applyFont="1">
      <alignment horizontal="center" readingOrder="0" vertical="center"/>
    </xf>
    <xf borderId="26" fillId="11" fontId="2" numFmtId="166" xfId="0" applyAlignment="1" applyBorder="1" applyFont="1" applyNumberFormat="1">
      <alignment horizontal="center" readingOrder="0" vertical="center"/>
    </xf>
    <xf borderId="26" fillId="2" fontId="2" numFmtId="166" xfId="0" applyAlignment="1" applyBorder="1" applyFont="1" applyNumberFormat="1">
      <alignment horizontal="center" readingOrder="0" vertical="center"/>
    </xf>
    <xf borderId="26" fillId="11" fontId="2" numFmtId="0" xfId="0" applyAlignment="1" applyBorder="1" applyFont="1">
      <alignment horizontal="center" vertical="center"/>
    </xf>
    <xf borderId="26" fillId="2" fontId="2" numFmtId="0" xfId="0" applyAlignment="1" applyBorder="1" applyFont="1">
      <alignment horizontal="center" vertical="center"/>
    </xf>
    <xf borderId="28" fillId="11" fontId="2" numFmtId="0" xfId="0" applyAlignment="1" applyBorder="1" applyFont="1">
      <alignment horizontal="center" vertical="center"/>
    </xf>
    <xf borderId="28" fillId="2" fontId="2" numFmtId="0" xfId="0" applyAlignment="1" applyBorder="1" applyFont="1">
      <alignment horizontal="center" vertical="center"/>
    </xf>
    <xf borderId="26" fillId="2" fontId="3" numFmtId="0" xfId="0" applyAlignment="1" applyBorder="1" applyFont="1">
      <alignment horizontal="left" readingOrder="0" vertical="center"/>
    </xf>
    <xf borderId="30" fillId="11" fontId="2" numFmtId="0" xfId="0" applyAlignment="1" applyBorder="1" applyFont="1">
      <alignment horizontal="center" vertical="center"/>
    </xf>
    <xf borderId="31" fillId="11" fontId="2" numFmtId="0" xfId="0" applyAlignment="1" applyBorder="1" applyFont="1">
      <alignment horizontal="left" readingOrder="0" vertical="center"/>
    </xf>
    <xf borderId="31" fillId="2" fontId="2" numFmtId="165" xfId="0" applyAlignment="1" applyBorder="1" applyFont="1" applyNumberFormat="1">
      <alignment horizontal="center" vertical="center"/>
    </xf>
    <xf borderId="31" fillId="11" fontId="2" numFmtId="165" xfId="0" applyAlignment="1" applyBorder="1" applyFont="1" applyNumberFormat="1">
      <alignment horizontal="center" vertical="center"/>
    </xf>
    <xf borderId="31" fillId="11" fontId="2" numFmtId="166" xfId="0" applyAlignment="1" applyBorder="1" applyFont="1" applyNumberFormat="1">
      <alignment horizontal="center" vertical="center"/>
    </xf>
    <xf borderId="31" fillId="11" fontId="2" numFmtId="166" xfId="0" applyAlignment="1" applyBorder="1" applyFont="1" applyNumberFormat="1">
      <alignment horizontal="center" readingOrder="0" vertical="center"/>
    </xf>
    <xf borderId="32" fillId="10" fontId="2" numFmtId="166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horizontal="center"/>
    </xf>
    <xf borderId="10" fillId="0" fontId="9" numFmtId="0" xfId="0" applyAlignment="1" applyBorder="1" applyFont="1">
      <alignment horizontal="center" vertical="center"/>
    </xf>
    <xf borderId="33" fillId="0" fontId="9" numFmtId="0" xfId="0" applyAlignment="1" applyBorder="1" applyFont="1">
      <alignment horizontal="center" shrinkToFit="0" vertical="bottom" wrapText="0"/>
    </xf>
    <xf borderId="33" fillId="0" fontId="9" numFmtId="0" xfId="0" applyAlignment="1" applyBorder="1" applyFont="1">
      <alignment horizontal="center" vertical="bottom"/>
    </xf>
    <xf borderId="34" fillId="0" fontId="5" numFmtId="0" xfId="0" applyBorder="1" applyFont="1"/>
    <xf borderId="35" fillId="0" fontId="9" numFmtId="0" xfId="0" applyAlignment="1" applyBorder="1" applyFont="1">
      <alignment horizontal="center" shrinkToFit="0" vertical="bottom" wrapText="0"/>
    </xf>
    <xf borderId="35" fillId="0" fontId="9" numFmtId="0" xfId="0" applyAlignment="1" applyBorder="1" applyFont="1">
      <alignment horizontal="center" vertical="bottom"/>
    </xf>
    <xf borderId="9" fillId="0" fontId="5" numFmtId="0" xfId="0" applyBorder="1" applyFont="1"/>
    <xf borderId="36" fillId="0" fontId="9" numFmtId="0" xfId="0" applyAlignment="1" applyBorder="1" applyFont="1">
      <alignment horizontal="center" shrinkToFit="0" vertical="bottom" wrapText="0"/>
    </xf>
    <xf borderId="36" fillId="0" fontId="9" numFmtId="0" xfId="0" applyAlignment="1" applyBorder="1" applyFont="1">
      <alignment horizontal="center" vertical="bottom"/>
    </xf>
    <xf borderId="34" fillId="0" fontId="9" numFmtId="0" xfId="0" applyAlignment="1" applyBorder="1" applyFont="1">
      <alignment horizontal="center" vertical="center"/>
    </xf>
    <xf borderId="37" fillId="0" fontId="9" numFmtId="0" xfId="0" applyAlignment="1" applyBorder="1" applyFont="1">
      <alignment horizontal="center" vertical="center"/>
    </xf>
    <xf borderId="37" fillId="0" fontId="9" numFmtId="0" xfId="0" applyAlignment="1" applyBorder="1" applyFont="1">
      <alignment horizontal="center" shrinkToFit="0" vertical="bottom" wrapText="0"/>
    </xf>
    <xf borderId="37" fillId="0" fontId="9" numFmtId="0" xfId="0" applyAlignment="1" applyBorder="1" applyFont="1">
      <alignment horizontal="center" vertical="bottom"/>
    </xf>
    <xf borderId="0" fillId="0" fontId="2" numFmtId="0" xfId="0" applyFont="1"/>
    <xf borderId="4" fillId="0" fontId="2" numFmtId="0" xfId="0" applyBorder="1" applyFont="1"/>
    <xf borderId="4" fillId="0" fontId="2" numFmtId="0" xfId="0" applyAlignment="1" applyBorder="1" applyFont="1">
      <alignment vertical="center"/>
    </xf>
    <xf borderId="4" fillId="3" fontId="3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horizontal="center" vertical="center"/>
    </xf>
    <xf borderId="4" fillId="3" fontId="2" numFmtId="0" xfId="0" applyAlignment="1" applyBorder="1" applyFont="1">
      <alignment vertical="center"/>
    </xf>
    <xf borderId="1" fillId="12" fontId="10" numFmtId="0" xfId="0" applyAlignment="1" applyBorder="1" applyFill="1" applyFont="1">
      <alignment shrinkToFit="0" vertical="center" wrapText="1"/>
    </xf>
    <xf borderId="3" fillId="0" fontId="5" numFmtId="0" xfId="0" applyBorder="1" applyFont="1"/>
    <xf borderId="38" fillId="0" fontId="5" numFmtId="0" xfId="0" applyBorder="1" applyFont="1"/>
    <xf borderId="0" fillId="0" fontId="2" numFmtId="0" xfId="0" applyAlignment="1" applyFont="1">
      <alignment vertical="center"/>
    </xf>
    <xf borderId="5" fillId="0" fontId="5" numFmtId="0" xfId="0" applyBorder="1" applyFont="1"/>
    <xf borderId="6" fillId="0" fontId="5" numFmtId="0" xfId="0" applyBorder="1" applyFont="1"/>
    <xf borderId="4" fillId="3" fontId="2" numFmtId="164" xfId="0" applyAlignment="1" applyBorder="1" applyFont="1" applyNumberFormat="1">
      <alignment horizontal="center" vertical="center"/>
    </xf>
    <xf borderId="39" fillId="0" fontId="5" numFmtId="0" xfId="0" applyBorder="1" applyFont="1"/>
    <xf borderId="40" fillId="0" fontId="5" numFmtId="0" xfId="0" applyBorder="1" applyFont="1"/>
    <xf borderId="41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4" fillId="3" fontId="2" numFmtId="164" xfId="0" applyAlignment="1" applyBorder="1" applyFont="1" applyNumberFormat="1">
      <alignment vertical="center"/>
    </xf>
    <xf borderId="4" fillId="6" fontId="3" numFmtId="0" xfId="0" applyAlignment="1" applyBorder="1" applyFont="1">
      <alignment horizontal="center" shrinkToFit="0" vertical="center" wrapText="1"/>
    </xf>
    <xf borderId="4" fillId="6" fontId="3" numFmtId="164" xfId="0" applyAlignment="1" applyBorder="1" applyFont="1" applyNumberFormat="1">
      <alignment horizontal="center" vertical="center"/>
    </xf>
    <xf borderId="4" fillId="7" fontId="3" numFmtId="0" xfId="0" applyAlignment="1" applyBorder="1" applyFont="1">
      <alignment horizontal="center" vertical="center"/>
    </xf>
    <xf borderId="4" fillId="7" fontId="2" numFmtId="0" xfId="0" applyAlignment="1" applyBorder="1" applyFont="1">
      <alignment horizontal="center" vertical="center"/>
    </xf>
    <xf borderId="4" fillId="7" fontId="2" numFmtId="0" xfId="0" applyAlignment="1" applyBorder="1" applyFont="1">
      <alignment horizontal="center" vertical="center"/>
    </xf>
    <xf borderId="4" fillId="7" fontId="2" numFmtId="0" xfId="0" applyAlignment="1" applyBorder="1" applyFont="1">
      <alignment vertical="center"/>
    </xf>
    <xf borderId="4" fillId="6" fontId="3" numFmtId="0" xfId="0" applyAlignment="1" applyBorder="1" applyFont="1">
      <alignment horizontal="center" shrinkToFit="0" vertical="center" wrapText="1"/>
    </xf>
    <xf borderId="4" fillId="8" fontId="3" numFmtId="0" xfId="0" applyAlignment="1" applyBorder="1" applyFont="1">
      <alignment horizontal="center" vertical="center"/>
    </xf>
    <xf borderId="4" fillId="8" fontId="2" numFmtId="0" xfId="0" applyAlignment="1" applyBorder="1" applyFont="1">
      <alignment horizontal="center" vertical="center"/>
    </xf>
    <xf borderId="4" fillId="8" fontId="2" numFmtId="164" xfId="0" applyAlignment="1" applyBorder="1" applyFont="1" applyNumberFormat="1">
      <alignment horizontal="center" vertical="center"/>
    </xf>
    <xf borderId="42" fillId="12" fontId="11" numFmtId="0" xfId="0" applyAlignment="1" applyBorder="1" applyFont="1">
      <alignment shrinkToFit="0" vertical="center" wrapText="1"/>
    </xf>
    <xf borderId="43" fillId="0" fontId="5" numFmtId="0" xfId="0" applyBorder="1" applyFont="1"/>
    <xf borderId="44" fillId="0" fontId="5" numFmtId="0" xfId="0" applyBorder="1" applyFont="1"/>
    <xf borderId="4" fillId="9" fontId="3" numFmtId="0" xfId="0" applyAlignment="1" applyBorder="1" applyFont="1">
      <alignment horizontal="center" vertical="center"/>
    </xf>
    <xf borderId="4" fillId="9" fontId="6" numFmtId="0" xfId="0" applyAlignment="1" applyBorder="1" applyFont="1">
      <alignment horizontal="center" shrinkToFit="0" vertical="center" wrapText="1"/>
    </xf>
    <xf borderId="42" fillId="9" fontId="3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/>
    </xf>
    <xf borderId="4" fillId="2" fontId="2" numFmtId="0" xfId="0" applyAlignment="1" applyBorder="1" applyFont="1">
      <alignment horizontal="center" readingOrder="0"/>
    </xf>
    <xf borderId="4" fillId="2" fontId="2" numFmtId="165" xfId="0" applyAlignment="1" applyBorder="1" applyFont="1" applyNumberFormat="1">
      <alignment horizontal="center"/>
    </xf>
    <xf borderId="4" fillId="2" fontId="2" numFmtId="166" xfId="0" applyAlignment="1" applyBorder="1" applyFont="1" applyNumberFormat="1">
      <alignment horizontal="center"/>
    </xf>
    <xf borderId="4" fillId="2" fontId="2" numFmtId="0" xfId="0" applyBorder="1" applyFont="1"/>
    <xf borderId="1" fillId="12" fontId="10" numFmtId="0" xfId="0" applyAlignment="1" applyBorder="1" applyFont="1">
      <alignment shrinkToFit="0" wrapText="1"/>
    </xf>
    <xf borderId="4" fillId="11" fontId="2" numFmtId="0" xfId="0" applyAlignment="1" applyBorder="1" applyFont="1">
      <alignment horizontal="center"/>
    </xf>
    <xf borderId="4" fillId="11" fontId="2" numFmtId="0" xfId="0" applyAlignment="1" applyBorder="1" applyFont="1">
      <alignment horizontal="center" readingOrder="0"/>
    </xf>
    <xf borderId="4" fillId="11" fontId="2" numFmtId="165" xfId="0" applyAlignment="1" applyBorder="1" applyFont="1" applyNumberFormat="1">
      <alignment horizontal="center"/>
    </xf>
    <xf borderId="4" fillId="11" fontId="2" numFmtId="166" xfId="0" applyAlignment="1" applyBorder="1" applyFont="1" applyNumberFormat="1">
      <alignment horizontal="center"/>
    </xf>
    <xf borderId="4" fillId="11" fontId="2" numFmtId="0" xfId="0" applyBorder="1" applyFont="1"/>
    <xf borderId="45" fillId="0" fontId="5" numFmtId="0" xfId="0" applyBorder="1" applyFont="1"/>
    <xf borderId="4" fillId="2" fontId="2" numFmtId="0" xfId="0" applyAlignment="1" applyBorder="1" applyFont="1">
      <alignment readingOrder="0"/>
    </xf>
    <xf borderId="4" fillId="2" fontId="2" numFmtId="0" xfId="0" applyAlignment="1" applyBorder="1" applyFont="1">
      <alignment horizontal="center"/>
    </xf>
    <xf borderId="4" fillId="11" fontId="2" numFmtId="0" xfId="0" applyAlignment="1" applyBorder="1" applyFont="1">
      <alignment readingOrder="0"/>
    </xf>
    <xf borderId="4" fillId="11" fontId="2" numFmtId="0" xfId="0" applyAlignment="1" applyBorder="1" applyFont="1">
      <alignment horizontal="center"/>
    </xf>
    <xf borderId="4" fillId="11" fontId="2" numFmtId="0" xfId="0" applyBorder="1" applyFont="1"/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shrinkToFit="0" vertical="top" wrapText="1"/>
    </xf>
    <xf borderId="4" fillId="3" fontId="2" numFmtId="0" xfId="0" applyAlignment="1" applyBorder="1" applyFont="1">
      <alignment horizontal="center"/>
    </xf>
    <xf borderId="1" fillId="12" fontId="10" numFmtId="0" xfId="0" applyAlignment="1" applyBorder="1" applyFont="1">
      <alignment horizontal="center" shrinkToFit="0" wrapText="1"/>
    </xf>
    <xf borderId="4" fillId="6" fontId="3" numFmtId="164" xfId="0" applyAlignment="1" applyBorder="1" applyFont="1" applyNumberFormat="1">
      <alignment horizontal="center"/>
    </xf>
    <xf borderId="4" fillId="7" fontId="2" numFmtId="0" xfId="0" applyAlignment="1" applyBorder="1" applyFont="1">
      <alignment horizontal="center"/>
    </xf>
    <xf borderId="42" fillId="12" fontId="11" numFmtId="0" xfId="0" applyAlignment="1" applyBorder="1" applyFont="1">
      <alignment horizontal="center" shrinkToFit="0" wrapText="1"/>
    </xf>
    <xf borderId="4" fillId="9" fontId="3" numFmtId="0" xfId="0" applyAlignment="1" applyBorder="1" applyFont="1">
      <alignment horizontal="center"/>
    </xf>
    <xf borderId="4" fillId="9" fontId="6" numFmtId="0" xfId="0" applyAlignment="1" applyBorder="1" applyFont="1">
      <alignment horizontal="center" shrinkToFit="0" wrapText="1"/>
    </xf>
    <xf borderId="42" fillId="9" fontId="3" numFmtId="0" xfId="0" applyAlignment="1" applyBorder="1" applyFont="1">
      <alignment horizontal="center"/>
    </xf>
    <xf borderId="4" fillId="13" fontId="2" numFmtId="0" xfId="0" applyAlignment="1" applyBorder="1" applyFill="1" applyFont="1">
      <alignment horizontal="center" readingOrder="0"/>
    </xf>
    <xf borderId="1" fillId="12" fontId="10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 vertical="center"/>
    </xf>
    <xf borderId="46" fillId="0" fontId="1" numFmtId="0" xfId="0" applyAlignment="1" applyBorder="1" applyFont="1">
      <alignment horizontal="left" readingOrder="0" shrinkToFit="0" vertical="top" wrapText="1"/>
    </xf>
    <xf borderId="47" fillId="0" fontId="5" numFmtId="0" xfId="0" applyBorder="1" applyFont="1"/>
    <xf borderId="48" fillId="0" fontId="1" numFmtId="0" xfId="0" applyAlignment="1" applyBorder="1" applyFont="1">
      <alignment horizontal="left" shrinkToFit="0" vertical="top" wrapText="1"/>
    </xf>
    <xf borderId="48" fillId="3" fontId="3" numFmtId="0" xfId="0" applyAlignment="1" applyBorder="1" applyFont="1">
      <alignment horizontal="center" vertical="center"/>
    </xf>
    <xf borderId="49" fillId="3" fontId="2" numFmtId="0" xfId="0" applyAlignment="1" applyBorder="1" applyFont="1">
      <alignment horizontal="center" readingOrder="0" vertical="center"/>
    </xf>
    <xf borderId="50" fillId="3" fontId="2" numFmtId="0" xfId="0" applyAlignment="1" applyBorder="1" applyFont="1">
      <alignment horizontal="center" readingOrder="0" vertical="center"/>
    </xf>
    <xf borderId="50" fillId="3" fontId="2" numFmtId="0" xfId="0" applyAlignment="1" applyBorder="1" applyFont="1">
      <alignment horizontal="center" vertical="center"/>
    </xf>
    <xf borderId="51" fillId="3" fontId="2" numFmtId="0" xfId="0" applyAlignment="1" applyBorder="1" applyFont="1">
      <alignment horizontal="center" vertical="center"/>
    </xf>
    <xf borderId="52" fillId="12" fontId="12" numFmtId="0" xfId="0" applyAlignment="1" applyBorder="1" applyFont="1">
      <alignment horizontal="left" shrinkToFit="0" vertical="center" wrapText="1"/>
    </xf>
    <xf borderId="53" fillId="0" fontId="5" numFmtId="0" xfId="0" applyBorder="1" applyFont="1"/>
    <xf borderId="54" fillId="0" fontId="5" numFmtId="0" xfId="0" applyBorder="1" applyFont="1"/>
    <xf borderId="55" fillId="0" fontId="5" numFmtId="0" xfId="0" applyBorder="1" applyFont="1"/>
    <xf borderId="56" fillId="0" fontId="1" numFmtId="0" xfId="0" applyAlignment="1" applyBorder="1" applyFont="1">
      <alignment horizontal="left" shrinkToFit="0" vertical="top" wrapText="1"/>
    </xf>
    <xf borderId="57" fillId="3" fontId="3" numFmtId="0" xfId="0" applyAlignment="1" applyBorder="1" applyFont="1">
      <alignment horizontal="center" vertical="center"/>
    </xf>
    <xf borderId="58" fillId="3" fontId="2" numFmtId="0" xfId="0" applyAlignment="1" applyBorder="1" applyFont="1">
      <alignment horizontal="center" vertical="center"/>
    </xf>
    <xf borderId="59" fillId="3" fontId="2" numFmtId="164" xfId="0" applyAlignment="1" applyBorder="1" applyFont="1" applyNumberFormat="1">
      <alignment horizontal="center" readingOrder="0" vertical="center"/>
    </xf>
    <xf borderId="59" fillId="3" fontId="2" numFmtId="0" xfId="0" applyAlignment="1" applyBorder="1" applyFont="1">
      <alignment horizontal="center" vertical="center"/>
    </xf>
    <xf borderId="60" fillId="3" fontId="2" numFmtId="0" xfId="0" applyAlignment="1" applyBorder="1" applyFont="1">
      <alignment horizontal="center" vertical="center"/>
    </xf>
    <xf borderId="61" fillId="0" fontId="5" numFmtId="0" xfId="0" applyBorder="1" applyFont="1"/>
    <xf borderId="62" fillId="0" fontId="5" numFmtId="0" xfId="0" applyBorder="1" applyFont="1"/>
    <xf borderId="63" fillId="3" fontId="3" numFmtId="0" xfId="0" applyAlignment="1" applyBorder="1" applyFont="1">
      <alignment horizontal="center" vertical="center"/>
    </xf>
    <xf borderId="64" fillId="3" fontId="2" numFmtId="164" xfId="0" applyAlignment="1" applyBorder="1" applyFont="1" applyNumberFormat="1">
      <alignment horizontal="center" readingOrder="0" vertical="center"/>
    </xf>
    <xf borderId="65" fillId="3" fontId="2" numFmtId="164" xfId="0" applyAlignment="1" applyBorder="1" applyFont="1" applyNumberFormat="1">
      <alignment horizontal="center" vertical="center"/>
    </xf>
    <xf borderId="65" fillId="3" fontId="2" numFmtId="164" xfId="0" applyAlignment="1" applyBorder="1" applyFont="1" applyNumberFormat="1">
      <alignment horizontal="center" readingOrder="0" vertical="center"/>
    </xf>
    <xf borderId="66" fillId="3" fontId="2" numFmtId="164" xfId="0" applyAlignment="1" applyBorder="1" applyFont="1" applyNumberFormat="1">
      <alignment horizontal="center" vertical="center"/>
    </xf>
    <xf borderId="52" fillId="12" fontId="13" numFmtId="0" xfId="0" applyAlignment="1" applyBorder="1" applyFont="1">
      <alignment horizontal="left" shrinkToFit="0" vertical="center" wrapText="1"/>
    </xf>
    <xf borderId="67" fillId="6" fontId="3" numFmtId="0" xfId="0" applyAlignment="1" applyBorder="1" applyFont="1">
      <alignment horizontal="center" shrinkToFit="0" vertical="center" wrapText="1"/>
    </xf>
    <xf borderId="51" fillId="6" fontId="3" numFmtId="164" xfId="0" applyAlignment="1" applyBorder="1" applyFont="1" applyNumberFormat="1">
      <alignment horizontal="center" vertical="center"/>
    </xf>
    <xf borderId="68" fillId="7" fontId="3" numFmtId="0" xfId="0" applyAlignment="1" applyBorder="1" applyFont="1">
      <alignment horizontal="center" vertical="center"/>
    </xf>
    <xf borderId="69" fillId="7" fontId="2" numFmtId="0" xfId="0" applyAlignment="1" applyBorder="1" applyFont="1">
      <alignment horizontal="center" readingOrder="0" vertical="center"/>
    </xf>
    <xf borderId="70" fillId="7" fontId="2" numFmtId="0" xfId="0" applyAlignment="1" applyBorder="1" applyFont="1">
      <alignment horizontal="center" readingOrder="0" vertical="center"/>
    </xf>
    <xf borderId="70" fillId="7" fontId="2" numFmtId="0" xfId="0" applyAlignment="1" applyBorder="1" applyFont="1">
      <alignment horizontal="center" vertical="center"/>
    </xf>
    <xf borderId="71" fillId="7" fontId="2" numFmtId="0" xfId="0" applyAlignment="1" applyBorder="1" applyFont="1">
      <alignment horizontal="center" vertical="center"/>
    </xf>
    <xf borderId="72" fillId="6" fontId="3" numFmtId="0" xfId="0" applyAlignment="1" applyBorder="1" applyFont="1">
      <alignment horizontal="center" readingOrder="0" shrinkToFit="0" vertical="center" wrapText="1"/>
    </xf>
    <xf borderId="73" fillId="6" fontId="3" numFmtId="164" xfId="0" applyAlignment="1" applyBorder="1" applyFont="1" applyNumberFormat="1">
      <alignment horizontal="center" vertical="center"/>
    </xf>
    <xf borderId="74" fillId="8" fontId="3" numFmtId="0" xfId="0" applyAlignment="1" applyBorder="1" applyFont="1">
      <alignment horizontal="center" vertical="center"/>
    </xf>
    <xf borderId="67" fillId="8" fontId="2" numFmtId="0" xfId="0" applyAlignment="1" applyBorder="1" applyFont="1">
      <alignment horizontal="center" readingOrder="0" vertical="center"/>
    </xf>
    <xf borderId="50" fillId="8" fontId="2" numFmtId="0" xfId="0" applyAlignment="1" applyBorder="1" applyFont="1">
      <alignment horizontal="center" readingOrder="0" vertical="center"/>
    </xf>
    <xf borderId="50" fillId="8" fontId="2" numFmtId="0" xfId="0" applyAlignment="1" applyBorder="1" applyFont="1">
      <alignment horizontal="center" vertical="center"/>
    </xf>
    <xf borderId="51" fillId="8" fontId="2" numFmtId="0" xfId="0" applyAlignment="1" applyBorder="1" applyFont="1">
      <alignment horizontal="center" vertical="center"/>
    </xf>
    <xf borderId="75" fillId="6" fontId="3" numFmtId="0" xfId="0" applyAlignment="1" applyBorder="1" applyFont="1">
      <alignment horizontal="center" shrinkToFit="0" vertical="center" wrapText="1"/>
    </xf>
    <xf borderId="76" fillId="6" fontId="3" numFmtId="164" xfId="0" applyAlignment="1" applyBorder="1" applyFont="1" applyNumberFormat="1">
      <alignment horizontal="center" vertical="center"/>
    </xf>
    <xf borderId="77" fillId="8" fontId="3" numFmtId="0" xfId="0" applyAlignment="1" applyBorder="1" applyFont="1">
      <alignment horizontal="center" vertical="center"/>
    </xf>
    <xf borderId="72" fillId="8" fontId="2" numFmtId="164" xfId="0" applyAlignment="1" applyBorder="1" applyFont="1" applyNumberFormat="1">
      <alignment horizontal="center" vertical="center"/>
    </xf>
    <xf borderId="4" fillId="8" fontId="2" numFmtId="164" xfId="0" applyAlignment="1" applyBorder="1" applyFont="1" applyNumberFormat="1">
      <alignment horizontal="center" readingOrder="0" vertical="center"/>
    </xf>
    <xf borderId="73" fillId="8" fontId="2" numFmtId="164" xfId="0" applyAlignment="1" applyBorder="1" applyFont="1" applyNumberFormat="1">
      <alignment horizontal="center" vertical="center"/>
    </xf>
    <xf borderId="78" fillId="12" fontId="13" numFmtId="0" xfId="0" applyAlignment="1" applyBorder="1" applyFont="1">
      <alignment horizontal="left" shrinkToFit="0" vertical="center" wrapText="1"/>
    </xf>
    <xf borderId="79" fillId="0" fontId="5" numFmtId="0" xfId="0" applyBorder="1" applyFont="1"/>
    <xf borderId="80" fillId="0" fontId="5" numFmtId="0" xfId="0" applyBorder="1" applyFont="1"/>
    <xf borderId="81" fillId="0" fontId="1" numFmtId="0" xfId="0" applyAlignment="1" applyBorder="1" applyFont="1">
      <alignment horizontal="left" shrinkToFit="0" vertical="top" wrapText="1"/>
    </xf>
    <xf borderId="82" fillId="8" fontId="3" numFmtId="0" xfId="0" applyAlignment="1" applyBorder="1" applyFont="1">
      <alignment horizontal="center" vertical="center"/>
    </xf>
    <xf borderId="83" fillId="8" fontId="2" numFmtId="164" xfId="0" applyAlignment="1" applyBorder="1" applyFont="1" applyNumberFormat="1">
      <alignment horizontal="center" vertical="center"/>
    </xf>
    <xf borderId="65" fillId="8" fontId="2" numFmtId="164" xfId="0" applyAlignment="1" applyBorder="1" applyFont="1" applyNumberFormat="1">
      <alignment horizontal="center" vertical="center"/>
    </xf>
    <xf borderId="65" fillId="8" fontId="2" numFmtId="164" xfId="0" applyAlignment="1" applyBorder="1" applyFont="1" applyNumberFormat="1">
      <alignment horizontal="center" readingOrder="0" vertical="center"/>
    </xf>
    <xf borderId="66" fillId="8" fontId="2" numFmtId="164" xfId="0" applyAlignment="1" applyBorder="1" applyFont="1" applyNumberFormat="1">
      <alignment horizontal="center" vertical="center"/>
    </xf>
    <xf borderId="84" fillId="9" fontId="3" numFmtId="0" xfId="0" applyAlignment="1" applyBorder="1" applyFont="1">
      <alignment horizontal="center" vertical="center"/>
    </xf>
    <xf borderId="85" fillId="9" fontId="3" numFmtId="0" xfId="0" applyAlignment="1" applyBorder="1" applyFont="1">
      <alignment horizontal="center" vertical="center"/>
    </xf>
    <xf borderId="86" fillId="9" fontId="3" numFmtId="0" xfId="0" applyAlignment="1" applyBorder="1" applyFont="1">
      <alignment horizontal="center" shrinkToFit="0" vertical="center" wrapText="1"/>
    </xf>
    <xf borderId="62" fillId="9" fontId="3" numFmtId="0" xfId="0" applyAlignment="1" applyBorder="1" applyFont="1">
      <alignment horizontal="center" vertical="center"/>
    </xf>
    <xf borderId="87" fillId="0" fontId="5" numFmtId="0" xfId="0" applyBorder="1" applyFont="1"/>
    <xf borderId="88" fillId="0" fontId="2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readingOrder="0" vertical="center"/>
    </xf>
    <xf borderId="89" fillId="0" fontId="2" numFmtId="165" xfId="0" applyAlignment="1" applyBorder="1" applyFont="1" applyNumberFormat="1">
      <alignment horizontal="center" vertical="center"/>
    </xf>
    <xf borderId="89" fillId="0" fontId="2" numFmtId="166" xfId="0" applyAlignment="1" applyBorder="1" applyFont="1" applyNumberFormat="1">
      <alignment horizontal="center" vertical="center"/>
    </xf>
    <xf borderId="90" fillId="0" fontId="2" numFmtId="0" xfId="0" applyAlignment="1" applyBorder="1" applyFont="1">
      <alignment horizontal="center" readingOrder="0" vertical="center"/>
    </xf>
    <xf borderId="91" fillId="0" fontId="2" numFmtId="0" xfId="0" applyAlignment="1" applyBorder="1" applyFont="1">
      <alignment horizontal="center" vertical="center"/>
    </xf>
    <xf borderId="92" fillId="0" fontId="2" numFmtId="0" xfId="0" applyAlignment="1" applyBorder="1" applyFont="1">
      <alignment horizontal="center" vertical="center"/>
    </xf>
    <xf borderId="52" fillId="12" fontId="13" numFmtId="0" xfId="0" applyAlignment="1" applyBorder="1" applyFont="1">
      <alignment horizontal="left" readingOrder="0" shrinkToFit="0" vertical="center" wrapText="1"/>
    </xf>
    <xf borderId="72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93" fillId="0" fontId="2" numFmtId="0" xfId="0" applyAlignment="1" applyBorder="1" applyFont="1">
      <alignment horizontal="center" vertical="center"/>
    </xf>
    <xf borderId="94" fillId="0" fontId="2" numFmtId="0" xfId="0" applyAlignment="1" applyBorder="1" applyFont="1">
      <alignment horizontal="center" vertical="center"/>
    </xf>
    <xf borderId="95" fillId="0" fontId="5" numFmtId="0" xfId="0" applyBorder="1" applyFont="1"/>
    <xf borderId="91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96" fillId="0" fontId="2" numFmtId="0" xfId="0" applyAlignment="1" applyBorder="1" applyFont="1">
      <alignment horizontal="center" vertical="center"/>
    </xf>
    <xf borderId="83" fillId="0" fontId="2" numFmtId="0" xfId="0" applyAlignment="1" applyBorder="1" applyFont="1">
      <alignment horizontal="center" vertical="center"/>
    </xf>
    <xf borderId="65" fillId="0" fontId="2" numFmtId="0" xfId="0" applyAlignment="1" applyBorder="1" applyFont="1">
      <alignment horizontal="center" vertical="center"/>
    </xf>
    <xf borderId="97" fillId="0" fontId="2" numFmtId="166" xfId="0" applyAlignment="1" applyBorder="1" applyFont="1" applyNumberFormat="1">
      <alignment horizontal="center" vertical="center"/>
    </xf>
    <xf borderId="98" fillId="0" fontId="2" numFmtId="0" xfId="0" applyAlignment="1" applyBorder="1" applyFont="1">
      <alignment horizontal="center" vertical="center"/>
    </xf>
    <xf borderId="99" fillId="0" fontId="2" numFmtId="0" xfId="0" applyAlignment="1" applyBorder="1" applyFont="1">
      <alignment horizontal="center" vertical="center"/>
    </xf>
    <xf borderId="100" fillId="0" fontId="2" numFmtId="0" xfId="0" applyAlignment="1" applyBorder="1" applyFont="1">
      <alignment horizontal="center" vertical="center"/>
    </xf>
    <xf borderId="0" fillId="3" fontId="3" numFmtId="0" xfId="0" applyAlignment="1" applyFont="1">
      <alignment horizontal="center" shrinkToFit="0" wrapText="1"/>
    </xf>
    <xf borderId="0" fillId="3" fontId="2" numFmtId="0" xfId="0" applyAlignment="1" applyFont="1">
      <alignment horizontal="center" shrinkToFit="0" wrapText="1"/>
    </xf>
    <xf borderId="0" fillId="5" fontId="2" numFmtId="0" xfId="0" applyAlignment="1" applyFont="1">
      <alignment horizontal="center" readingOrder="0" shrinkToFit="0" wrapText="1"/>
    </xf>
    <xf borderId="0" fillId="13" fontId="2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 shrinkToFit="0" wrapText="1"/>
    </xf>
    <xf borderId="4" fillId="3" fontId="14" numFmtId="0" xfId="0" applyAlignment="1" applyBorder="1" applyFont="1">
      <alignment horizontal="center" readingOrder="0" shrinkToFit="0" wrapText="1"/>
    </xf>
    <xf borderId="4" fillId="3" fontId="15" numFmtId="0" xfId="0" applyAlignment="1" applyBorder="1" applyFont="1">
      <alignment horizontal="center" readingOrder="0" shrinkToFit="0" wrapText="1"/>
    </xf>
    <xf borderId="19" fillId="5" fontId="2" numFmtId="166" xfId="0" applyAlignment="1" applyBorder="1" applyFont="1" applyNumberFormat="1">
      <alignment horizontal="center" vertical="center"/>
    </xf>
    <xf borderId="27" fillId="5" fontId="2" numFmtId="166" xfId="0" applyAlignment="1" applyBorder="1" applyFont="1" applyNumberFormat="1">
      <alignment horizontal="center" vertical="center"/>
    </xf>
    <xf borderId="32" fillId="5" fontId="2" numFmtId="166" xfId="0" applyAlignment="1" applyBorder="1" applyFont="1" applyNumberFormat="1">
      <alignment horizontal="center" vertical="center"/>
    </xf>
    <xf borderId="87" fillId="0" fontId="1" numFmtId="0" xfId="0" applyAlignment="1" applyBorder="1" applyFont="1">
      <alignment readingOrder="0" shrinkToFit="0" vertical="top" wrapText="1"/>
    </xf>
    <xf borderId="0" fillId="0" fontId="4" numFmtId="166" xfId="0" applyFont="1" applyNumberFormat="1"/>
    <xf borderId="11" fillId="10" fontId="3" numFmtId="0" xfId="0" applyAlignment="1" applyBorder="1" applyFont="1">
      <alignment horizontal="center"/>
    </xf>
    <xf borderId="101" fillId="10" fontId="3" numFmtId="0" xfId="0" applyAlignment="1" applyBorder="1" applyFont="1">
      <alignment horizontal="left" readingOrder="0"/>
    </xf>
    <xf borderId="12" fillId="10" fontId="3" numFmtId="0" xfId="0" applyAlignment="1" applyBorder="1" applyFont="1">
      <alignment horizontal="left"/>
    </xf>
    <xf borderId="12" fillId="10" fontId="6" numFmtId="0" xfId="0" applyAlignment="1" applyBorder="1" applyFont="1">
      <alignment horizontal="center" readingOrder="0" shrinkToFit="0" wrapText="0"/>
    </xf>
    <xf borderId="12" fillId="10" fontId="6" numFmtId="0" xfId="0" applyAlignment="1" applyBorder="1" applyFont="1">
      <alignment horizontal="center" readingOrder="0" shrinkToFit="0" wrapText="1"/>
    </xf>
    <xf borderId="12" fillId="10" fontId="6" numFmtId="0" xfId="0" applyAlignment="1" applyBorder="1" applyFont="1">
      <alignment horizontal="center" shrinkToFit="0" wrapText="1"/>
    </xf>
    <xf borderId="13" fillId="10" fontId="6" numFmtId="0" xfId="0" applyAlignment="1" applyBorder="1" applyFont="1">
      <alignment horizontal="center" shrinkToFit="0" wrapText="1"/>
    </xf>
    <xf borderId="13" fillId="10" fontId="6" numFmtId="0" xfId="0" applyAlignment="1" applyBorder="1" applyFont="1">
      <alignment horizontal="center" readingOrder="0" shrinkToFit="0" wrapText="1"/>
    </xf>
    <xf borderId="14" fillId="10" fontId="6" numFmtId="0" xfId="0" applyAlignment="1" applyBorder="1" applyFont="1">
      <alignment horizontal="center" readingOrder="0" shrinkToFit="0" wrapText="1"/>
    </xf>
    <xf borderId="15" fillId="10" fontId="7" numFmtId="0" xfId="0" applyAlignment="1" applyBorder="1" applyFont="1">
      <alignment horizontal="center" vertical="center"/>
    </xf>
    <xf borderId="16" fillId="10" fontId="7" numFmtId="0" xfId="0" applyAlignment="1" applyBorder="1" applyFont="1">
      <alignment horizontal="center" vertical="center"/>
    </xf>
    <xf borderId="0" fillId="10" fontId="4" numFmtId="0" xfId="0" applyFont="1"/>
    <xf borderId="102" fillId="10" fontId="2" numFmtId="0" xfId="0" applyAlignment="1" applyBorder="1" applyFont="1">
      <alignment horizontal="center" readingOrder="0" vertical="center"/>
    </xf>
    <xf borderId="103" fillId="10" fontId="2" numFmtId="0" xfId="0" applyAlignment="1" applyBorder="1" applyFont="1">
      <alignment horizontal="left" readingOrder="0" vertical="center"/>
    </xf>
    <xf borderId="104" fillId="13" fontId="2" numFmtId="0" xfId="0" applyAlignment="1" applyBorder="1" applyFont="1">
      <alignment horizontal="left" readingOrder="0" vertical="center"/>
    </xf>
    <xf borderId="104" fillId="10" fontId="16" numFmtId="165" xfId="0" applyAlignment="1" applyBorder="1" applyFont="1" applyNumberFormat="1">
      <alignment horizontal="center" shrinkToFit="0" vertical="center" wrapText="0"/>
    </xf>
    <xf borderId="104" fillId="10" fontId="2" numFmtId="165" xfId="0" applyAlignment="1" applyBorder="1" applyFont="1" applyNumberFormat="1">
      <alignment horizontal="center" vertical="center"/>
    </xf>
    <xf borderId="104" fillId="10" fontId="2" numFmtId="166" xfId="0" applyAlignment="1" applyBorder="1" applyFont="1" applyNumberFormat="1">
      <alignment horizontal="center" vertical="center"/>
    </xf>
    <xf borderId="104" fillId="2" fontId="2" numFmtId="166" xfId="0" applyAlignment="1" applyBorder="1" applyFont="1" applyNumberFormat="1">
      <alignment horizontal="center" vertical="center"/>
    </xf>
    <xf borderId="104" fillId="10" fontId="2" numFmtId="166" xfId="0" applyAlignment="1" applyBorder="1" applyFont="1" applyNumberFormat="1">
      <alignment horizontal="center" readingOrder="0" vertical="center"/>
    </xf>
    <xf borderId="105" fillId="13" fontId="2" numFmtId="166" xfId="0" applyAlignment="1" applyBorder="1" applyFont="1" applyNumberFormat="1">
      <alignment horizontal="center" vertical="center"/>
    </xf>
    <xf borderId="20" fillId="10" fontId="2" numFmtId="0" xfId="0" applyAlignment="1" applyBorder="1" applyFont="1">
      <alignment horizontal="center" readingOrder="0" vertical="center"/>
    </xf>
    <xf borderId="21" fillId="10" fontId="2" numFmtId="0" xfId="0" applyAlignment="1" applyBorder="1" applyFont="1">
      <alignment horizontal="center" readingOrder="0" vertical="center"/>
    </xf>
    <xf borderId="22" fillId="10" fontId="2" numFmtId="0" xfId="0" applyAlignment="1" applyBorder="1" applyFont="1">
      <alignment horizontal="center" readingOrder="0" vertical="center"/>
    </xf>
    <xf borderId="23" fillId="10" fontId="2" numFmtId="0" xfId="0" applyAlignment="1" applyBorder="1" applyFont="1">
      <alignment horizontal="center" readingOrder="0" vertical="center"/>
    </xf>
    <xf borderId="24" fillId="10" fontId="2" numFmtId="0" xfId="0" applyAlignment="1" applyBorder="1" applyFont="1">
      <alignment horizontal="center" readingOrder="0" vertical="center"/>
    </xf>
    <xf borderId="0" fillId="10" fontId="2" numFmtId="0" xfId="0" applyAlignment="1" applyFont="1">
      <alignment horizontal="center" readingOrder="0" vertical="center"/>
    </xf>
    <xf borderId="106" fillId="10" fontId="2" numFmtId="0" xfId="0" applyAlignment="1" applyBorder="1" applyFont="1">
      <alignment horizontal="center" readingOrder="0" vertical="center"/>
    </xf>
    <xf borderId="28" fillId="10" fontId="2" numFmtId="0" xfId="0" applyAlignment="1" applyBorder="1" applyFont="1">
      <alignment horizontal="left" readingOrder="0" vertical="center"/>
    </xf>
    <xf borderId="26" fillId="13" fontId="2" numFmtId="0" xfId="0" applyAlignment="1" applyBorder="1" applyFont="1">
      <alignment horizontal="left" readingOrder="0" vertical="center"/>
    </xf>
    <xf borderId="18" fillId="10" fontId="17" numFmtId="165" xfId="0" applyAlignment="1" applyBorder="1" applyFont="1" applyNumberFormat="1">
      <alignment horizontal="center" shrinkToFit="0" vertical="center" wrapText="0"/>
    </xf>
    <xf borderId="26" fillId="10" fontId="2" numFmtId="165" xfId="0" applyAlignment="1" applyBorder="1" applyFont="1" applyNumberFormat="1">
      <alignment horizontal="center" vertical="center"/>
    </xf>
    <xf borderId="26" fillId="10" fontId="2" numFmtId="166" xfId="0" applyAlignment="1" applyBorder="1" applyFont="1" applyNumberFormat="1">
      <alignment horizontal="center" vertical="center"/>
    </xf>
    <xf borderId="107" fillId="13" fontId="2" numFmtId="166" xfId="0" applyAlignment="1" applyBorder="1" applyFont="1" applyNumberFormat="1">
      <alignment horizontal="center" vertical="center"/>
    </xf>
    <xf borderId="28" fillId="10" fontId="2" numFmtId="0" xfId="0" applyAlignment="1" applyBorder="1" applyFont="1">
      <alignment horizontal="center" readingOrder="0" vertical="center"/>
    </xf>
    <xf borderId="26" fillId="10" fontId="2" numFmtId="0" xfId="0" applyAlignment="1" applyBorder="1" applyFont="1">
      <alignment horizontal="center" readingOrder="0" vertical="center"/>
    </xf>
    <xf borderId="29" fillId="10" fontId="2" numFmtId="0" xfId="0" applyAlignment="1" applyBorder="1" applyFont="1">
      <alignment horizontal="center" readingOrder="0" vertical="center"/>
    </xf>
    <xf borderId="27" fillId="10" fontId="2" numFmtId="0" xfId="0" applyAlignment="1" applyBorder="1" applyFont="1">
      <alignment horizontal="center" readingOrder="0" vertical="center"/>
    </xf>
    <xf borderId="26" fillId="10" fontId="2" numFmtId="166" xfId="0" applyAlignment="1" applyBorder="1" applyFont="1" applyNumberFormat="1">
      <alignment horizontal="center" readingOrder="0" vertical="center"/>
    </xf>
    <xf borderId="26" fillId="10" fontId="2" numFmtId="0" xfId="0" applyAlignment="1" applyBorder="1" applyFont="1">
      <alignment horizontal="center" vertical="center"/>
    </xf>
    <xf borderId="28" fillId="10" fontId="2" numFmtId="0" xfId="0" applyAlignment="1" applyBorder="1" applyFont="1">
      <alignment horizontal="center" vertical="center"/>
    </xf>
    <xf borderId="26" fillId="13" fontId="2" numFmtId="166" xfId="0" applyAlignment="1" applyBorder="1" applyFont="1" applyNumberFormat="1">
      <alignment horizontal="center" vertical="center"/>
    </xf>
    <xf borderId="26" fillId="10" fontId="2" numFmtId="0" xfId="0" applyAlignment="1" applyBorder="1" applyFont="1">
      <alignment horizontal="left" readingOrder="0" vertical="center"/>
    </xf>
    <xf borderId="26" fillId="13" fontId="2" numFmtId="166" xfId="0" applyAlignment="1" applyBorder="1" applyFont="1" applyNumberFormat="1">
      <alignment horizontal="center" readingOrder="0" vertical="center"/>
    </xf>
    <xf borderId="107" fillId="5" fontId="2" numFmtId="166" xfId="0" applyAlignment="1" applyBorder="1" applyFont="1" applyNumberFormat="1">
      <alignment horizontal="center" vertical="center"/>
    </xf>
    <xf borderId="107" fillId="14" fontId="2" numFmtId="166" xfId="0" applyAlignment="1" applyBorder="1" applyFill="1" applyFont="1" applyNumberFormat="1">
      <alignment horizontal="center" vertical="center"/>
    </xf>
    <xf borderId="107" fillId="15" fontId="2" numFmtId="166" xfId="0" applyAlignment="1" applyBorder="1" applyFill="1" applyFont="1" applyNumberFormat="1">
      <alignment horizontal="center" vertical="center"/>
    </xf>
    <xf borderId="0" fillId="10" fontId="2" numFmtId="0" xfId="0" applyFont="1"/>
    <xf borderId="107" fillId="10" fontId="2" numFmtId="166" xfId="0" applyAlignment="1" applyBorder="1" applyFont="1" applyNumberFormat="1">
      <alignment horizontal="center" vertical="center"/>
    </xf>
    <xf borderId="0" fillId="2" fontId="4" numFmtId="0" xfId="0" applyFont="1"/>
    <xf borderId="107" fillId="16" fontId="2" numFmtId="166" xfId="0" applyAlignment="1" applyBorder="1" applyFill="1" applyFont="1" applyNumberFormat="1">
      <alignment horizontal="center" vertical="center"/>
    </xf>
    <xf borderId="108" fillId="10" fontId="2" numFmtId="0" xfId="0" applyAlignment="1" applyBorder="1" applyFont="1">
      <alignment horizontal="center" readingOrder="0" vertical="center"/>
    </xf>
    <xf borderId="109" fillId="10" fontId="2" numFmtId="0" xfId="0" applyAlignment="1" applyBorder="1" applyFont="1">
      <alignment horizontal="left" readingOrder="0" vertical="center"/>
    </xf>
    <xf borderId="110" fillId="10" fontId="2" numFmtId="0" xfId="0" applyAlignment="1" applyBorder="1" applyFont="1">
      <alignment horizontal="left" readingOrder="0" vertical="center"/>
    </xf>
    <xf borderId="111" fillId="10" fontId="18" numFmtId="165" xfId="0" applyAlignment="1" applyBorder="1" applyFont="1" applyNumberFormat="1">
      <alignment horizontal="center" shrinkToFit="0" vertical="center" wrapText="0"/>
    </xf>
    <xf borderId="110" fillId="10" fontId="2" numFmtId="165" xfId="0" applyAlignment="1" applyBorder="1" applyFont="1" applyNumberFormat="1">
      <alignment horizontal="center" vertical="center"/>
    </xf>
    <xf borderId="110" fillId="10" fontId="2" numFmtId="166" xfId="0" applyAlignment="1" applyBorder="1" applyFont="1" applyNumberFormat="1">
      <alignment horizontal="center" vertical="center"/>
    </xf>
    <xf borderId="110" fillId="10" fontId="2" numFmtId="166" xfId="0" applyAlignment="1" applyBorder="1" applyFont="1" applyNumberFormat="1">
      <alignment horizontal="center" readingOrder="0" vertical="center"/>
    </xf>
    <xf borderId="112" fillId="10" fontId="2" numFmtId="166" xfId="0" applyAlignment="1" applyBorder="1" applyFont="1" applyNumberFormat="1">
      <alignment horizontal="center" vertical="center"/>
    </xf>
    <xf borderId="113" fillId="10" fontId="2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0" fontId="19" numFmtId="0" xfId="0" applyAlignment="1" applyFont="1">
      <alignment readingOrder="0" vertical="bottom"/>
    </xf>
    <xf borderId="0" fillId="0" fontId="19" numFmtId="0" xfId="0" applyAlignment="1" applyFont="1">
      <alignment horizontal="right" readingOrder="0" vertical="bottom"/>
    </xf>
    <xf borderId="0" fillId="0" fontId="20" numFmtId="0" xfId="0" applyAlignment="1" applyFont="1">
      <alignment horizontal="center" readingOrder="0" shrinkToFit="0" wrapText="0"/>
    </xf>
    <xf borderId="0" fillId="0" fontId="9" numFmtId="0" xfId="0" applyAlignment="1" applyFont="1">
      <alignment vertical="bottom"/>
    </xf>
    <xf borderId="0" fillId="17" fontId="9" numFmtId="0" xfId="0" applyAlignment="1" applyFill="1" applyFont="1">
      <alignment vertical="bottom"/>
    </xf>
    <xf borderId="35" fillId="0" fontId="20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center" vertical="bottom"/>
    </xf>
    <xf borderId="36" fillId="0" fontId="5" numFmtId="0" xfId="0" applyBorder="1" applyFont="1"/>
    <xf borderId="0" fillId="2" fontId="21" numFmtId="0" xfId="0" applyAlignment="1" applyFont="1">
      <alignment readingOrder="0" vertical="bottom"/>
    </xf>
    <xf borderId="35" fillId="0" fontId="5" numFmtId="0" xfId="0" applyBorder="1" applyFont="1"/>
    <xf borderId="0" fillId="2" fontId="22" numFmtId="0" xfId="0" applyAlignment="1" applyFont="1">
      <alignment vertical="bottom"/>
    </xf>
    <xf borderId="0" fillId="2" fontId="23" numFmtId="0" xfId="0" applyAlignment="1" applyFont="1">
      <alignment vertical="bottom"/>
    </xf>
    <xf borderId="0" fillId="2" fontId="24" numFmtId="0" xfId="0" applyAlignment="1" applyFont="1">
      <alignment readingOrder="0" vertical="bottom"/>
    </xf>
    <xf borderId="0" fillId="2" fontId="25" numFmtId="0" xfId="0" applyAlignment="1" applyFont="1">
      <alignment readingOrder="0" shrinkToFit="0" wrapText="0"/>
    </xf>
    <xf borderId="0" fillId="0" fontId="20" numFmtId="0" xfId="0" applyAlignment="1" applyFont="1">
      <alignment shrinkToFit="0" vertical="bottom" wrapText="0"/>
    </xf>
    <xf borderId="0" fillId="18" fontId="26" numFmtId="0" xfId="0" applyAlignment="1" applyFill="1" applyFont="1">
      <alignment readingOrder="0" vertical="bottom"/>
    </xf>
    <xf borderId="0" fillId="18" fontId="19" numFmtId="0" xfId="0" applyAlignment="1" applyFont="1">
      <alignment horizontal="right" readingOrder="0" vertical="bottom"/>
    </xf>
    <xf borderId="35" fillId="18" fontId="20" numFmtId="0" xfId="0" applyAlignment="1" applyBorder="1" applyFont="1">
      <alignment horizontal="center" readingOrder="0" shrinkToFit="0" wrapText="0"/>
    </xf>
    <xf borderId="0" fillId="2" fontId="27" numFmtId="0" xfId="0" applyAlignment="1" applyFont="1">
      <alignment vertical="bottom"/>
    </xf>
    <xf borderId="0" fillId="18" fontId="20" numFmtId="0" xfId="0" applyAlignment="1" applyFont="1">
      <alignment horizontal="center" readingOrder="0" shrinkToFit="0" wrapText="0"/>
    </xf>
    <xf borderId="0" fillId="2" fontId="28" numFmtId="0" xfId="0" applyAlignment="1" applyFont="1">
      <alignment shrinkToFit="0" vertical="bottom" wrapText="0"/>
    </xf>
    <xf borderId="0" fillId="19" fontId="9" numFmtId="0" xfId="0" applyAlignment="1" applyFill="1" applyFont="1">
      <alignment vertical="bottom"/>
    </xf>
    <xf borderId="0" fillId="19" fontId="9" numFmtId="0" xfId="0" applyAlignment="1" applyFont="1">
      <alignment horizontal="right" vertical="bottom"/>
    </xf>
    <xf borderId="48" fillId="3" fontId="3" numFmtId="0" xfId="0" applyAlignment="1" applyBorder="1" applyFont="1">
      <alignment horizontal="center"/>
    </xf>
    <xf borderId="114" fillId="3" fontId="2" numFmtId="0" xfId="0" applyAlignment="1" applyBorder="1" applyFont="1">
      <alignment horizontal="center" shrinkToFit="0" wrapText="1"/>
    </xf>
    <xf borderId="114" fillId="3" fontId="2" numFmtId="0" xfId="0" applyAlignment="1" applyBorder="1" applyFont="1">
      <alignment horizontal="center" shrinkToFit="0" wrapText="1"/>
    </xf>
    <xf borderId="114" fillId="3" fontId="2" numFmtId="0" xfId="0" applyAlignment="1" applyBorder="1" applyFont="1">
      <alignment readingOrder="0"/>
    </xf>
    <xf borderId="114" fillId="3" fontId="2" numFmtId="0" xfId="0" applyBorder="1" applyFont="1"/>
    <xf borderId="115" fillId="3" fontId="2" numFmtId="0" xfId="0" applyBorder="1" applyFont="1"/>
    <xf borderId="116" fillId="3" fontId="3" numFmtId="0" xfId="0" applyAlignment="1" applyBorder="1" applyFont="1">
      <alignment horizontal="center"/>
    </xf>
    <xf borderId="36" fillId="3" fontId="2" numFmtId="0" xfId="0" applyBorder="1" applyFont="1"/>
    <xf borderId="36" fillId="16" fontId="2" numFmtId="164" xfId="0" applyAlignment="1" applyBorder="1" applyFont="1" applyNumberFormat="1">
      <alignment horizontal="center"/>
    </xf>
    <xf borderId="36" fillId="20" fontId="2" numFmtId="164" xfId="0" applyAlignment="1" applyBorder="1" applyFill="1" applyFont="1" applyNumberFormat="1">
      <alignment horizontal="center"/>
    </xf>
    <xf borderId="36" fillId="13" fontId="2" numFmtId="164" xfId="0" applyAlignment="1" applyBorder="1" applyFont="1" applyNumberFormat="1">
      <alignment horizontal="center"/>
    </xf>
    <xf borderId="36" fillId="5" fontId="2" numFmtId="164" xfId="0" applyAlignment="1" applyBorder="1" applyFont="1" applyNumberFormat="1">
      <alignment horizontal="center"/>
    </xf>
    <xf borderId="36" fillId="21" fontId="2" numFmtId="164" xfId="0" applyAlignment="1" applyBorder="1" applyFill="1" applyFont="1" applyNumberFormat="1">
      <alignment horizontal="center"/>
    </xf>
    <xf borderId="36" fillId="22" fontId="2" numFmtId="164" xfId="0" applyAlignment="1" applyBorder="1" applyFill="1" applyFont="1" applyNumberFormat="1">
      <alignment horizontal="center"/>
    </xf>
    <xf borderId="36" fillId="3" fontId="2" numFmtId="164" xfId="0" applyAlignment="1" applyBorder="1" applyFont="1" applyNumberFormat="1">
      <alignment readingOrder="0"/>
    </xf>
    <xf borderId="36" fillId="3" fontId="2" numFmtId="0" xfId="0" applyBorder="1" applyFont="1"/>
    <xf borderId="117" fillId="3" fontId="2" numFmtId="0" xfId="0" applyBorder="1" applyFont="1"/>
    <xf borderId="118" fillId="3" fontId="3" numFmtId="0" xfId="0" applyAlignment="1" applyBorder="1" applyFont="1">
      <alignment horizontal="center"/>
    </xf>
    <xf borderId="119" fillId="3" fontId="2" numFmtId="164" xfId="0" applyAlignment="1" applyBorder="1" applyFont="1" applyNumberFormat="1">
      <alignment horizontal="center"/>
    </xf>
    <xf borderId="119" fillId="3" fontId="2" numFmtId="164" xfId="0" applyBorder="1" applyFont="1" applyNumberFormat="1"/>
    <xf borderId="119" fillId="3" fontId="2" numFmtId="164" xfId="0" applyAlignment="1" applyBorder="1" applyFont="1" applyNumberFormat="1">
      <alignment readingOrder="0"/>
    </xf>
    <xf borderId="8" fillId="3" fontId="2" numFmtId="164" xfId="0" applyBorder="1" applyFont="1" applyNumberFormat="1"/>
    <xf borderId="118" fillId="7" fontId="3" numFmtId="0" xfId="0" applyAlignment="1" applyBorder="1" applyFont="1">
      <alignment horizontal="center"/>
    </xf>
    <xf borderId="119" fillId="7" fontId="2" numFmtId="0" xfId="0" applyAlignment="1" applyBorder="1" applyFont="1">
      <alignment horizontal="center"/>
    </xf>
    <xf borderId="119" fillId="7" fontId="2" numFmtId="0" xfId="0" applyAlignment="1" applyBorder="1" applyFont="1">
      <alignment horizontal="center" readingOrder="0"/>
    </xf>
    <xf borderId="119" fillId="7" fontId="2" numFmtId="0" xfId="0" applyBorder="1" applyFont="1"/>
    <xf borderId="8" fillId="7" fontId="2" numFmtId="0" xfId="0" applyBorder="1" applyFont="1"/>
    <xf borderId="88" fillId="8" fontId="3" numFmtId="0" xfId="0" applyAlignment="1" applyBorder="1" applyFont="1">
      <alignment horizontal="center"/>
    </xf>
    <xf borderId="36" fillId="8" fontId="2" numFmtId="0" xfId="0" applyAlignment="1" applyBorder="1" applyFont="1">
      <alignment horizontal="center"/>
    </xf>
    <xf borderId="36" fillId="8" fontId="2" numFmtId="0" xfId="0" applyAlignment="1" applyBorder="1" applyFont="1">
      <alignment horizontal="center"/>
    </xf>
    <xf borderId="117" fillId="8" fontId="2" numFmtId="0" xfId="0" applyAlignment="1" applyBorder="1" applyFont="1">
      <alignment horizontal="center"/>
    </xf>
    <xf borderId="36" fillId="8" fontId="2" numFmtId="164" xfId="0" applyAlignment="1" applyBorder="1" applyFont="1" applyNumberFormat="1">
      <alignment horizontal="center"/>
    </xf>
    <xf borderId="118" fillId="8" fontId="3" numFmtId="0" xfId="0" applyAlignment="1" applyBorder="1" applyFont="1">
      <alignment horizontal="center"/>
    </xf>
    <xf borderId="119" fillId="8" fontId="2" numFmtId="164" xfId="0" applyAlignment="1" applyBorder="1" applyFont="1" applyNumberFormat="1">
      <alignment horizontal="center"/>
    </xf>
    <xf borderId="50" fillId="5" fontId="2" numFmtId="0" xfId="0" applyBorder="1" applyFont="1"/>
    <xf borderId="104" fillId="5" fontId="2" numFmtId="166" xfId="0" applyAlignment="1" applyBorder="1" applyFont="1" applyNumberFormat="1">
      <alignment horizontal="center" readingOrder="0" vertical="center"/>
    </xf>
    <xf borderId="105" fillId="2" fontId="2" numFmtId="166" xfId="0" applyAlignment="1" applyBorder="1" applyFont="1" applyNumberFormat="1">
      <alignment horizontal="center" vertical="center"/>
    </xf>
    <xf borderId="120" fillId="2" fontId="2" numFmtId="0" xfId="0" applyAlignment="1" applyBorder="1" applyFont="1">
      <alignment horizontal="center"/>
    </xf>
    <xf borderId="121" fillId="2" fontId="2" numFmtId="0" xfId="0" applyAlignment="1" applyBorder="1" applyFont="1">
      <alignment horizontal="center" readingOrder="0"/>
    </xf>
    <xf borderId="121" fillId="2" fontId="2" numFmtId="0" xfId="0" applyAlignment="1" applyBorder="1" applyFont="1">
      <alignment horizontal="center"/>
    </xf>
    <xf borderId="121" fillId="2" fontId="2" numFmtId="0" xfId="0" applyBorder="1" applyFont="1"/>
    <xf borderId="121" fillId="2" fontId="2" numFmtId="0" xfId="0" applyBorder="1" applyFont="1"/>
    <xf borderId="122" fillId="2" fontId="2" numFmtId="0" xfId="0" applyBorder="1" applyFont="1"/>
    <xf borderId="9" fillId="5" fontId="2" numFmtId="0" xfId="0" applyBorder="1" applyFont="1"/>
    <xf borderId="26" fillId="23" fontId="2" numFmtId="166" xfId="0" applyAlignment="1" applyBorder="1" applyFill="1" applyFont="1" applyNumberFormat="1">
      <alignment horizontal="center" vertical="center"/>
    </xf>
    <xf borderId="123" fillId="11" fontId="2" numFmtId="0" xfId="0" applyBorder="1" applyFont="1"/>
    <xf borderId="90" fillId="11" fontId="2" numFmtId="0" xfId="0" applyAlignment="1" applyBorder="1" applyFont="1">
      <alignment horizontal="center"/>
    </xf>
    <xf borderId="90" fillId="11" fontId="2" numFmtId="0" xfId="0" applyBorder="1" applyFont="1"/>
    <xf borderId="124" fillId="11" fontId="2" numFmtId="0" xfId="0" applyBorder="1" applyFont="1"/>
    <xf borderId="123" fillId="2" fontId="2" numFmtId="0" xfId="0" applyAlignment="1" applyBorder="1" applyFont="1">
      <alignment horizontal="center"/>
    </xf>
    <xf borderId="90" fillId="2" fontId="2" numFmtId="0" xfId="0" applyAlignment="1" applyBorder="1" applyFont="1">
      <alignment horizontal="center"/>
    </xf>
    <xf borderId="90" fillId="2" fontId="2" numFmtId="0" xfId="0" applyBorder="1" applyFont="1"/>
    <xf borderId="124" fillId="2" fontId="2" numFmtId="0" xfId="0" applyBorder="1" applyFont="1"/>
    <xf borderId="9" fillId="16" fontId="2" numFmtId="0" xfId="0" applyBorder="1" applyFont="1"/>
    <xf borderId="26" fillId="17" fontId="2" numFmtId="166" xfId="0" applyAlignment="1" applyBorder="1" applyFont="1" applyNumberFormat="1">
      <alignment horizontal="center" vertical="center"/>
    </xf>
    <xf borderId="26" fillId="21" fontId="2" numFmtId="166" xfId="0" applyAlignment="1" applyBorder="1" applyFont="1" applyNumberFormat="1">
      <alignment horizontal="center" readingOrder="0" vertical="center"/>
    </xf>
    <xf borderId="90" fillId="11" fontId="2" numFmtId="0" xfId="0" applyAlignment="1" applyBorder="1" applyFont="1">
      <alignment horizontal="center" readingOrder="0"/>
    </xf>
    <xf borderId="26" fillId="24" fontId="2" numFmtId="166" xfId="0" applyAlignment="1" applyBorder="1" applyFill="1" applyFont="1" applyNumberFormat="1">
      <alignment horizontal="center" vertical="center"/>
    </xf>
    <xf borderId="123" fillId="2" fontId="2" numFmtId="0" xfId="0" applyBorder="1" applyFont="1"/>
    <xf borderId="9" fillId="21" fontId="2" numFmtId="0" xfId="0" applyBorder="1" applyFont="1"/>
    <xf borderId="26" fillId="20" fontId="2" numFmtId="166" xfId="0" applyAlignment="1" applyBorder="1" applyFont="1" applyNumberFormat="1">
      <alignment horizontal="center" readingOrder="0" vertical="center"/>
    </xf>
    <xf borderId="123" fillId="11" fontId="2" numFmtId="0" xfId="0" applyAlignment="1" applyBorder="1" applyFont="1">
      <alignment horizontal="center"/>
    </xf>
    <xf borderId="90" fillId="2" fontId="2" numFmtId="0" xfId="0" applyAlignment="1" applyBorder="1" applyFont="1">
      <alignment horizontal="center"/>
    </xf>
    <xf borderId="90" fillId="11" fontId="2" numFmtId="0" xfId="0" applyAlignment="1" applyBorder="1" applyFont="1">
      <alignment horizontal="center"/>
    </xf>
    <xf borderId="9" fillId="21" fontId="2" numFmtId="0" xfId="0" applyAlignment="1" applyBorder="1" applyFont="1">
      <alignment vertical="bottom"/>
    </xf>
    <xf borderId="123" fillId="2" fontId="2" numFmtId="0" xfId="0" applyBorder="1" applyFont="1"/>
    <xf borderId="90" fillId="2" fontId="2" numFmtId="0" xfId="0" applyAlignment="1" applyBorder="1" applyFont="1">
      <alignment horizontal="center" readingOrder="0"/>
    </xf>
    <xf borderId="123" fillId="2" fontId="2" numFmtId="0" xfId="0" applyAlignment="1" applyBorder="1" applyFont="1">
      <alignment horizontal="center"/>
    </xf>
    <xf borderId="9" fillId="25" fontId="2" numFmtId="0" xfId="0" applyBorder="1" applyFill="1" applyFont="1"/>
    <xf borderId="123" fillId="11" fontId="2" numFmtId="0" xfId="0" applyBorder="1" applyFont="1"/>
    <xf borderId="90" fillId="11" fontId="2" numFmtId="0" xfId="0" applyBorder="1" applyFont="1"/>
    <xf borderId="34" fillId="25" fontId="2" numFmtId="0" xfId="0" applyAlignment="1" applyBorder="1" applyFont="1">
      <alignment vertical="bottom"/>
    </xf>
    <xf borderId="107" fillId="2" fontId="2" numFmtId="166" xfId="0" applyAlignment="1" applyBorder="1" applyFont="1" applyNumberFormat="1">
      <alignment horizontal="center" vertical="center"/>
    </xf>
    <xf borderId="90" fillId="2" fontId="2" numFmtId="0" xfId="0" applyBorder="1" applyFont="1"/>
    <xf borderId="26" fillId="16" fontId="2" numFmtId="166" xfId="0" applyAlignment="1" applyBorder="1" applyFont="1" applyNumberFormat="1">
      <alignment horizontal="center" readingOrder="0" vertical="center"/>
    </xf>
    <xf borderId="9" fillId="26" fontId="2" numFmtId="0" xfId="0" applyBorder="1" applyFill="1" applyFont="1"/>
    <xf borderId="9" fillId="20" fontId="2" numFmtId="0" xfId="0" applyBorder="1" applyFont="1"/>
    <xf borderId="106" fillId="2" fontId="2" numFmtId="0" xfId="0" applyAlignment="1" applyBorder="1" applyFont="1">
      <alignment horizontal="center" readingOrder="0" vertical="center"/>
    </xf>
    <xf borderId="28" fillId="2" fontId="2" numFmtId="0" xfId="0" applyAlignment="1" applyBorder="1" applyFont="1">
      <alignment horizontal="left" readingOrder="0" vertical="center"/>
    </xf>
    <xf borderId="18" fillId="2" fontId="2" numFmtId="165" xfId="0" applyAlignment="1" applyBorder="1" applyFont="1" applyNumberFormat="1">
      <alignment horizontal="center" shrinkToFit="0" vertical="center" wrapText="0"/>
    </xf>
    <xf borderId="0" fillId="2" fontId="2" numFmtId="0" xfId="0" applyFont="1"/>
    <xf borderId="0" fillId="2" fontId="2" numFmtId="0" xfId="0" applyAlignment="1" applyFont="1">
      <alignment horizontal="center" readingOrder="0" vertical="center"/>
    </xf>
    <xf borderId="90" fillId="2" fontId="2" numFmtId="0" xfId="0" applyBorder="1" applyFont="1"/>
    <xf borderId="125" fillId="2" fontId="2" numFmtId="0" xfId="0" applyBorder="1" applyFont="1"/>
    <xf borderId="126" fillId="2" fontId="2" numFmtId="0" xfId="0" applyBorder="1" applyFont="1"/>
    <xf borderId="126" fillId="2" fontId="2" numFmtId="0" xfId="0" applyBorder="1" applyFont="1"/>
    <xf borderId="8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29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3">
    <tableStyle count="2" pivot="0" name="prázdný - kopírovat do nových-style">
      <tableStyleElement dxfId="1" type="firstRowStripe"/>
      <tableStyleElement dxfId="2" type="secondRowStripe"/>
    </tableStyle>
    <tableStyle count="2" pivot="0" name="Prahou přes tři jezy-style">
      <tableStyleElement dxfId="1" type="firstRowStripe"/>
      <tableStyleElement dxfId="2" type="secondRowStripe"/>
    </tableStyle>
    <tableStyle count="2" pivot="0" name="Kamenice  2022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1028700</xdr:colOff>
      <xdr:row>1</xdr:row>
      <xdr:rowOff>200025</xdr:rowOff>
    </xdr:from>
    <xdr:ext cx="15144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1028700</xdr:colOff>
      <xdr:row>1</xdr:row>
      <xdr:rowOff>200025</xdr:rowOff>
    </xdr:from>
    <xdr:ext cx="1514475" cy="828675"/>
    <xdr:pic>
      <xdr:nvPicPr>
        <xdr:cNvPr id="0" name="image1.png" title="Obrázek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1028700</xdr:colOff>
      <xdr:row>1</xdr:row>
      <xdr:rowOff>200025</xdr:rowOff>
    </xdr:from>
    <xdr:ext cx="15144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0:Z59" displayName="Table_1" name="Table_1" id="1">
  <tableColumns count="2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</tableColumns>
  <tableStyleInfo name="prázdný - kopírovat do nových-style" showColumnStripes="0" showFirstColumn="1" showLastColumn="1" showRowStripes="1"/>
</table>
</file>

<file path=xl/tables/table2.xml><?xml version="1.0" encoding="utf-8"?>
<table xmlns="http://schemas.openxmlformats.org/spreadsheetml/2006/main" headerRowCount="0" ref="B10:O59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rahou přes tři jezy-style" showColumnStripes="0" showFirstColumn="1" showLastColumn="1" showRowStripes="1"/>
</table>
</file>

<file path=xl/tables/table3.xml><?xml version="1.0" encoding="utf-8"?>
<table xmlns="http://schemas.openxmlformats.org/spreadsheetml/2006/main" headerRowCount="0" ref="B10:O59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Kamenice  202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mapy.cz/s/panusasagu" TargetMode="External"/><Relationship Id="rId2" Type="http://schemas.openxmlformats.org/officeDocument/2006/relationships/hyperlink" Target="https://mapy.cz/s/bonunulure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21.0"/>
    <col customWidth="1" min="3" max="3" width="16.86"/>
    <col customWidth="1" hidden="1" min="4" max="4" width="16.71"/>
    <col hidden="1" min="5" max="5" width="14.43"/>
    <col customWidth="1" min="6" max="6" width="15.29"/>
    <col customWidth="1" min="9" max="25" width="11.86"/>
  </cols>
  <sheetData>
    <row r="1">
      <c r="A1" s="1"/>
      <c r="B1" s="1"/>
      <c r="C1" s="2" t="s">
        <v>0</v>
      </c>
      <c r="D1" s="3"/>
      <c r="E1" s="3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 t="s">
        <v>1</v>
      </c>
      <c r="B2" s="9"/>
      <c r="C2" s="10" t="s">
        <v>2</v>
      </c>
      <c r="D2" s="11"/>
      <c r="E2" s="12"/>
      <c r="H2" s="13" t="s">
        <v>3</v>
      </c>
      <c r="I2" s="14" t="s">
        <v>4</v>
      </c>
      <c r="J2" s="15"/>
      <c r="K2" s="15"/>
      <c r="L2" s="15"/>
      <c r="M2" s="16"/>
      <c r="N2" s="16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7"/>
      <c r="B3" s="18"/>
      <c r="C3" s="19"/>
      <c r="D3" s="11"/>
      <c r="E3" s="12"/>
      <c r="H3" s="13"/>
      <c r="I3" s="14"/>
      <c r="J3" s="15"/>
      <c r="K3" s="15"/>
      <c r="L3" s="20"/>
      <c r="M3" s="15"/>
      <c r="N3" s="15"/>
      <c r="O3" s="15"/>
      <c r="P3" s="15"/>
      <c r="Q3" s="15"/>
      <c r="R3" s="15"/>
      <c r="S3" s="15"/>
      <c r="T3" s="15"/>
      <c r="U3" s="15"/>
      <c r="V3" s="21"/>
      <c r="W3" s="15"/>
      <c r="X3" s="15"/>
      <c r="Y3" s="15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7"/>
      <c r="B4" s="18"/>
      <c r="C4" s="19"/>
      <c r="D4" s="22"/>
      <c r="E4" s="23"/>
      <c r="H4" s="24" t="s">
        <v>5</v>
      </c>
      <c r="I4" s="25"/>
      <c r="J4" s="26"/>
      <c r="K4" s="26"/>
      <c r="L4" s="27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28"/>
      <c r="B5" s="29"/>
      <c r="C5" s="10" t="s">
        <v>6</v>
      </c>
      <c r="D5" s="22"/>
      <c r="E5" s="23"/>
      <c r="H5" s="24" t="s">
        <v>7</v>
      </c>
      <c r="I5" s="30">
        <v>2000.0</v>
      </c>
      <c r="J5" s="31"/>
      <c r="K5" s="27"/>
      <c r="L5" s="27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>
      <c r="A6" s="32" t="s">
        <v>8</v>
      </c>
      <c r="B6" s="33">
        <f>SUMIFS(I8:Y8,I8:Y8,"&gt;0")</f>
        <v>0</v>
      </c>
      <c r="C6" s="34">
        <v>1.248728083E9</v>
      </c>
      <c r="D6" s="23"/>
      <c r="E6" s="23"/>
      <c r="H6" s="35" t="s">
        <v>9</v>
      </c>
      <c r="I6" s="36" t="s">
        <v>10</v>
      </c>
      <c r="J6" s="37" t="s">
        <v>10</v>
      </c>
      <c r="K6" s="37" t="s">
        <v>10</v>
      </c>
      <c r="L6" s="37" t="s">
        <v>11</v>
      </c>
      <c r="M6" s="37" t="s">
        <v>10</v>
      </c>
      <c r="N6" s="37" t="s">
        <v>10</v>
      </c>
      <c r="O6" s="36" t="s">
        <v>10</v>
      </c>
      <c r="P6" s="37" t="s">
        <v>10</v>
      </c>
      <c r="Q6" s="37" t="s">
        <v>10</v>
      </c>
      <c r="R6" s="37" t="s">
        <v>10</v>
      </c>
      <c r="S6" s="37" t="s">
        <v>10</v>
      </c>
      <c r="T6" s="37" t="s">
        <v>10</v>
      </c>
      <c r="U6" s="37" t="s">
        <v>10</v>
      </c>
      <c r="V6" s="37" t="s">
        <v>10</v>
      </c>
      <c r="W6" s="37" t="s">
        <v>10</v>
      </c>
      <c r="X6" s="37" t="s">
        <v>10</v>
      </c>
      <c r="Y6" s="37" t="s">
        <v>10</v>
      </c>
    </row>
    <row r="7">
      <c r="A7" s="38" t="s">
        <v>12</v>
      </c>
      <c r="B7" s="39">
        <f>SUMIFS(I8:Y8,I8:Y8,"&lt;0")</f>
        <v>-2000</v>
      </c>
      <c r="C7" s="34" t="s">
        <v>13</v>
      </c>
      <c r="D7" s="23"/>
      <c r="E7" s="23"/>
      <c r="H7" s="40" t="s">
        <v>14</v>
      </c>
      <c r="I7" s="41">
        <f t="shared" ref="I7:Y7" si="1">COUNTIFS(I11:I36,"&lt;&gt;",I11:I36,"&lt;&gt;-")</f>
        <v>0</v>
      </c>
      <c r="J7" s="41">
        <f t="shared" si="1"/>
        <v>0</v>
      </c>
      <c r="K7" s="41">
        <f t="shared" si="1"/>
        <v>0</v>
      </c>
      <c r="L7" s="41">
        <f t="shared" si="1"/>
        <v>0</v>
      </c>
      <c r="M7" s="41">
        <f t="shared" si="1"/>
        <v>0</v>
      </c>
      <c r="N7" s="41">
        <f t="shared" si="1"/>
        <v>0</v>
      </c>
      <c r="O7" s="41">
        <f t="shared" si="1"/>
        <v>0</v>
      </c>
      <c r="P7" s="41">
        <f t="shared" si="1"/>
        <v>0</v>
      </c>
      <c r="Q7" s="41">
        <f t="shared" si="1"/>
        <v>0</v>
      </c>
      <c r="R7" s="41">
        <f t="shared" si="1"/>
        <v>0</v>
      </c>
      <c r="S7" s="41">
        <f t="shared" si="1"/>
        <v>0</v>
      </c>
      <c r="T7" s="41">
        <f t="shared" si="1"/>
        <v>0</v>
      </c>
      <c r="U7" s="41">
        <f t="shared" si="1"/>
        <v>0</v>
      </c>
      <c r="V7" s="41">
        <f t="shared" si="1"/>
        <v>0</v>
      </c>
      <c r="W7" s="41">
        <f t="shared" si="1"/>
        <v>0</v>
      </c>
      <c r="X7" s="41">
        <f t="shared" si="1"/>
        <v>0</v>
      </c>
      <c r="Y7" s="41">
        <f t="shared" si="1"/>
        <v>0</v>
      </c>
    </row>
    <row r="8">
      <c r="A8" s="42" t="s">
        <v>15</v>
      </c>
      <c r="B8" s="39">
        <f>SUM(F11:F36)</f>
        <v>0</v>
      </c>
      <c r="C8" s="34">
        <v>3030.0</v>
      </c>
      <c r="D8" s="23"/>
      <c r="E8" s="23"/>
      <c r="H8" s="40" t="s">
        <v>16</v>
      </c>
      <c r="I8" s="43">
        <f t="shared" ref="I8:X8" si="2">IF(I6="A - Rozdělit",I4-I5,IF(I6="B - Na hlavu",(I4-I5)*I7,"0"))</f>
        <v>-2000</v>
      </c>
      <c r="J8" s="43">
        <f t="shared" si="2"/>
        <v>0</v>
      </c>
      <c r="K8" s="43">
        <f t="shared" si="2"/>
        <v>0</v>
      </c>
      <c r="L8" s="43">
        <f t="shared" si="2"/>
        <v>0</v>
      </c>
      <c r="M8" s="43">
        <f t="shared" si="2"/>
        <v>0</v>
      </c>
      <c r="N8" s="43">
        <f t="shared" si="2"/>
        <v>0</v>
      </c>
      <c r="O8" s="43">
        <f t="shared" si="2"/>
        <v>0</v>
      </c>
      <c r="P8" s="43">
        <f t="shared" si="2"/>
        <v>0</v>
      </c>
      <c r="Q8" s="43">
        <f t="shared" si="2"/>
        <v>0</v>
      </c>
      <c r="R8" s="43">
        <f t="shared" si="2"/>
        <v>0</v>
      </c>
      <c r="S8" s="43">
        <f t="shared" si="2"/>
        <v>0</v>
      </c>
      <c r="T8" s="43">
        <f t="shared" si="2"/>
        <v>0</v>
      </c>
      <c r="U8" s="43">
        <f t="shared" si="2"/>
        <v>0</v>
      </c>
      <c r="V8" s="43">
        <f t="shared" si="2"/>
        <v>0</v>
      </c>
      <c r="W8" s="43">
        <f t="shared" si="2"/>
        <v>0</v>
      </c>
      <c r="X8" s="43">
        <f t="shared" si="2"/>
        <v>0</v>
      </c>
      <c r="Y8" s="44">
        <v>0.0</v>
      </c>
    </row>
    <row r="9">
      <c r="A9" s="45" t="s">
        <v>17</v>
      </c>
      <c r="B9" s="46">
        <f>B8-B6-B7</f>
        <v>2000</v>
      </c>
      <c r="C9" s="47"/>
      <c r="D9" s="48"/>
      <c r="E9" s="48"/>
      <c r="H9" s="49" t="s">
        <v>18</v>
      </c>
      <c r="I9" s="50" t="str">
        <f t="shared" ref="I9:Y9" si="3">IF(I6="A - Rozdělit",(I4-I5)/I7,IF(I6="B - Na hlavu",I4-I5,"0"))</f>
        <v>#DIV/0!</v>
      </c>
      <c r="J9" s="50" t="str">
        <f t="shared" si="3"/>
        <v>#DIV/0!</v>
      </c>
      <c r="K9" s="50" t="str">
        <f t="shared" si="3"/>
        <v>#DIV/0!</v>
      </c>
      <c r="L9" s="50">
        <f t="shared" si="3"/>
        <v>0</v>
      </c>
      <c r="M9" s="50" t="str">
        <f t="shared" si="3"/>
        <v>#DIV/0!</v>
      </c>
      <c r="N9" s="50" t="str">
        <f t="shared" si="3"/>
        <v>#DIV/0!</v>
      </c>
      <c r="O9" s="50" t="str">
        <f t="shared" si="3"/>
        <v>#DIV/0!</v>
      </c>
      <c r="P9" s="50" t="str">
        <f t="shared" si="3"/>
        <v>#DIV/0!</v>
      </c>
      <c r="Q9" s="50" t="str">
        <f t="shared" si="3"/>
        <v>#DIV/0!</v>
      </c>
      <c r="R9" s="50" t="str">
        <f t="shared" si="3"/>
        <v>#DIV/0!</v>
      </c>
      <c r="S9" s="50" t="str">
        <f t="shared" si="3"/>
        <v>#DIV/0!</v>
      </c>
      <c r="T9" s="50" t="str">
        <f t="shared" si="3"/>
        <v>#DIV/0!</v>
      </c>
      <c r="U9" s="50" t="str">
        <f t="shared" si="3"/>
        <v>#DIV/0!</v>
      </c>
      <c r="V9" s="50" t="str">
        <f t="shared" si="3"/>
        <v>#DIV/0!</v>
      </c>
      <c r="W9" s="50" t="str">
        <f t="shared" si="3"/>
        <v>#DIV/0!</v>
      </c>
      <c r="X9" s="50" t="str">
        <f t="shared" si="3"/>
        <v>#DIV/0!</v>
      </c>
      <c r="Y9" s="50" t="str">
        <f t="shared" si="3"/>
        <v>#DIV/0!</v>
      </c>
    </row>
    <row r="10">
      <c r="A10" s="51" t="s">
        <v>19</v>
      </c>
      <c r="B10" s="52" t="s">
        <v>20</v>
      </c>
      <c r="C10" s="53" t="s">
        <v>21</v>
      </c>
      <c r="D10" s="54" t="s">
        <v>22</v>
      </c>
      <c r="E10" s="55" t="s">
        <v>23</v>
      </c>
      <c r="F10" s="56" t="s">
        <v>24</v>
      </c>
      <c r="G10" s="57" t="s">
        <v>25</v>
      </c>
      <c r="H10" s="58" t="s">
        <v>26</v>
      </c>
      <c r="I10" s="59" t="s">
        <v>27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1"/>
    </row>
    <row r="11">
      <c r="A11" s="62"/>
      <c r="B11" s="63"/>
      <c r="C11" s="64" t="str">
        <f t="shared" ref="C11:C36" si="4">"https://api.paylibo.com/paylibo/generator/czech/image?accountNumber="&amp;$C$6&amp;"&amp;bankCode="&amp;$C$8&amp;"&amp;amount="&amp;H11&amp;"&amp;currency=CZK&amp;message=Kamenice-"&amp;ENCODEURL(B11)</f>
        <v>https://api.paylibo.com/paylibo/generator/czech/image?accountNumber=1248728083&amp;bankCode=3030&amp;amount=0&amp;currency=CZK&amp;message=Kamenice-</v>
      </c>
      <c r="D11" s="65" t="str">
        <f t="shared" ref="D11:D36" si="5">IMAGE(C11,4,150,150)</f>
        <v/>
      </c>
      <c r="E11" s="65">
        <f t="shared" ref="E11:E36" si="6">SUMIFS($I$9:$Y$9,I11:Y11,"&lt;&gt;",I11:Y11,"&lt;&gt;-")</f>
        <v>0</v>
      </c>
      <c r="F11" s="66">
        <f t="shared" ref="F11:F36" si="7">ROUNDUP(E11,0)</f>
        <v>0</v>
      </c>
      <c r="G11" s="66"/>
      <c r="H11" s="67">
        <f t="shared" ref="H11:H36" si="8">F11-G11</f>
        <v>0</v>
      </c>
      <c r="I11" s="68"/>
      <c r="J11" s="69"/>
      <c r="K11" s="69"/>
      <c r="L11" s="69"/>
      <c r="M11" s="69"/>
      <c r="N11" s="69"/>
      <c r="O11" s="69"/>
      <c r="P11" s="70"/>
      <c r="Q11" s="69"/>
      <c r="R11" s="70"/>
      <c r="S11" s="70"/>
      <c r="T11" s="70"/>
      <c r="U11" s="70"/>
      <c r="V11" s="71"/>
      <c r="W11" s="70"/>
      <c r="X11" s="70"/>
      <c r="Y11" s="72"/>
      <c r="Z11" s="73"/>
      <c r="AA11" s="73"/>
      <c r="AB11" s="73"/>
      <c r="AC11" s="73"/>
      <c r="AD11" s="73"/>
      <c r="AE11" s="73"/>
      <c r="AF11" s="73"/>
      <c r="AG11" s="73"/>
      <c r="AH11" s="73"/>
      <c r="AI11" s="73"/>
    </row>
    <row r="12">
      <c r="A12" s="74"/>
      <c r="B12" s="75"/>
      <c r="C12" s="64" t="str">
        <f t="shared" si="4"/>
        <v>https://api.paylibo.com/paylibo/generator/czech/image?accountNumber=1248728083&amp;bankCode=3030&amp;amount=0&amp;currency=CZK&amp;message=Kamenice-</v>
      </c>
      <c r="D12" s="76" t="str">
        <f t="shared" si="5"/>
        <v/>
      </c>
      <c r="E12" s="77">
        <f t="shared" si="6"/>
        <v>0</v>
      </c>
      <c r="F12" s="78">
        <f t="shared" si="7"/>
        <v>0</v>
      </c>
      <c r="G12" s="78"/>
      <c r="H12" s="79">
        <f t="shared" si="8"/>
        <v>0</v>
      </c>
      <c r="I12" s="80"/>
      <c r="J12" s="81"/>
      <c r="K12" s="81"/>
      <c r="L12" s="81"/>
      <c r="M12" s="81"/>
      <c r="N12" s="81"/>
      <c r="O12" s="81"/>
      <c r="P12" s="81"/>
      <c r="Q12" s="81"/>
      <c r="R12" s="82"/>
      <c r="S12" s="82"/>
      <c r="T12" s="82"/>
      <c r="U12" s="82"/>
      <c r="V12" s="81"/>
      <c r="W12" s="82"/>
      <c r="X12" s="82"/>
      <c r="Y12" s="83"/>
      <c r="Z12" s="73"/>
      <c r="AA12" s="73"/>
      <c r="AB12" s="73"/>
      <c r="AC12" s="73"/>
      <c r="AD12" s="73"/>
      <c r="AE12" s="73"/>
      <c r="AF12" s="73"/>
      <c r="AG12" s="73"/>
      <c r="AH12" s="73"/>
      <c r="AI12" s="73"/>
    </row>
    <row r="13">
      <c r="A13" s="84"/>
      <c r="B13" s="85"/>
      <c r="C13" s="64" t="str">
        <f t="shared" si="4"/>
        <v>https://api.paylibo.com/paylibo/generator/czech/image?accountNumber=1248728083&amp;bankCode=3030&amp;amount=0&amp;currency=CZK&amp;message=Kamenice-</v>
      </c>
      <c r="D13" s="76" t="str">
        <f t="shared" si="5"/>
        <v/>
      </c>
      <c r="E13" s="76">
        <f t="shared" si="6"/>
        <v>0</v>
      </c>
      <c r="F13" s="86">
        <f t="shared" si="7"/>
        <v>0</v>
      </c>
      <c r="G13" s="86"/>
      <c r="H13" s="79">
        <f t="shared" si="8"/>
        <v>0</v>
      </c>
      <c r="I13" s="87"/>
      <c r="J13" s="88"/>
      <c r="K13" s="88"/>
      <c r="L13" s="88"/>
      <c r="M13" s="88"/>
      <c r="N13" s="88"/>
      <c r="O13" s="88"/>
      <c r="P13" s="88"/>
      <c r="Q13" s="88"/>
      <c r="R13" s="89"/>
      <c r="S13" s="89"/>
      <c r="T13" s="89"/>
      <c r="U13" s="89"/>
      <c r="V13" s="88"/>
      <c r="W13" s="89"/>
      <c r="X13" s="89"/>
      <c r="Y13" s="90"/>
      <c r="Z13" s="73"/>
      <c r="AA13" s="73"/>
      <c r="AB13" s="73"/>
      <c r="AC13" s="73"/>
      <c r="AD13" s="73"/>
      <c r="AE13" s="73"/>
      <c r="AF13" s="73"/>
      <c r="AG13" s="73"/>
      <c r="AH13" s="73"/>
      <c r="AI13" s="73"/>
    </row>
    <row r="14">
      <c r="A14" s="74"/>
      <c r="B14" s="75"/>
      <c r="C14" s="64" t="str">
        <f t="shared" si="4"/>
        <v>https://api.paylibo.com/paylibo/generator/czech/image?accountNumber=1248728083&amp;bankCode=3030&amp;amount=0&amp;currency=CZK&amp;message=Kamenice-</v>
      </c>
      <c r="D14" s="76" t="str">
        <f t="shared" si="5"/>
        <v/>
      </c>
      <c r="E14" s="77">
        <f t="shared" si="6"/>
        <v>0</v>
      </c>
      <c r="F14" s="78">
        <f t="shared" si="7"/>
        <v>0</v>
      </c>
      <c r="G14" s="91"/>
      <c r="H14" s="79">
        <f t="shared" si="8"/>
        <v>0</v>
      </c>
      <c r="I14" s="80"/>
      <c r="J14" s="81"/>
      <c r="K14" s="81"/>
      <c r="L14" s="81"/>
      <c r="M14" s="81"/>
      <c r="N14" s="81"/>
      <c r="O14" s="81"/>
      <c r="P14" s="81"/>
      <c r="Q14" s="81"/>
      <c r="R14" s="82"/>
      <c r="S14" s="82"/>
      <c r="T14" s="82"/>
      <c r="U14" s="82"/>
      <c r="V14" s="81"/>
      <c r="W14" s="82"/>
      <c r="X14" s="82"/>
      <c r="Y14" s="83"/>
      <c r="Z14" s="73"/>
      <c r="AA14" s="73"/>
      <c r="AB14" s="73"/>
      <c r="AC14" s="73"/>
      <c r="AD14" s="73"/>
      <c r="AE14" s="73"/>
      <c r="AF14" s="73"/>
      <c r="AG14" s="73"/>
      <c r="AH14" s="73"/>
      <c r="AI14" s="73"/>
    </row>
    <row r="15">
      <c r="A15" s="84"/>
      <c r="B15" s="85"/>
      <c r="C15" s="64" t="str">
        <f t="shared" si="4"/>
        <v>https://api.paylibo.com/paylibo/generator/czech/image?accountNumber=1248728083&amp;bankCode=3030&amp;amount=0&amp;currency=CZK&amp;message=Kamenice-</v>
      </c>
      <c r="D15" s="76" t="str">
        <f t="shared" si="5"/>
        <v/>
      </c>
      <c r="E15" s="76">
        <f t="shared" si="6"/>
        <v>0</v>
      </c>
      <c r="F15" s="86">
        <f t="shared" si="7"/>
        <v>0</v>
      </c>
      <c r="G15" s="92"/>
      <c r="H15" s="79">
        <f t="shared" si="8"/>
        <v>0</v>
      </c>
      <c r="I15" s="87"/>
      <c r="J15" s="88"/>
      <c r="K15" s="88"/>
      <c r="L15" s="88"/>
      <c r="M15" s="88"/>
      <c r="N15" s="88"/>
      <c r="O15" s="88"/>
      <c r="P15" s="88"/>
      <c r="Q15" s="88"/>
      <c r="R15" s="89"/>
      <c r="S15" s="89"/>
      <c r="T15" s="89"/>
      <c r="U15" s="89"/>
      <c r="V15" s="88"/>
      <c r="W15" s="89"/>
      <c r="X15" s="89"/>
      <c r="Y15" s="90"/>
      <c r="Z15" s="73"/>
      <c r="AA15" s="73"/>
      <c r="AB15" s="73"/>
      <c r="AC15" s="73"/>
      <c r="AD15" s="73"/>
      <c r="AE15" s="73"/>
      <c r="AF15" s="73"/>
      <c r="AG15" s="73"/>
      <c r="AH15" s="73"/>
      <c r="AI15" s="73"/>
    </row>
    <row r="16">
      <c r="A16" s="74"/>
      <c r="B16" s="75"/>
      <c r="C16" s="64" t="str">
        <f t="shared" si="4"/>
        <v>https://api.paylibo.com/paylibo/generator/czech/image?accountNumber=1248728083&amp;bankCode=3030&amp;amount=0&amp;currency=CZK&amp;message=Kamenice-</v>
      </c>
      <c r="D16" s="76" t="str">
        <f t="shared" si="5"/>
        <v/>
      </c>
      <c r="E16" s="77">
        <f t="shared" si="6"/>
        <v>0</v>
      </c>
      <c r="F16" s="78">
        <f t="shared" si="7"/>
        <v>0</v>
      </c>
      <c r="G16" s="91"/>
      <c r="H16" s="79">
        <f t="shared" si="8"/>
        <v>0</v>
      </c>
      <c r="I16" s="80"/>
      <c r="J16" s="81"/>
      <c r="K16" s="81"/>
      <c r="L16" s="81"/>
      <c r="M16" s="81"/>
      <c r="N16" s="81"/>
      <c r="O16" s="81"/>
      <c r="P16" s="81"/>
      <c r="Q16" s="81"/>
      <c r="R16" s="82"/>
      <c r="S16" s="82"/>
      <c r="T16" s="82"/>
      <c r="U16" s="82"/>
      <c r="V16" s="81"/>
      <c r="W16" s="82"/>
      <c r="X16" s="82"/>
      <c r="Y16" s="83"/>
      <c r="Z16" s="73"/>
      <c r="AA16" s="73"/>
      <c r="AB16" s="73"/>
      <c r="AC16" s="73"/>
      <c r="AD16" s="73"/>
      <c r="AE16" s="73"/>
      <c r="AF16" s="73"/>
      <c r="AG16" s="73"/>
      <c r="AH16" s="73"/>
      <c r="AI16" s="73"/>
    </row>
    <row r="17">
      <c r="A17" s="84"/>
      <c r="B17" s="85"/>
      <c r="C17" s="64" t="str">
        <f t="shared" si="4"/>
        <v>https://api.paylibo.com/paylibo/generator/czech/image?accountNumber=1248728083&amp;bankCode=3030&amp;amount=0&amp;currency=CZK&amp;message=Kamenice-</v>
      </c>
      <c r="D17" s="76" t="str">
        <f t="shared" si="5"/>
        <v/>
      </c>
      <c r="E17" s="76">
        <f t="shared" si="6"/>
        <v>0</v>
      </c>
      <c r="F17" s="86">
        <f t="shared" si="7"/>
        <v>0</v>
      </c>
      <c r="G17" s="86"/>
      <c r="H17" s="79">
        <f t="shared" si="8"/>
        <v>0</v>
      </c>
      <c r="I17" s="87"/>
      <c r="J17" s="88"/>
      <c r="K17" s="88"/>
      <c r="L17" s="88"/>
      <c r="M17" s="88"/>
      <c r="N17" s="88"/>
      <c r="O17" s="88"/>
      <c r="P17" s="88"/>
      <c r="Q17" s="88"/>
      <c r="R17" s="89"/>
      <c r="S17" s="89"/>
      <c r="T17" s="89"/>
      <c r="U17" s="89"/>
      <c r="V17" s="88"/>
      <c r="W17" s="89"/>
      <c r="X17" s="89"/>
      <c r="Y17" s="90"/>
      <c r="Z17" s="73"/>
      <c r="AA17" s="73"/>
      <c r="AB17" s="73"/>
      <c r="AC17" s="73"/>
      <c r="AD17" s="73"/>
      <c r="AE17" s="73"/>
      <c r="AF17" s="73"/>
      <c r="AG17" s="73"/>
      <c r="AH17" s="73"/>
      <c r="AI17" s="73"/>
    </row>
    <row r="18">
      <c r="A18" s="74"/>
      <c r="B18" s="75"/>
      <c r="C18" s="64" t="str">
        <f t="shared" si="4"/>
        <v>https://api.paylibo.com/paylibo/generator/czech/image?accountNumber=1248728083&amp;bankCode=3030&amp;amount=0&amp;currency=CZK&amp;message=Kamenice-</v>
      </c>
      <c r="D18" s="76" t="str">
        <f t="shared" si="5"/>
        <v/>
      </c>
      <c r="E18" s="77">
        <f t="shared" si="6"/>
        <v>0</v>
      </c>
      <c r="F18" s="78">
        <f t="shared" si="7"/>
        <v>0</v>
      </c>
      <c r="G18" s="78"/>
      <c r="H18" s="79">
        <f t="shared" si="8"/>
        <v>0</v>
      </c>
      <c r="I18" s="80"/>
      <c r="J18" s="81"/>
      <c r="K18" s="81"/>
      <c r="L18" s="81"/>
      <c r="M18" s="81"/>
      <c r="N18" s="81"/>
      <c r="O18" s="81"/>
      <c r="P18" s="81"/>
      <c r="Q18" s="81"/>
      <c r="R18" s="82"/>
      <c r="S18" s="82"/>
      <c r="T18" s="82"/>
      <c r="U18" s="82"/>
      <c r="V18" s="81"/>
      <c r="W18" s="82"/>
      <c r="X18" s="82"/>
      <c r="Y18" s="83"/>
      <c r="Z18" s="73"/>
      <c r="AA18" s="73"/>
      <c r="AB18" s="73"/>
      <c r="AC18" s="73"/>
      <c r="AD18" s="73"/>
      <c r="AE18" s="73"/>
      <c r="AF18" s="73"/>
      <c r="AG18" s="73"/>
      <c r="AH18" s="73"/>
      <c r="AI18" s="73"/>
    </row>
    <row r="19">
      <c r="A19" s="84"/>
      <c r="B19" s="85"/>
      <c r="C19" s="64" t="str">
        <f t="shared" si="4"/>
        <v>https://api.paylibo.com/paylibo/generator/czech/image?accountNumber=1248728083&amp;bankCode=3030&amp;amount=0&amp;currency=CZK&amp;message=Kamenice-</v>
      </c>
      <c r="D19" s="76" t="str">
        <f t="shared" si="5"/>
        <v/>
      </c>
      <c r="E19" s="76">
        <f t="shared" si="6"/>
        <v>0</v>
      </c>
      <c r="F19" s="86">
        <f t="shared" si="7"/>
        <v>0</v>
      </c>
      <c r="G19" s="92"/>
      <c r="H19" s="79">
        <f t="shared" si="8"/>
        <v>0</v>
      </c>
      <c r="I19" s="87"/>
      <c r="J19" s="88"/>
      <c r="K19" s="88"/>
      <c r="L19" s="88"/>
      <c r="M19" s="88"/>
      <c r="N19" s="88"/>
      <c r="O19" s="88"/>
      <c r="P19" s="88"/>
      <c r="Q19" s="88"/>
      <c r="R19" s="89"/>
      <c r="S19" s="89"/>
      <c r="T19" s="89"/>
      <c r="U19" s="89"/>
      <c r="V19" s="88"/>
      <c r="W19" s="89"/>
      <c r="X19" s="89"/>
      <c r="Y19" s="90"/>
      <c r="Z19" s="73"/>
      <c r="AA19" s="73"/>
      <c r="AB19" s="73"/>
      <c r="AC19" s="73"/>
      <c r="AD19" s="73"/>
      <c r="AE19" s="73"/>
      <c r="AF19" s="73"/>
      <c r="AG19" s="73"/>
      <c r="AH19" s="73"/>
      <c r="AI19" s="73"/>
    </row>
    <row r="20">
      <c r="A20" s="74"/>
      <c r="B20" s="75"/>
      <c r="C20" s="64" t="str">
        <f t="shared" si="4"/>
        <v>https://api.paylibo.com/paylibo/generator/czech/image?accountNumber=1248728083&amp;bankCode=3030&amp;amount=0&amp;currency=CZK&amp;message=Kamenice-</v>
      </c>
      <c r="D20" s="76" t="str">
        <f t="shared" si="5"/>
        <v/>
      </c>
      <c r="E20" s="77">
        <f t="shared" si="6"/>
        <v>0</v>
      </c>
      <c r="F20" s="78">
        <f t="shared" si="7"/>
        <v>0</v>
      </c>
      <c r="G20" s="91"/>
      <c r="H20" s="79">
        <f t="shared" si="8"/>
        <v>0</v>
      </c>
      <c r="I20" s="80"/>
      <c r="J20" s="81"/>
      <c r="K20" s="81"/>
      <c r="L20" s="81"/>
      <c r="M20" s="81"/>
      <c r="N20" s="81"/>
      <c r="O20" s="81"/>
      <c r="P20" s="81"/>
      <c r="Q20" s="81"/>
      <c r="R20" s="82"/>
      <c r="S20" s="82"/>
      <c r="T20" s="82"/>
      <c r="U20" s="82"/>
      <c r="V20" s="81"/>
      <c r="W20" s="82"/>
      <c r="X20" s="82"/>
      <c r="Y20" s="83"/>
      <c r="Z20" s="73"/>
      <c r="AA20" s="73"/>
      <c r="AB20" s="73"/>
      <c r="AC20" s="73"/>
      <c r="AD20" s="73"/>
      <c r="AE20" s="73"/>
      <c r="AF20" s="73"/>
      <c r="AG20" s="73"/>
      <c r="AH20" s="73"/>
      <c r="AI20" s="73"/>
    </row>
    <row r="21">
      <c r="A21" s="84"/>
      <c r="B21" s="85"/>
      <c r="C21" s="64" t="str">
        <f t="shared" si="4"/>
        <v>https://api.paylibo.com/paylibo/generator/czech/image?accountNumber=1248728083&amp;bankCode=3030&amp;amount=0&amp;currency=CZK&amp;message=Kamenice-</v>
      </c>
      <c r="D21" s="76" t="str">
        <f t="shared" si="5"/>
        <v/>
      </c>
      <c r="E21" s="76">
        <f t="shared" si="6"/>
        <v>0</v>
      </c>
      <c r="F21" s="86">
        <f t="shared" si="7"/>
        <v>0</v>
      </c>
      <c r="G21" s="92"/>
      <c r="H21" s="79">
        <f t="shared" si="8"/>
        <v>0</v>
      </c>
      <c r="I21" s="87"/>
      <c r="J21" s="88"/>
      <c r="K21" s="88"/>
      <c r="L21" s="88"/>
      <c r="M21" s="88"/>
      <c r="N21" s="88"/>
      <c r="O21" s="88"/>
      <c r="P21" s="88"/>
      <c r="Q21" s="88"/>
      <c r="R21" s="89"/>
      <c r="S21" s="89"/>
      <c r="T21" s="89"/>
      <c r="U21" s="89"/>
      <c r="V21" s="88"/>
      <c r="W21" s="89"/>
      <c r="X21" s="89"/>
      <c r="Y21" s="90"/>
      <c r="Z21" s="73"/>
      <c r="AA21" s="73"/>
      <c r="AB21" s="73"/>
      <c r="AC21" s="73"/>
      <c r="AD21" s="73"/>
      <c r="AE21" s="73"/>
      <c r="AF21" s="73"/>
      <c r="AG21" s="73"/>
      <c r="AH21" s="73"/>
      <c r="AI21" s="73"/>
    </row>
    <row r="22">
      <c r="A22" s="74"/>
      <c r="B22" s="75"/>
      <c r="C22" s="64" t="str">
        <f t="shared" si="4"/>
        <v>https://api.paylibo.com/paylibo/generator/czech/image?accountNumber=1248728083&amp;bankCode=3030&amp;amount=0&amp;currency=CZK&amp;message=Kamenice-</v>
      </c>
      <c r="D22" s="76" t="str">
        <f t="shared" si="5"/>
        <v/>
      </c>
      <c r="E22" s="77">
        <f t="shared" si="6"/>
        <v>0</v>
      </c>
      <c r="F22" s="78">
        <f t="shared" si="7"/>
        <v>0</v>
      </c>
      <c r="G22" s="91"/>
      <c r="H22" s="79">
        <f t="shared" si="8"/>
        <v>0</v>
      </c>
      <c r="I22" s="80"/>
      <c r="J22" s="81"/>
      <c r="K22" s="81"/>
      <c r="L22" s="81"/>
      <c r="M22" s="81"/>
      <c r="N22" s="81"/>
      <c r="O22" s="93"/>
      <c r="P22" s="81"/>
      <c r="Q22" s="93"/>
      <c r="R22" s="82"/>
      <c r="S22" s="82"/>
      <c r="T22" s="82"/>
      <c r="U22" s="82"/>
      <c r="V22" s="81"/>
      <c r="W22" s="82"/>
      <c r="X22" s="82"/>
      <c r="Y22" s="83"/>
      <c r="Z22" s="73"/>
      <c r="AA22" s="73"/>
      <c r="AB22" s="73"/>
      <c r="AC22" s="73"/>
      <c r="AD22" s="73"/>
      <c r="AE22" s="73"/>
      <c r="AF22" s="73"/>
      <c r="AG22" s="73"/>
      <c r="AH22" s="73"/>
      <c r="AI22" s="73"/>
    </row>
    <row r="23">
      <c r="A23" s="84"/>
      <c r="B23" s="85"/>
      <c r="C23" s="64" t="str">
        <f t="shared" si="4"/>
        <v>https://api.paylibo.com/paylibo/generator/czech/image?accountNumber=1248728083&amp;bankCode=3030&amp;amount=0&amp;currency=CZK&amp;message=Kamenice-</v>
      </c>
      <c r="D23" s="76" t="str">
        <f t="shared" si="5"/>
        <v/>
      </c>
      <c r="E23" s="76">
        <f t="shared" si="6"/>
        <v>0</v>
      </c>
      <c r="F23" s="86">
        <f t="shared" si="7"/>
        <v>0</v>
      </c>
      <c r="G23" s="92"/>
      <c r="H23" s="79">
        <f t="shared" si="8"/>
        <v>0</v>
      </c>
      <c r="I23" s="87"/>
      <c r="J23" s="88"/>
      <c r="K23" s="88"/>
      <c r="L23" s="88"/>
      <c r="M23" s="88"/>
      <c r="N23" s="88"/>
      <c r="O23" s="94"/>
      <c r="P23" s="88"/>
      <c r="Q23" s="94"/>
      <c r="R23" s="89"/>
      <c r="S23" s="89"/>
      <c r="T23" s="89"/>
      <c r="U23" s="89"/>
      <c r="V23" s="88"/>
      <c r="W23" s="89"/>
      <c r="X23" s="89"/>
      <c r="Y23" s="90"/>
      <c r="Z23" s="73"/>
      <c r="AA23" s="73"/>
      <c r="AB23" s="73"/>
      <c r="AC23" s="73"/>
      <c r="AD23" s="73"/>
      <c r="AE23" s="73"/>
      <c r="AF23" s="73"/>
      <c r="AG23" s="73"/>
      <c r="AH23" s="73"/>
      <c r="AI23" s="73"/>
    </row>
    <row r="24">
      <c r="A24" s="74"/>
      <c r="B24" s="75"/>
      <c r="C24" s="64" t="str">
        <f t="shared" si="4"/>
        <v>https://api.paylibo.com/paylibo/generator/czech/image?accountNumber=1248728083&amp;bankCode=3030&amp;amount=0&amp;currency=CZK&amp;message=Kamenice-</v>
      </c>
      <c r="D24" s="76" t="str">
        <f t="shared" si="5"/>
        <v/>
      </c>
      <c r="E24" s="77">
        <f t="shared" si="6"/>
        <v>0</v>
      </c>
      <c r="F24" s="78">
        <f t="shared" si="7"/>
        <v>0</v>
      </c>
      <c r="G24" s="91"/>
      <c r="H24" s="79">
        <f t="shared" si="8"/>
        <v>0</v>
      </c>
      <c r="I24" s="95"/>
      <c r="J24" s="81"/>
      <c r="K24" s="81"/>
      <c r="L24" s="81"/>
      <c r="M24" s="81"/>
      <c r="N24" s="81"/>
      <c r="O24" s="93"/>
      <c r="P24" s="81"/>
      <c r="Q24" s="93"/>
      <c r="R24" s="82"/>
      <c r="S24" s="82"/>
      <c r="T24" s="82"/>
      <c r="U24" s="82"/>
      <c r="V24" s="81"/>
      <c r="W24" s="82"/>
      <c r="X24" s="82"/>
      <c r="Y24" s="83"/>
      <c r="Z24" s="73"/>
      <c r="AA24" s="73"/>
      <c r="AB24" s="73"/>
      <c r="AC24" s="73"/>
      <c r="AD24" s="73"/>
      <c r="AE24" s="73"/>
      <c r="AF24" s="73"/>
      <c r="AG24" s="73"/>
      <c r="AH24" s="73"/>
      <c r="AI24" s="73"/>
    </row>
    <row r="25">
      <c r="A25" s="84"/>
      <c r="B25" s="85"/>
      <c r="C25" s="64" t="str">
        <f t="shared" si="4"/>
        <v>https://api.paylibo.com/paylibo/generator/czech/image?accountNumber=1248728083&amp;bankCode=3030&amp;amount=0&amp;currency=CZK&amp;message=Kamenice-</v>
      </c>
      <c r="D25" s="76" t="str">
        <f t="shared" si="5"/>
        <v/>
      </c>
      <c r="E25" s="76">
        <f t="shared" si="6"/>
        <v>0</v>
      </c>
      <c r="F25" s="86">
        <f t="shared" si="7"/>
        <v>0</v>
      </c>
      <c r="G25" s="92"/>
      <c r="H25" s="79">
        <f t="shared" si="8"/>
        <v>0</v>
      </c>
      <c r="I25" s="87"/>
      <c r="J25" s="88"/>
      <c r="K25" s="88"/>
      <c r="L25" s="88"/>
      <c r="M25" s="88"/>
      <c r="N25" s="88"/>
      <c r="O25" s="88"/>
      <c r="P25" s="88"/>
      <c r="Q25" s="88"/>
      <c r="R25" s="89"/>
      <c r="S25" s="89"/>
      <c r="T25" s="89"/>
      <c r="U25" s="89"/>
      <c r="V25" s="88"/>
      <c r="W25" s="89"/>
      <c r="X25" s="89"/>
      <c r="Y25" s="90"/>
      <c r="Z25" s="73"/>
      <c r="AA25" s="73"/>
      <c r="AB25" s="73"/>
      <c r="AC25" s="73"/>
      <c r="AD25" s="73"/>
      <c r="AE25" s="73"/>
      <c r="AF25" s="73"/>
      <c r="AG25" s="73"/>
      <c r="AH25" s="73"/>
      <c r="AI25" s="73"/>
    </row>
    <row r="26">
      <c r="A26" s="74"/>
      <c r="B26" s="75"/>
      <c r="C26" s="64" t="str">
        <f t="shared" si="4"/>
        <v>https://api.paylibo.com/paylibo/generator/czech/image?accountNumber=1248728083&amp;bankCode=3030&amp;amount=0&amp;currency=CZK&amp;message=Kamenice-</v>
      </c>
      <c r="D26" s="76" t="str">
        <f t="shared" si="5"/>
        <v/>
      </c>
      <c r="E26" s="77">
        <f t="shared" si="6"/>
        <v>0</v>
      </c>
      <c r="F26" s="78">
        <f t="shared" si="7"/>
        <v>0</v>
      </c>
      <c r="G26" s="78"/>
      <c r="H26" s="79">
        <f t="shared" si="8"/>
        <v>0</v>
      </c>
      <c r="I26" s="80"/>
      <c r="J26" s="81"/>
      <c r="K26" s="81"/>
      <c r="L26" s="81"/>
      <c r="M26" s="81"/>
      <c r="N26" s="81"/>
      <c r="O26" s="81"/>
      <c r="P26" s="81"/>
      <c r="Q26" s="81"/>
      <c r="R26" s="82"/>
      <c r="S26" s="82"/>
      <c r="T26" s="82"/>
      <c r="U26" s="82"/>
      <c r="V26" s="81"/>
      <c r="W26" s="82"/>
      <c r="X26" s="82"/>
      <c r="Y26" s="83"/>
      <c r="Z26" s="73"/>
      <c r="AA26" s="73"/>
      <c r="AB26" s="73"/>
      <c r="AC26" s="73"/>
      <c r="AD26" s="73"/>
      <c r="AE26" s="73"/>
      <c r="AF26" s="73"/>
      <c r="AG26" s="73"/>
      <c r="AH26" s="73"/>
      <c r="AI26" s="73"/>
    </row>
    <row r="27">
      <c r="A27" s="84"/>
      <c r="B27" s="85"/>
      <c r="C27" s="64" t="str">
        <f t="shared" si="4"/>
        <v>https://api.paylibo.com/paylibo/generator/czech/image?accountNumber=1248728083&amp;bankCode=3030&amp;amount=0&amp;currency=CZK&amp;message=Kamenice-</v>
      </c>
      <c r="D27" s="76" t="str">
        <f t="shared" si="5"/>
        <v/>
      </c>
      <c r="E27" s="76">
        <f t="shared" si="6"/>
        <v>0</v>
      </c>
      <c r="F27" s="86">
        <f t="shared" si="7"/>
        <v>0</v>
      </c>
      <c r="G27" s="86"/>
      <c r="H27" s="79">
        <f t="shared" si="8"/>
        <v>0</v>
      </c>
      <c r="I27" s="96"/>
      <c r="J27" s="88"/>
      <c r="K27" s="94"/>
      <c r="L27" s="88"/>
      <c r="M27" s="88"/>
      <c r="N27" s="88"/>
      <c r="O27" s="88"/>
      <c r="P27" s="88"/>
      <c r="Q27" s="88"/>
      <c r="R27" s="89"/>
      <c r="S27" s="89"/>
      <c r="T27" s="89"/>
      <c r="U27" s="89"/>
      <c r="V27" s="88"/>
      <c r="W27" s="89"/>
      <c r="X27" s="89"/>
      <c r="Y27" s="90"/>
      <c r="Z27" s="73"/>
      <c r="AA27" s="73"/>
      <c r="AB27" s="73"/>
      <c r="AC27" s="73"/>
      <c r="AD27" s="73"/>
      <c r="AE27" s="73"/>
      <c r="AF27" s="73"/>
      <c r="AG27" s="73"/>
      <c r="AH27" s="73"/>
      <c r="AI27" s="73"/>
    </row>
    <row r="28">
      <c r="A28" s="74"/>
      <c r="B28" s="85"/>
      <c r="C28" s="64" t="str">
        <f t="shared" si="4"/>
        <v>https://api.paylibo.com/paylibo/generator/czech/image?accountNumber=1248728083&amp;bankCode=3030&amp;amount=0&amp;currency=CZK&amp;message=Kamenice-</v>
      </c>
      <c r="D28" s="76" t="str">
        <f t="shared" si="5"/>
        <v/>
      </c>
      <c r="E28" s="77">
        <f t="shared" si="6"/>
        <v>0</v>
      </c>
      <c r="F28" s="78">
        <f t="shared" si="7"/>
        <v>0</v>
      </c>
      <c r="G28" s="78"/>
      <c r="H28" s="79">
        <f t="shared" si="8"/>
        <v>0</v>
      </c>
      <c r="I28" s="95"/>
      <c r="J28" s="81"/>
      <c r="K28" s="93"/>
      <c r="L28" s="81"/>
      <c r="M28" s="93"/>
      <c r="N28" s="93"/>
      <c r="O28" s="81"/>
      <c r="P28" s="81"/>
      <c r="Q28" s="81"/>
      <c r="R28" s="82"/>
      <c r="S28" s="82"/>
      <c r="T28" s="82"/>
      <c r="U28" s="82"/>
      <c r="V28" s="81"/>
      <c r="W28" s="82"/>
      <c r="X28" s="82"/>
      <c r="Y28" s="83"/>
      <c r="Z28" s="73"/>
      <c r="AA28" s="73"/>
      <c r="AB28" s="73"/>
      <c r="AC28" s="73"/>
      <c r="AD28" s="73"/>
      <c r="AE28" s="73"/>
      <c r="AF28" s="73"/>
      <c r="AG28" s="73"/>
      <c r="AH28" s="73"/>
      <c r="AI28" s="73"/>
    </row>
    <row r="29">
      <c r="A29" s="84"/>
      <c r="B29" s="85"/>
      <c r="C29" s="64" t="str">
        <f t="shared" si="4"/>
        <v>https://api.paylibo.com/paylibo/generator/czech/image?accountNumber=1248728083&amp;bankCode=3030&amp;amount=0&amp;currency=CZK&amp;message=Kamenice-</v>
      </c>
      <c r="D29" s="76" t="str">
        <f t="shared" si="5"/>
        <v/>
      </c>
      <c r="E29" s="76">
        <f t="shared" si="6"/>
        <v>0</v>
      </c>
      <c r="F29" s="86">
        <f t="shared" si="7"/>
        <v>0</v>
      </c>
      <c r="G29" s="86"/>
      <c r="H29" s="79">
        <f t="shared" si="8"/>
        <v>0</v>
      </c>
      <c r="I29" s="96"/>
      <c r="J29" s="88"/>
      <c r="K29" s="94"/>
      <c r="L29" s="88"/>
      <c r="M29" s="94"/>
      <c r="N29" s="94"/>
      <c r="O29" s="88"/>
      <c r="P29" s="88"/>
      <c r="Q29" s="88"/>
      <c r="R29" s="89"/>
      <c r="S29" s="89"/>
      <c r="T29" s="89"/>
      <c r="U29" s="89"/>
      <c r="V29" s="88"/>
      <c r="W29" s="89"/>
      <c r="X29" s="89"/>
      <c r="Y29" s="90"/>
      <c r="Z29" s="73"/>
      <c r="AA29" s="73"/>
      <c r="AB29" s="73"/>
      <c r="AC29" s="73"/>
      <c r="AD29" s="73"/>
      <c r="AE29" s="73"/>
      <c r="AF29" s="73"/>
      <c r="AG29" s="73"/>
      <c r="AH29" s="73"/>
      <c r="AI29" s="73"/>
    </row>
    <row r="30">
      <c r="A30" s="74"/>
      <c r="B30" s="85"/>
      <c r="C30" s="64" t="str">
        <f t="shared" si="4"/>
        <v>https://api.paylibo.com/paylibo/generator/czech/image?accountNumber=1248728083&amp;bankCode=3030&amp;amount=0&amp;currency=CZK&amp;message=Kamenice-</v>
      </c>
      <c r="D30" s="76" t="str">
        <f t="shared" si="5"/>
        <v/>
      </c>
      <c r="E30" s="77">
        <f t="shared" si="6"/>
        <v>0</v>
      </c>
      <c r="F30" s="78">
        <f t="shared" si="7"/>
        <v>0</v>
      </c>
      <c r="G30" s="78"/>
      <c r="H30" s="79">
        <f t="shared" si="8"/>
        <v>0</v>
      </c>
      <c r="I30" s="95"/>
      <c r="J30" s="81"/>
      <c r="K30" s="93"/>
      <c r="L30" s="81"/>
      <c r="M30" s="93"/>
      <c r="N30" s="93"/>
      <c r="O30" s="81"/>
      <c r="P30" s="81"/>
      <c r="Q30" s="81"/>
      <c r="R30" s="82"/>
      <c r="S30" s="82"/>
      <c r="T30" s="82"/>
      <c r="U30" s="82"/>
      <c r="V30" s="81"/>
      <c r="W30" s="82"/>
      <c r="X30" s="82"/>
      <c r="Y30" s="83"/>
      <c r="Z30" s="73"/>
      <c r="AA30" s="73"/>
      <c r="AB30" s="73"/>
      <c r="AC30" s="73"/>
      <c r="AD30" s="73"/>
      <c r="AE30" s="73"/>
      <c r="AF30" s="73"/>
      <c r="AG30" s="73"/>
      <c r="AH30" s="73"/>
      <c r="AI30" s="73"/>
    </row>
    <row r="31">
      <c r="A31" s="84"/>
      <c r="B31" s="85"/>
      <c r="C31" s="64" t="str">
        <f t="shared" si="4"/>
        <v>https://api.paylibo.com/paylibo/generator/czech/image?accountNumber=1248728083&amp;bankCode=3030&amp;amount=0&amp;currency=CZK&amp;message=Kamenice-</v>
      </c>
      <c r="D31" s="76" t="str">
        <f t="shared" si="5"/>
        <v/>
      </c>
      <c r="E31" s="76">
        <f t="shared" si="6"/>
        <v>0</v>
      </c>
      <c r="F31" s="86">
        <f t="shared" si="7"/>
        <v>0</v>
      </c>
      <c r="G31" s="86"/>
      <c r="H31" s="79">
        <f t="shared" si="8"/>
        <v>0</v>
      </c>
      <c r="I31" s="96"/>
      <c r="J31" s="88"/>
      <c r="K31" s="94"/>
      <c r="L31" s="88"/>
      <c r="M31" s="94"/>
      <c r="N31" s="94"/>
      <c r="O31" s="88"/>
      <c r="P31" s="88"/>
      <c r="Q31" s="88"/>
      <c r="R31" s="89"/>
      <c r="S31" s="89"/>
      <c r="T31" s="89"/>
      <c r="U31" s="89"/>
      <c r="V31" s="88"/>
      <c r="W31" s="89"/>
      <c r="X31" s="89"/>
      <c r="Y31" s="90"/>
      <c r="Z31" s="73"/>
      <c r="AA31" s="73"/>
      <c r="AB31" s="73"/>
      <c r="AC31" s="73"/>
      <c r="AD31" s="73"/>
      <c r="AE31" s="73"/>
      <c r="AF31" s="73"/>
      <c r="AG31" s="73"/>
      <c r="AH31" s="73"/>
      <c r="AI31" s="73"/>
    </row>
    <row r="32">
      <c r="A32" s="74"/>
      <c r="B32" s="85"/>
      <c r="C32" s="64" t="str">
        <f t="shared" si="4"/>
        <v>https://api.paylibo.com/paylibo/generator/czech/image?accountNumber=1248728083&amp;bankCode=3030&amp;amount=0&amp;currency=CZK&amp;message=Kamenice-</v>
      </c>
      <c r="D32" s="76" t="str">
        <f t="shared" si="5"/>
        <v/>
      </c>
      <c r="E32" s="77">
        <f t="shared" si="6"/>
        <v>0</v>
      </c>
      <c r="F32" s="78">
        <f t="shared" si="7"/>
        <v>0</v>
      </c>
      <c r="G32" s="78"/>
      <c r="H32" s="79">
        <f t="shared" si="8"/>
        <v>0</v>
      </c>
      <c r="I32" s="95"/>
      <c r="J32" s="81"/>
      <c r="K32" s="93"/>
      <c r="L32" s="81"/>
      <c r="M32" s="93"/>
      <c r="N32" s="93"/>
      <c r="O32" s="81"/>
      <c r="P32" s="81"/>
      <c r="Q32" s="81"/>
      <c r="R32" s="82"/>
      <c r="S32" s="82"/>
      <c r="T32" s="82"/>
      <c r="U32" s="82"/>
      <c r="V32" s="81"/>
      <c r="W32" s="82"/>
      <c r="X32" s="82"/>
      <c r="Y32" s="83"/>
      <c r="Z32" s="73"/>
      <c r="AA32" s="73"/>
      <c r="AB32" s="73"/>
      <c r="AC32" s="73"/>
      <c r="AD32" s="73"/>
      <c r="AE32" s="73"/>
      <c r="AF32" s="73"/>
      <c r="AG32" s="73"/>
      <c r="AH32" s="73"/>
      <c r="AI32" s="73"/>
    </row>
    <row r="33">
      <c r="A33" s="84"/>
      <c r="B33" s="85"/>
      <c r="C33" s="64" t="str">
        <f t="shared" si="4"/>
        <v>https://api.paylibo.com/paylibo/generator/czech/image?accountNumber=1248728083&amp;bankCode=3030&amp;amount=0&amp;currency=CZK&amp;message=Kamenice-</v>
      </c>
      <c r="D33" s="76" t="str">
        <f t="shared" si="5"/>
        <v/>
      </c>
      <c r="E33" s="76">
        <f t="shared" si="6"/>
        <v>0</v>
      </c>
      <c r="F33" s="86">
        <f t="shared" si="7"/>
        <v>0</v>
      </c>
      <c r="G33" s="86"/>
      <c r="H33" s="79">
        <f t="shared" si="8"/>
        <v>0</v>
      </c>
      <c r="I33" s="96"/>
      <c r="J33" s="88"/>
      <c r="K33" s="94"/>
      <c r="L33" s="88"/>
      <c r="M33" s="94"/>
      <c r="N33" s="94"/>
      <c r="O33" s="88"/>
      <c r="P33" s="88"/>
      <c r="Q33" s="88"/>
      <c r="R33" s="89"/>
      <c r="S33" s="89"/>
      <c r="T33" s="89"/>
      <c r="U33" s="89"/>
      <c r="V33" s="88"/>
      <c r="W33" s="89"/>
      <c r="X33" s="89"/>
      <c r="Y33" s="90"/>
      <c r="Z33" s="73"/>
      <c r="AA33" s="73"/>
      <c r="AB33" s="73"/>
      <c r="AC33" s="73"/>
      <c r="AD33" s="73"/>
      <c r="AE33" s="73"/>
      <c r="AF33" s="73"/>
      <c r="AG33" s="73"/>
      <c r="AH33" s="73"/>
      <c r="AI33" s="73"/>
    </row>
    <row r="34">
      <c r="A34" s="74"/>
      <c r="B34" s="85"/>
      <c r="C34" s="64" t="str">
        <f t="shared" si="4"/>
        <v>https://api.paylibo.com/paylibo/generator/czech/image?accountNumber=1248728083&amp;bankCode=3030&amp;amount=0&amp;currency=CZK&amp;message=Kamenice-</v>
      </c>
      <c r="D34" s="76" t="str">
        <f t="shared" si="5"/>
        <v/>
      </c>
      <c r="E34" s="77">
        <f t="shared" si="6"/>
        <v>0</v>
      </c>
      <c r="F34" s="78">
        <f t="shared" si="7"/>
        <v>0</v>
      </c>
      <c r="G34" s="78"/>
      <c r="H34" s="79">
        <f t="shared" si="8"/>
        <v>0</v>
      </c>
      <c r="I34" s="95"/>
      <c r="J34" s="81"/>
      <c r="K34" s="93"/>
      <c r="L34" s="81"/>
      <c r="M34" s="93"/>
      <c r="N34" s="93"/>
      <c r="O34" s="81"/>
      <c r="P34" s="81"/>
      <c r="Q34" s="81"/>
      <c r="R34" s="82"/>
      <c r="S34" s="82"/>
      <c r="T34" s="82"/>
      <c r="U34" s="82"/>
      <c r="V34" s="81"/>
      <c r="W34" s="82"/>
      <c r="X34" s="82"/>
      <c r="Y34" s="83"/>
      <c r="Z34" s="73"/>
      <c r="AA34" s="73"/>
      <c r="AB34" s="73"/>
      <c r="AC34" s="73"/>
      <c r="AD34" s="73"/>
      <c r="AE34" s="73"/>
      <c r="AF34" s="73"/>
      <c r="AG34" s="73"/>
      <c r="AH34" s="73"/>
      <c r="AI34" s="73"/>
    </row>
    <row r="35">
      <c r="A35" s="84"/>
      <c r="B35" s="97"/>
      <c r="C35" s="64" t="str">
        <f t="shared" si="4"/>
        <v>https://api.paylibo.com/paylibo/generator/czech/image?accountNumber=1248728083&amp;bankCode=3030&amp;amount=0&amp;currency=CZK&amp;message=Kamenice-</v>
      </c>
      <c r="D35" s="76" t="str">
        <f t="shared" si="5"/>
        <v/>
      </c>
      <c r="E35" s="76">
        <f t="shared" si="6"/>
        <v>0</v>
      </c>
      <c r="F35" s="86">
        <f t="shared" si="7"/>
        <v>0</v>
      </c>
      <c r="G35" s="92"/>
      <c r="H35" s="79">
        <f t="shared" si="8"/>
        <v>0</v>
      </c>
      <c r="I35" s="87"/>
      <c r="J35" s="88"/>
      <c r="K35" s="88"/>
      <c r="L35" s="88"/>
      <c r="M35" s="88"/>
      <c r="N35" s="88"/>
      <c r="O35" s="88"/>
      <c r="P35" s="94"/>
      <c r="Q35" s="88"/>
      <c r="R35" s="94"/>
      <c r="S35" s="94"/>
      <c r="T35" s="94"/>
      <c r="U35" s="94"/>
      <c r="V35" s="94"/>
      <c r="W35" s="89"/>
      <c r="X35" s="89"/>
      <c r="Y35" s="90"/>
      <c r="Z35" s="73"/>
      <c r="AA35" s="73"/>
      <c r="AB35" s="73"/>
      <c r="AC35" s="73"/>
      <c r="AD35" s="73"/>
      <c r="AE35" s="73"/>
      <c r="AF35" s="73"/>
      <c r="AG35" s="73"/>
      <c r="AH35" s="73"/>
      <c r="AI35" s="73"/>
    </row>
    <row r="36">
      <c r="A36" s="98"/>
      <c r="B36" s="99"/>
      <c r="C36" s="64" t="str">
        <f t="shared" si="4"/>
        <v>https://api.paylibo.com/paylibo/generator/czech/image?accountNumber=1248728083&amp;bankCode=3030&amp;amount=0&amp;currency=CZK&amp;message=Kamenice-</v>
      </c>
      <c r="D36" s="100" t="str">
        <f t="shared" si="5"/>
        <v/>
      </c>
      <c r="E36" s="101">
        <f t="shared" si="6"/>
        <v>0</v>
      </c>
      <c r="F36" s="102">
        <f t="shared" si="7"/>
        <v>0</v>
      </c>
      <c r="G36" s="103"/>
      <c r="H36" s="104">
        <f t="shared" si="8"/>
        <v>0</v>
      </c>
      <c r="I36" s="80"/>
      <c r="J36" s="81"/>
      <c r="K36" s="81"/>
      <c r="L36" s="81"/>
      <c r="M36" s="81"/>
      <c r="N36" s="81"/>
      <c r="O36" s="93"/>
      <c r="P36" s="93"/>
      <c r="Q36" s="93"/>
      <c r="R36" s="93"/>
      <c r="S36" s="93"/>
      <c r="T36" s="93"/>
      <c r="U36" s="93"/>
      <c r="V36" s="93"/>
      <c r="W36" s="82"/>
      <c r="X36" s="82"/>
      <c r="Y36" s="83"/>
      <c r="Z36" s="73"/>
      <c r="AA36" s="73"/>
      <c r="AB36" s="73"/>
      <c r="AC36" s="73"/>
      <c r="AD36" s="73"/>
      <c r="AE36" s="73"/>
      <c r="AF36" s="73"/>
      <c r="AG36" s="73"/>
      <c r="AH36" s="73"/>
      <c r="AI36" s="73"/>
    </row>
    <row r="37">
      <c r="B37" s="105"/>
      <c r="C37" s="106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</row>
    <row r="38">
      <c r="B38" s="105"/>
      <c r="C38" s="106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</row>
    <row r="39">
      <c r="B39" s="105"/>
      <c r="C39" s="106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</row>
    <row r="40">
      <c r="B40" s="108" t="s">
        <v>28</v>
      </c>
      <c r="C40" s="109"/>
      <c r="D40" s="110"/>
      <c r="E40" s="110" t="s">
        <v>29</v>
      </c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</row>
    <row r="41">
      <c r="B41" s="111"/>
      <c r="C41" s="112"/>
      <c r="D41" s="113"/>
      <c r="E41" s="113" t="s">
        <v>30</v>
      </c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</row>
    <row r="42">
      <c r="B42" s="111"/>
      <c r="C42" s="112"/>
      <c r="D42" s="113"/>
      <c r="E42" s="113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</row>
    <row r="43">
      <c r="B43" s="114"/>
      <c r="C43" s="115"/>
      <c r="D43" s="116"/>
      <c r="E43" s="116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</row>
    <row r="44">
      <c r="B44" s="117" t="s">
        <v>31</v>
      </c>
      <c r="C44" s="112"/>
      <c r="D44" s="113"/>
      <c r="E44" s="113" t="s">
        <v>32</v>
      </c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</row>
    <row r="45">
      <c r="B45" s="111"/>
      <c r="C45" s="112"/>
      <c r="D45" s="113"/>
      <c r="E45" s="113" t="s">
        <v>33</v>
      </c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</row>
    <row r="46">
      <c r="B46" s="111"/>
      <c r="C46" s="112"/>
      <c r="D46" s="113"/>
      <c r="E46" s="113" t="s">
        <v>34</v>
      </c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</row>
    <row r="47">
      <c r="B47" s="111"/>
      <c r="C47" s="112"/>
      <c r="D47" s="113"/>
      <c r="E47" s="113" t="s">
        <v>35</v>
      </c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</row>
    <row r="48">
      <c r="B48" s="114"/>
      <c r="C48" s="115"/>
      <c r="D48" s="116"/>
      <c r="E48" s="116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</row>
    <row r="49">
      <c r="B49" s="117" t="s">
        <v>36</v>
      </c>
      <c r="C49" s="112"/>
      <c r="D49" s="113"/>
      <c r="E49" s="113" t="s">
        <v>37</v>
      </c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</row>
    <row r="50">
      <c r="B50" s="111"/>
      <c r="C50" s="112"/>
      <c r="D50" s="113"/>
      <c r="E50" s="113" t="s">
        <v>38</v>
      </c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</row>
    <row r="51">
      <c r="B51" s="111"/>
      <c r="C51" s="112"/>
      <c r="D51" s="113"/>
      <c r="E51" s="113" t="s">
        <v>39</v>
      </c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</row>
    <row r="52">
      <c r="B52" s="111"/>
      <c r="C52" s="112"/>
      <c r="D52" s="113"/>
      <c r="E52" s="113" t="s">
        <v>40</v>
      </c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</row>
    <row r="53">
      <c r="B53" s="114"/>
      <c r="C53" s="115"/>
      <c r="D53" s="116"/>
      <c r="E53" s="116" t="s">
        <v>41</v>
      </c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</row>
    <row r="54">
      <c r="B54" s="118" t="s">
        <v>42</v>
      </c>
      <c r="C54" s="119"/>
      <c r="D54" s="120"/>
      <c r="E54" s="120" t="s">
        <v>43</v>
      </c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</row>
    <row r="55">
      <c r="B55" s="117" t="s">
        <v>44</v>
      </c>
      <c r="C55" s="112"/>
      <c r="D55" s="113"/>
      <c r="E55" s="113" t="s">
        <v>39</v>
      </c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</row>
    <row r="56">
      <c r="B56" s="111"/>
      <c r="C56" s="112"/>
      <c r="D56" s="113"/>
      <c r="E56" s="113" t="s">
        <v>45</v>
      </c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</row>
    <row r="57">
      <c r="B57" s="111"/>
      <c r="C57" s="112"/>
      <c r="D57" s="113"/>
      <c r="E57" s="113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</row>
    <row r="58">
      <c r="B58" s="114"/>
      <c r="C58" s="115"/>
      <c r="D58" s="116"/>
      <c r="E58" s="116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</row>
    <row r="59">
      <c r="B59" s="117" t="s">
        <v>46</v>
      </c>
      <c r="C59" s="112"/>
      <c r="D59" s="113"/>
      <c r="E59" s="113" t="s">
        <v>47</v>
      </c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</row>
    <row r="60">
      <c r="B60" s="111"/>
      <c r="C60" s="112"/>
      <c r="D60" s="113"/>
      <c r="E60" s="113" t="s">
        <v>48</v>
      </c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</row>
    <row r="61">
      <c r="B61" s="111"/>
      <c r="C61" s="112"/>
      <c r="D61" s="113"/>
      <c r="E61" s="113" t="s">
        <v>49</v>
      </c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</row>
    <row r="62">
      <c r="B62" s="111"/>
      <c r="C62" s="112"/>
      <c r="D62" s="113"/>
      <c r="E62" s="113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</row>
    <row r="63">
      <c r="B63" s="114"/>
      <c r="C63" s="115"/>
      <c r="D63" s="116"/>
      <c r="E63" s="116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</row>
  </sheetData>
  <autoFilter ref="$A$10:$Y$36"/>
  <mergeCells count="7">
    <mergeCell ref="A2:B2"/>
    <mergeCell ref="I10:Y10"/>
    <mergeCell ref="B40:B43"/>
    <mergeCell ref="B44:B48"/>
    <mergeCell ref="B49:B53"/>
    <mergeCell ref="B55:B58"/>
    <mergeCell ref="B59:B63"/>
  </mergeCells>
  <dataValidations>
    <dataValidation type="list" allowBlank="1" sqref="B11:B36">
      <formula1>seznam_clenu_OVT!$A$2:$A$100</formula1>
    </dataValidation>
    <dataValidation type="list" allowBlank="1" showErrorMessage="1" sqref="I6:Y6">
      <formula1>pomocna_tabulka!$A$2:$A$3</formula1>
    </dataValidation>
    <dataValidation type="list" allowBlank="1" sqref="I11:Y36">
      <formula1>pomocna_tabulka!$B$2:$B$3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0.57"/>
    <col customWidth="1" min="3" max="4" width="21.57"/>
    <col customWidth="1" min="5" max="5" width="20.86"/>
    <col customWidth="1" min="6" max="26" width="14.29"/>
    <col customWidth="1" min="27" max="27" width="5.43"/>
    <col customWidth="1" min="28" max="32" width="9.14"/>
    <col customWidth="1" min="33" max="37" width="8.71"/>
  </cols>
  <sheetData>
    <row r="1" ht="7.5" customHeight="1">
      <c r="A1" s="121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1"/>
      <c r="AB1" s="122"/>
      <c r="AC1" s="122"/>
      <c r="AD1" s="122"/>
      <c r="AE1" s="122"/>
      <c r="AF1" s="122"/>
      <c r="AG1" s="121"/>
      <c r="AH1" s="121"/>
      <c r="AI1" s="121"/>
      <c r="AJ1" s="121"/>
      <c r="AK1" s="121"/>
    </row>
    <row r="2" ht="29.25" customHeight="1">
      <c r="A2" s="123"/>
      <c r="B2" s="8" t="s">
        <v>50</v>
      </c>
      <c r="C2" s="9"/>
      <c r="D2" s="123"/>
      <c r="E2" s="124" t="s">
        <v>3</v>
      </c>
      <c r="F2" s="125" t="s">
        <v>4</v>
      </c>
      <c r="G2" s="125" t="s">
        <v>51</v>
      </c>
      <c r="H2" s="125" t="s">
        <v>52</v>
      </c>
      <c r="I2" s="125" t="s">
        <v>53</v>
      </c>
      <c r="J2" s="125" t="s">
        <v>54</v>
      </c>
      <c r="K2" s="126" t="s">
        <v>55</v>
      </c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7"/>
      <c r="AA2" s="123"/>
      <c r="AB2" s="128" t="s">
        <v>56</v>
      </c>
      <c r="AC2" s="129"/>
      <c r="AD2" s="129"/>
      <c r="AE2" s="129"/>
      <c r="AF2" s="130"/>
      <c r="AG2" s="131"/>
      <c r="AH2" s="131"/>
      <c r="AI2" s="131"/>
      <c r="AJ2" s="131"/>
      <c r="AK2" s="131"/>
    </row>
    <row r="3" ht="29.25" customHeight="1">
      <c r="A3" s="123"/>
      <c r="B3" s="132"/>
      <c r="C3" s="133"/>
      <c r="D3" s="123"/>
      <c r="E3" s="124" t="s">
        <v>5</v>
      </c>
      <c r="F3" s="127"/>
      <c r="G3" s="127"/>
      <c r="H3" s="134"/>
      <c r="I3" s="134"/>
      <c r="J3" s="134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3"/>
      <c r="AB3" s="135"/>
      <c r="AC3" s="136"/>
      <c r="AD3" s="136"/>
      <c r="AE3" s="136"/>
      <c r="AF3" s="137"/>
      <c r="AG3" s="131"/>
      <c r="AH3" s="131"/>
      <c r="AI3" s="131"/>
      <c r="AJ3" s="131"/>
      <c r="AK3" s="131"/>
    </row>
    <row r="4" ht="29.25" customHeight="1">
      <c r="A4" s="123"/>
      <c r="B4" s="138"/>
      <c r="C4" s="139"/>
      <c r="D4" s="123"/>
      <c r="E4" s="124" t="s">
        <v>7</v>
      </c>
      <c r="F4" s="134">
        <v>2000.0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40"/>
      <c r="AA4" s="123"/>
      <c r="AB4" s="128" t="s">
        <v>57</v>
      </c>
      <c r="AC4" s="129"/>
      <c r="AD4" s="129"/>
      <c r="AE4" s="129"/>
      <c r="AF4" s="130"/>
      <c r="AG4" s="131"/>
      <c r="AH4" s="131"/>
      <c r="AI4" s="131"/>
      <c r="AJ4" s="131"/>
      <c r="AK4" s="131"/>
    </row>
    <row r="5" ht="22.5" customHeight="1">
      <c r="A5" s="123"/>
      <c r="B5" s="141" t="s">
        <v>8</v>
      </c>
      <c r="C5" s="142">
        <f>SUMIFS(F7:Z7,F7:Z7,"&gt;0")</f>
        <v>0</v>
      </c>
      <c r="D5" s="123"/>
      <c r="E5" s="143" t="s">
        <v>9</v>
      </c>
      <c r="F5" s="144" t="s">
        <v>10</v>
      </c>
      <c r="G5" s="144" t="s">
        <v>11</v>
      </c>
      <c r="H5" s="145" t="s">
        <v>10</v>
      </c>
      <c r="I5" s="145" t="s">
        <v>11</v>
      </c>
      <c r="J5" s="144" t="s">
        <v>11</v>
      </c>
      <c r="K5" s="144" t="s">
        <v>10</v>
      </c>
      <c r="L5" s="145"/>
      <c r="M5" s="145"/>
      <c r="N5" s="145"/>
      <c r="O5" s="145"/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6"/>
      <c r="AA5" s="123"/>
      <c r="AB5" s="135"/>
      <c r="AC5" s="136"/>
      <c r="AD5" s="136"/>
      <c r="AE5" s="136"/>
      <c r="AF5" s="137"/>
      <c r="AG5" s="131"/>
      <c r="AH5" s="131"/>
      <c r="AI5" s="131"/>
      <c r="AJ5" s="131"/>
      <c r="AK5" s="131"/>
    </row>
    <row r="6" ht="31.5" customHeight="1">
      <c r="A6" s="123"/>
      <c r="B6" s="147" t="s">
        <v>12</v>
      </c>
      <c r="C6" s="142">
        <f>SUMIFS(F7:Z7,F7:Z7,"&lt;0")</f>
        <v>-2000</v>
      </c>
      <c r="D6" s="123"/>
      <c r="E6" s="148" t="s">
        <v>14</v>
      </c>
      <c r="F6" s="149">
        <f t="shared" ref="F6:Z6" si="1">COUNTIFS(F10:F200,"&lt;&gt;",F10:F200,"&lt;&gt;-")</f>
        <v>0</v>
      </c>
      <c r="G6" s="149">
        <f t="shared" si="1"/>
        <v>0</v>
      </c>
      <c r="H6" s="149">
        <f t="shared" si="1"/>
        <v>0</v>
      </c>
      <c r="I6" s="149">
        <f t="shared" si="1"/>
        <v>0</v>
      </c>
      <c r="J6" s="149">
        <f t="shared" si="1"/>
        <v>0</v>
      </c>
      <c r="K6" s="149">
        <f t="shared" si="1"/>
        <v>0</v>
      </c>
      <c r="L6" s="149">
        <f t="shared" si="1"/>
        <v>0</v>
      </c>
      <c r="M6" s="149">
        <f t="shared" si="1"/>
        <v>0</v>
      </c>
      <c r="N6" s="149">
        <f t="shared" si="1"/>
        <v>0</v>
      </c>
      <c r="O6" s="149">
        <f t="shared" si="1"/>
        <v>0</v>
      </c>
      <c r="P6" s="149">
        <f t="shared" si="1"/>
        <v>0</v>
      </c>
      <c r="Q6" s="149">
        <f t="shared" si="1"/>
        <v>0</v>
      </c>
      <c r="R6" s="149">
        <f t="shared" si="1"/>
        <v>0</v>
      </c>
      <c r="S6" s="149">
        <f t="shared" si="1"/>
        <v>0</v>
      </c>
      <c r="T6" s="149">
        <f t="shared" si="1"/>
        <v>0</v>
      </c>
      <c r="U6" s="149">
        <f t="shared" si="1"/>
        <v>0</v>
      </c>
      <c r="V6" s="149">
        <f t="shared" si="1"/>
        <v>0</v>
      </c>
      <c r="W6" s="149">
        <f t="shared" si="1"/>
        <v>0</v>
      </c>
      <c r="X6" s="149">
        <f t="shared" si="1"/>
        <v>0</v>
      </c>
      <c r="Y6" s="149">
        <f t="shared" si="1"/>
        <v>0</v>
      </c>
      <c r="Z6" s="149">
        <f t="shared" si="1"/>
        <v>0</v>
      </c>
      <c r="AA6" s="131"/>
      <c r="AB6" s="123"/>
      <c r="AC6" s="123"/>
      <c r="AD6" s="123"/>
      <c r="AE6" s="123"/>
      <c r="AF6" s="123"/>
      <c r="AG6" s="131"/>
      <c r="AH6" s="131"/>
      <c r="AI6" s="131"/>
      <c r="AJ6" s="131"/>
      <c r="AK6" s="131"/>
    </row>
    <row r="7" ht="34.5" customHeight="1">
      <c r="A7" s="123"/>
      <c r="B7" s="141" t="s">
        <v>15</v>
      </c>
      <c r="C7" s="142">
        <f>SUM(E10:E200)</f>
        <v>0</v>
      </c>
      <c r="D7" s="123"/>
      <c r="E7" s="148" t="s">
        <v>16</v>
      </c>
      <c r="F7" s="150">
        <f t="shared" ref="F7:Z7" si="2">IF(F5="A - Rozdělit",F3-F4,IF(F5="B - Na hlavu",(F3-F4)*F6,"0"))</f>
        <v>-2000</v>
      </c>
      <c r="G7" s="150">
        <f t="shared" si="2"/>
        <v>0</v>
      </c>
      <c r="H7" s="150">
        <f t="shared" si="2"/>
        <v>0</v>
      </c>
      <c r="I7" s="150">
        <f t="shared" si="2"/>
        <v>0</v>
      </c>
      <c r="J7" s="150">
        <f t="shared" si="2"/>
        <v>0</v>
      </c>
      <c r="K7" s="150">
        <f t="shared" si="2"/>
        <v>0</v>
      </c>
      <c r="L7" s="150" t="str">
        <f t="shared" si="2"/>
        <v>0</v>
      </c>
      <c r="M7" s="150" t="str">
        <f t="shared" si="2"/>
        <v>0</v>
      </c>
      <c r="N7" s="150" t="str">
        <f t="shared" si="2"/>
        <v>0</v>
      </c>
      <c r="O7" s="150" t="str">
        <f t="shared" si="2"/>
        <v>0</v>
      </c>
      <c r="P7" s="150" t="str">
        <f t="shared" si="2"/>
        <v>0</v>
      </c>
      <c r="Q7" s="150" t="str">
        <f t="shared" si="2"/>
        <v>0</v>
      </c>
      <c r="R7" s="150" t="str">
        <f t="shared" si="2"/>
        <v>0</v>
      </c>
      <c r="S7" s="150" t="str">
        <f t="shared" si="2"/>
        <v>0</v>
      </c>
      <c r="T7" s="150" t="str">
        <f t="shared" si="2"/>
        <v>0</v>
      </c>
      <c r="U7" s="150" t="str">
        <f t="shared" si="2"/>
        <v>0</v>
      </c>
      <c r="V7" s="150" t="str">
        <f t="shared" si="2"/>
        <v>0</v>
      </c>
      <c r="W7" s="150" t="str">
        <f t="shared" si="2"/>
        <v>0</v>
      </c>
      <c r="X7" s="150" t="str">
        <f t="shared" si="2"/>
        <v>0</v>
      </c>
      <c r="Y7" s="150" t="str">
        <f t="shared" si="2"/>
        <v>0</v>
      </c>
      <c r="Z7" s="150" t="str">
        <f t="shared" si="2"/>
        <v>0</v>
      </c>
      <c r="AA7" s="123"/>
      <c r="AB7" s="151" t="s">
        <v>58</v>
      </c>
      <c r="AC7" s="152"/>
      <c r="AD7" s="152"/>
      <c r="AE7" s="152"/>
      <c r="AF7" s="153"/>
      <c r="AG7" s="131"/>
      <c r="AH7" s="131"/>
      <c r="AI7" s="131"/>
      <c r="AJ7" s="131"/>
      <c r="AK7" s="131"/>
    </row>
    <row r="8" ht="34.5" customHeight="1">
      <c r="A8" s="123"/>
      <c r="B8" s="141" t="s">
        <v>17</v>
      </c>
      <c r="C8" s="142">
        <f>C7-C5-C6</f>
        <v>2000</v>
      </c>
      <c r="D8" s="123"/>
      <c r="E8" s="148" t="s">
        <v>18</v>
      </c>
      <c r="F8" s="150" t="str">
        <f t="shared" ref="F8:Z8" si="3">IF(F5="A - Rozdělit",(F3-F4)/F6,IF(F5="B - Na hlavu",F3-F4,"0"))</f>
        <v>#DIV/0!</v>
      </c>
      <c r="G8" s="150">
        <f t="shared" si="3"/>
        <v>0</v>
      </c>
      <c r="H8" s="150" t="str">
        <f t="shared" si="3"/>
        <v>#DIV/0!</v>
      </c>
      <c r="I8" s="150">
        <f t="shared" si="3"/>
        <v>0</v>
      </c>
      <c r="J8" s="150">
        <f t="shared" si="3"/>
        <v>0</v>
      </c>
      <c r="K8" s="150" t="str">
        <f t="shared" si="3"/>
        <v>#DIV/0!</v>
      </c>
      <c r="L8" s="150" t="str">
        <f t="shared" si="3"/>
        <v>0</v>
      </c>
      <c r="M8" s="150" t="str">
        <f t="shared" si="3"/>
        <v>0</v>
      </c>
      <c r="N8" s="150" t="str">
        <f t="shared" si="3"/>
        <v>0</v>
      </c>
      <c r="O8" s="150" t="str">
        <f t="shared" si="3"/>
        <v>0</v>
      </c>
      <c r="P8" s="150" t="str">
        <f t="shared" si="3"/>
        <v>0</v>
      </c>
      <c r="Q8" s="150" t="str">
        <f t="shared" si="3"/>
        <v>0</v>
      </c>
      <c r="R8" s="150" t="str">
        <f t="shared" si="3"/>
        <v>0</v>
      </c>
      <c r="S8" s="150" t="str">
        <f t="shared" si="3"/>
        <v>0</v>
      </c>
      <c r="T8" s="150" t="str">
        <f t="shared" si="3"/>
        <v>0</v>
      </c>
      <c r="U8" s="150" t="str">
        <f t="shared" si="3"/>
        <v>0</v>
      </c>
      <c r="V8" s="150" t="str">
        <f t="shared" si="3"/>
        <v>0</v>
      </c>
      <c r="W8" s="150" t="str">
        <f t="shared" si="3"/>
        <v>0</v>
      </c>
      <c r="X8" s="150" t="str">
        <f t="shared" si="3"/>
        <v>0</v>
      </c>
      <c r="Y8" s="150" t="str">
        <f t="shared" si="3"/>
        <v>0</v>
      </c>
      <c r="Z8" s="150" t="str">
        <f t="shared" si="3"/>
        <v>0</v>
      </c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</row>
    <row r="9" ht="36.75" customHeight="1">
      <c r="A9" s="123"/>
      <c r="B9" s="154" t="s">
        <v>19</v>
      </c>
      <c r="C9" s="154" t="s">
        <v>20</v>
      </c>
      <c r="D9" s="155" t="s">
        <v>59</v>
      </c>
      <c r="E9" s="155" t="s">
        <v>60</v>
      </c>
      <c r="F9" s="156" t="s">
        <v>27</v>
      </c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3"/>
      <c r="AA9" s="131"/>
      <c r="AB9" s="123"/>
      <c r="AC9" s="123"/>
      <c r="AD9" s="123"/>
      <c r="AE9" s="123"/>
      <c r="AF9" s="123"/>
      <c r="AG9" s="131"/>
      <c r="AH9" s="131"/>
      <c r="AI9" s="131"/>
      <c r="AJ9" s="131"/>
      <c r="AK9" s="131"/>
    </row>
    <row r="10" ht="15.0" customHeight="1">
      <c r="A10" s="122"/>
      <c r="B10" s="157">
        <v>1.0</v>
      </c>
      <c r="C10" s="158"/>
      <c r="D10" s="159">
        <f t="shared" ref="D10:D59" si="4">SUMIFS($F$8:$Z$8,F10:Z10,"&lt;&gt;",F10:Z10,"&lt;&gt;-")</f>
        <v>0</v>
      </c>
      <c r="E10" s="160">
        <f t="shared" ref="E10:E59" si="5">ROUNDUP(D10,0)</f>
        <v>0</v>
      </c>
      <c r="F10" s="158"/>
      <c r="G10" s="158"/>
      <c r="H10" s="158"/>
      <c r="I10" s="158"/>
      <c r="J10" s="161"/>
      <c r="K10" s="158"/>
      <c r="L10" s="161"/>
      <c r="M10" s="161"/>
      <c r="N10" s="161"/>
      <c r="O10" s="161"/>
      <c r="P10" s="161"/>
      <c r="Q10" s="161"/>
      <c r="R10" s="161"/>
      <c r="S10" s="161"/>
      <c r="T10" s="161"/>
      <c r="U10" s="161"/>
      <c r="V10" s="161"/>
      <c r="W10" s="161"/>
      <c r="X10" s="161"/>
      <c r="Y10" s="161"/>
      <c r="Z10" s="161"/>
      <c r="AA10" s="122"/>
      <c r="AB10" s="162" t="s">
        <v>61</v>
      </c>
      <c r="AC10" s="129"/>
      <c r="AD10" s="129"/>
      <c r="AE10" s="129"/>
      <c r="AF10" s="130"/>
      <c r="AG10" s="121"/>
      <c r="AH10" s="121"/>
      <c r="AI10" s="121"/>
      <c r="AJ10" s="121"/>
      <c r="AK10" s="121"/>
    </row>
    <row r="11">
      <c r="A11" s="122"/>
      <c r="B11" s="163">
        <v>2.0</v>
      </c>
      <c r="C11" s="164"/>
      <c r="D11" s="165">
        <f t="shared" si="4"/>
        <v>0</v>
      </c>
      <c r="E11" s="166">
        <f t="shared" si="5"/>
        <v>0</v>
      </c>
      <c r="F11" s="164"/>
      <c r="G11" s="164"/>
      <c r="H11" s="164"/>
      <c r="I11" s="164"/>
      <c r="J11" s="164"/>
      <c r="K11" s="164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22"/>
      <c r="AB11" s="132"/>
      <c r="AF11" s="168"/>
      <c r="AG11" s="121"/>
      <c r="AH11" s="121"/>
      <c r="AI11" s="121"/>
      <c r="AJ11" s="121"/>
      <c r="AK11" s="121"/>
    </row>
    <row r="12">
      <c r="A12" s="122"/>
      <c r="B12" s="157">
        <v>3.0</v>
      </c>
      <c r="C12" s="158"/>
      <c r="D12" s="159">
        <f t="shared" si="4"/>
        <v>0</v>
      </c>
      <c r="E12" s="160">
        <f t="shared" si="5"/>
        <v>0</v>
      </c>
      <c r="F12" s="158"/>
      <c r="G12" s="169"/>
      <c r="H12" s="170"/>
      <c r="I12" s="158"/>
      <c r="J12" s="158"/>
      <c r="K12" s="158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22"/>
      <c r="AB12" s="132"/>
      <c r="AF12" s="168"/>
      <c r="AG12" s="121"/>
      <c r="AH12" s="121"/>
      <c r="AI12" s="121"/>
      <c r="AJ12" s="121"/>
      <c r="AK12" s="121"/>
    </row>
    <row r="13">
      <c r="A13" s="122"/>
      <c r="B13" s="163">
        <v>4.0</v>
      </c>
      <c r="C13" s="164"/>
      <c r="D13" s="165">
        <f t="shared" si="4"/>
        <v>0</v>
      </c>
      <c r="E13" s="166">
        <f t="shared" si="5"/>
        <v>0</v>
      </c>
      <c r="F13" s="164"/>
      <c r="G13" s="164"/>
      <c r="H13" s="164"/>
      <c r="I13" s="164"/>
      <c r="J13" s="164"/>
      <c r="K13" s="164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22"/>
      <c r="AB13" s="132"/>
      <c r="AF13" s="168"/>
      <c r="AG13" s="121"/>
      <c r="AH13" s="121"/>
      <c r="AI13" s="121"/>
      <c r="AJ13" s="121"/>
      <c r="AK13" s="121"/>
    </row>
    <row r="14">
      <c r="A14" s="122"/>
      <c r="B14" s="157">
        <v>5.0</v>
      </c>
      <c r="C14" s="158"/>
      <c r="D14" s="159">
        <f t="shared" si="4"/>
        <v>0</v>
      </c>
      <c r="E14" s="160">
        <f t="shared" si="5"/>
        <v>0</v>
      </c>
      <c r="F14" s="158"/>
      <c r="G14" s="158"/>
      <c r="H14" s="158"/>
      <c r="I14" s="158"/>
      <c r="J14" s="158"/>
      <c r="K14" s="158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22"/>
      <c r="AB14" s="132"/>
      <c r="AF14" s="168"/>
      <c r="AG14" s="121"/>
      <c r="AH14" s="121"/>
      <c r="AI14" s="121"/>
      <c r="AJ14" s="121"/>
      <c r="AK14" s="121"/>
    </row>
    <row r="15">
      <c r="A15" s="122"/>
      <c r="B15" s="163">
        <v>6.0</v>
      </c>
      <c r="C15" s="164"/>
      <c r="D15" s="165">
        <f t="shared" si="4"/>
        <v>0</v>
      </c>
      <c r="E15" s="166">
        <f t="shared" si="5"/>
        <v>0</v>
      </c>
      <c r="F15" s="164"/>
      <c r="G15" s="164"/>
      <c r="H15" s="164"/>
      <c r="I15" s="164"/>
      <c r="J15" s="164"/>
      <c r="K15" s="164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22"/>
      <c r="AB15" s="132"/>
      <c r="AF15" s="168"/>
      <c r="AG15" s="121"/>
      <c r="AH15" s="121"/>
      <c r="AI15" s="121"/>
      <c r="AJ15" s="121"/>
      <c r="AK15" s="121"/>
    </row>
    <row r="16">
      <c r="A16" s="122"/>
      <c r="B16" s="157">
        <v>7.0</v>
      </c>
      <c r="C16" s="158"/>
      <c r="D16" s="159">
        <f t="shared" si="4"/>
        <v>0</v>
      </c>
      <c r="E16" s="160">
        <f t="shared" si="5"/>
        <v>0</v>
      </c>
      <c r="F16" s="158"/>
      <c r="G16" s="158"/>
      <c r="H16" s="158"/>
      <c r="I16" s="158"/>
      <c r="J16" s="169"/>
      <c r="K16" s="169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22"/>
      <c r="AB16" s="132"/>
      <c r="AF16" s="168"/>
      <c r="AG16" s="121"/>
      <c r="AH16" s="121"/>
      <c r="AI16" s="121"/>
      <c r="AJ16" s="121"/>
      <c r="AK16" s="121"/>
    </row>
    <row r="17">
      <c r="A17" s="122"/>
      <c r="B17" s="163">
        <v>8.0</v>
      </c>
      <c r="C17" s="164"/>
      <c r="D17" s="165">
        <f t="shared" si="4"/>
        <v>0</v>
      </c>
      <c r="E17" s="166">
        <f t="shared" si="5"/>
        <v>0</v>
      </c>
      <c r="F17" s="164"/>
      <c r="G17" s="171"/>
      <c r="H17" s="164"/>
      <c r="I17" s="164"/>
      <c r="J17" s="164"/>
      <c r="K17" s="164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22"/>
      <c r="AB17" s="135"/>
      <c r="AC17" s="136"/>
      <c r="AD17" s="136"/>
      <c r="AE17" s="136"/>
      <c r="AF17" s="137"/>
      <c r="AG17" s="121"/>
      <c r="AH17" s="121"/>
      <c r="AI17" s="121"/>
      <c r="AJ17" s="121"/>
      <c r="AK17" s="121"/>
    </row>
    <row r="18">
      <c r="A18" s="122"/>
      <c r="B18" s="157">
        <v>9.0</v>
      </c>
      <c r="C18" s="158"/>
      <c r="D18" s="159">
        <f t="shared" si="4"/>
        <v>0</v>
      </c>
      <c r="E18" s="160">
        <f t="shared" si="5"/>
        <v>0</v>
      </c>
      <c r="F18" s="158"/>
      <c r="G18" s="158"/>
      <c r="H18" s="158"/>
      <c r="I18" s="158"/>
      <c r="J18" s="169"/>
      <c r="K18" s="169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</row>
    <row r="19">
      <c r="A19" s="122"/>
      <c r="B19" s="163">
        <v>10.0</v>
      </c>
      <c r="C19" s="164"/>
      <c r="D19" s="165">
        <f t="shared" si="4"/>
        <v>0</v>
      </c>
      <c r="E19" s="166">
        <f t="shared" si="5"/>
        <v>0</v>
      </c>
      <c r="F19" s="164"/>
      <c r="G19" s="164"/>
      <c r="H19" s="164"/>
      <c r="I19" s="172"/>
      <c r="J19" s="171"/>
      <c r="K19" s="171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</row>
    <row r="20">
      <c r="A20" s="122"/>
      <c r="B20" s="157">
        <v>11.0</v>
      </c>
      <c r="C20" s="169"/>
      <c r="D20" s="159">
        <f t="shared" si="4"/>
        <v>0</v>
      </c>
      <c r="E20" s="160">
        <f t="shared" si="5"/>
        <v>0</v>
      </c>
      <c r="F20" s="169"/>
      <c r="G20" s="170"/>
      <c r="H20" s="161"/>
      <c r="I20" s="161"/>
      <c r="J20" s="169"/>
      <c r="K20" s="169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</row>
    <row r="21" ht="15.75" customHeight="1">
      <c r="A21" s="122"/>
      <c r="B21" s="163">
        <v>12.0</v>
      </c>
      <c r="C21" s="171"/>
      <c r="D21" s="165">
        <f t="shared" si="4"/>
        <v>0</v>
      </c>
      <c r="E21" s="166">
        <f t="shared" si="5"/>
        <v>0</v>
      </c>
      <c r="F21" s="171"/>
      <c r="G21" s="172"/>
      <c r="H21" s="167"/>
      <c r="I21" s="167"/>
      <c r="J21" s="167"/>
      <c r="K21" s="173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</row>
    <row r="22" ht="15.75" customHeight="1">
      <c r="A22" s="122"/>
      <c r="B22" s="157">
        <v>13.0</v>
      </c>
      <c r="C22" s="169"/>
      <c r="D22" s="159">
        <f t="shared" si="4"/>
        <v>0</v>
      </c>
      <c r="E22" s="160">
        <f t="shared" si="5"/>
        <v>0</v>
      </c>
      <c r="F22" s="169"/>
      <c r="G22" s="161"/>
      <c r="H22" s="161"/>
      <c r="I22" s="161"/>
      <c r="J22" s="161"/>
      <c r="K22" s="170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</row>
    <row r="23" ht="15.75" customHeight="1">
      <c r="A23" s="122"/>
      <c r="B23" s="163">
        <v>14.0</v>
      </c>
      <c r="C23" s="171"/>
      <c r="D23" s="165">
        <f t="shared" si="4"/>
        <v>0</v>
      </c>
      <c r="E23" s="166">
        <f t="shared" si="5"/>
        <v>0</v>
      </c>
      <c r="F23" s="167"/>
      <c r="G23" s="167"/>
      <c r="H23" s="167"/>
      <c r="I23" s="167"/>
      <c r="J23" s="167"/>
      <c r="K23" s="173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</row>
    <row r="24" ht="15.75" customHeight="1">
      <c r="A24" s="122"/>
      <c r="B24" s="157">
        <v>15.0</v>
      </c>
      <c r="C24" s="169"/>
      <c r="D24" s="159">
        <f t="shared" si="4"/>
        <v>0</v>
      </c>
      <c r="E24" s="160">
        <f t="shared" si="5"/>
        <v>0</v>
      </c>
      <c r="F24" s="169"/>
      <c r="G24" s="161"/>
      <c r="H24" s="161"/>
      <c r="I24" s="161"/>
      <c r="J24" s="161"/>
      <c r="K24" s="170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</row>
    <row r="25" ht="15.75" customHeight="1">
      <c r="A25" s="122"/>
      <c r="B25" s="163">
        <v>16.0</v>
      </c>
      <c r="C25" s="171"/>
      <c r="D25" s="165">
        <f t="shared" si="4"/>
        <v>0</v>
      </c>
      <c r="E25" s="166">
        <f t="shared" si="5"/>
        <v>0</v>
      </c>
      <c r="F25" s="171"/>
      <c r="G25" s="167"/>
      <c r="H25" s="167"/>
      <c r="I25" s="167"/>
      <c r="J25" s="167"/>
      <c r="K25" s="173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</row>
    <row r="26" ht="15.75" customHeight="1">
      <c r="A26" s="122"/>
      <c r="B26" s="157">
        <v>17.0</v>
      </c>
      <c r="C26" s="161"/>
      <c r="D26" s="159">
        <f t="shared" si="4"/>
        <v>0</v>
      </c>
      <c r="E26" s="160">
        <f t="shared" si="5"/>
        <v>0</v>
      </c>
      <c r="F26" s="161"/>
      <c r="G26" s="161"/>
      <c r="H26" s="161"/>
      <c r="I26" s="161"/>
      <c r="J26" s="161"/>
      <c r="K26" s="170"/>
      <c r="L26" s="161"/>
      <c r="M26" s="161"/>
      <c r="N26" s="161"/>
      <c r="O26" s="16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</row>
    <row r="27" ht="15.75" customHeight="1">
      <c r="A27" s="122"/>
      <c r="B27" s="163">
        <v>18.0</v>
      </c>
      <c r="C27" s="167"/>
      <c r="D27" s="165">
        <f t="shared" si="4"/>
        <v>0</v>
      </c>
      <c r="E27" s="166">
        <f t="shared" si="5"/>
        <v>0</v>
      </c>
      <c r="F27" s="167"/>
      <c r="G27" s="167"/>
      <c r="H27" s="167"/>
      <c r="I27" s="167"/>
      <c r="J27" s="167"/>
      <c r="K27" s="173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</row>
    <row r="28" ht="15.75" customHeight="1">
      <c r="A28" s="122"/>
      <c r="B28" s="157">
        <v>19.0</v>
      </c>
      <c r="C28" s="161"/>
      <c r="D28" s="159">
        <f t="shared" si="4"/>
        <v>0</v>
      </c>
      <c r="E28" s="160">
        <f t="shared" si="5"/>
        <v>0</v>
      </c>
      <c r="F28" s="161"/>
      <c r="G28" s="161"/>
      <c r="H28" s="161"/>
      <c r="I28" s="161"/>
      <c r="J28" s="161"/>
      <c r="K28" s="170"/>
      <c r="L28" s="161"/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</row>
    <row r="29" ht="15.75" customHeight="1">
      <c r="A29" s="122"/>
      <c r="B29" s="163">
        <v>20.0</v>
      </c>
      <c r="C29" s="167"/>
      <c r="D29" s="165">
        <f t="shared" si="4"/>
        <v>0</v>
      </c>
      <c r="E29" s="166">
        <f t="shared" si="5"/>
        <v>0</v>
      </c>
      <c r="F29" s="167"/>
      <c r="G29" s="167"/>
      <c r="H29" s="167"/>
      <c r="I29" s="167"/>
      <c r="J29" s="167"/>
      <c r="K29" s="173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</row>
    <row r="30" ht="15.75" customHeight="1">
      <c r="A30" s="122"/>
      <c r="B30" s="157">
        <v>21.0</v>
      </c>
      <c r="C30" s="161"/>
      <c r="D30" s="159">
        <f t="shared" si="4"/>
        <v>0</v>
      </c>
      <c r="E30" s="160">
        <f t="shared" si="5"/>
        <v>0</v>
      </c>
      <c r="F30" s="161"/>
      <c r="G30" s="161"/>
      <c r="H30" s="161"/>
      <c r="I30" s="161"/>
      <c r="J30" s="161"/>
      <c r="K30" s="170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</row>
    <row r="31" ht="15.75" customHeight="1">
      <c r="A31" s="122"/>
      <c r="B31" s="163">
        <v>22.0</v>
      </c>
      <c r="C31" s="167"/>
      <c r="D31" s="165">
        <f t="shared" si="4"/>
        <v>0</v>
      </c>
      <c r="E31" s="166">
        <f t="shared" si="5"/>
        <v>0</v>
      </c>
      <c r="F31" s="167"/>
      <c r="G31" s="167"/>
      <c r="H31" s="167"/>
      <c r="I31" s="167"/>
      <c r="J31" s="167"/>
      <c r="K31" s="173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</row>
    <row r="32" ht="15.75" customHeight="1">
      <c r="A32" s="122"/>
      <c r="B32" s="157">
        <v>23.0</v>
      </c>
      <c r="C32" s="161"/>
      <c r="D32" s="159">
        <f t="shared" si="4"/>
        <v>0</v>
      </c>
      <c r="E32" s="160">
        <f t="shared" si="5"/>
        <v>0</v>
      </c>
      <c r="F32" s="161"/>
      <c r="G32" s="161"/>
      <c r="H32" s="161"/>
      <c r="I32" s="161"/>
      <c r="J32" s="161"/>
      <c r="K32" s="170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</row>
    <row r="33" ht="15.75" customHeight="1">
      <c r="A33" s="122"/>
      <c r="B33" s="163">
        <v>24.0</v>
      </c>
      <c r="C33" s="167"/>
      <c r="D33" s="165">
        <f t="shared" si="4"/>
        <v>0</v>
      </c>
      <c r="E33" s="166">
        <f t="shared" si="5"/>
        <v>0</v>
      </c>
      <c r="F33" s="167"/>
      <c r="G33" s="167"/>
      <c r="H33" s="167"/>
      <c r="I33" s="167"/>
      <c r="J33" s="167"/>
      <c r="K33" s="173"/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</row>
    <row r="34" ht="15.75" customHeight="1">
      <c r="A34" s="122"/>
      <c r="B34" s="157">
        <v>25.0</v>
      </c>
      <c r="C34" s="161"/>
      <c r="D34" s="159">
        <f t="shared" si="4"/>
        <v>0</v>
      </c>
      <c r="E34" s="160">
        <f t="shared" si="5"/>
        <v>0</v>
      </c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</row>
    <row r="35" ht="15.75" customHeight="1">
      <c r="A35" s="122"/>
      <c r="B35" s="163">
        <v>26.0</v>
      </c>
      <c r="C35" s="167"/>
      <c r="D35" s="165">
        <f t="shared" si="4"/>
        <v>0</v>
      </c>
      <c r="E35" s="166">
        <f t="shared" si="5"/>
        <v>0</v>
      </c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7"/>
      <c r="R35" s="167"/>
      <c r="S35" s="167"/>
      <c r="T35" s="167"/>
      <c r="U35" s="167"/>
      <c r="V35" s="167"/>
      <c r="W35" s="167"/>
      <c r="X35" s="167"/>
      <c r="Y35" s="167"/>
      <c r="Z35" s="167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</row>
    <row r="36" ht="15.75" customHeight="1">
      <c r="A36" s="122"/>
      <c r="B36" s="157">
        <v>27.0</v>
      </c>
      <c r="C36" s="161"/>
      <c r="D36" s="159">
        <f t="shared" si="4"/>
        <v>0</v>
      </c>
      <c r="E36" s="160">
        <f t="shared" si="5"/>
        <v>0</v>
      </c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</row>
    <row r="37" ht="15.75" customHeight="1">
      <c r="A37" s="122"/>
      <c r="B37" s="163">
        <v>28.0</v>
      </c>
      <c r="C37" s="167"/>
      <c r="D37" s="165">
        <f t="shared" si="4"/>
        <v>0</v>
      </c>
      <c r="E37" s="166">
        <f t="shared" si="5"/>
        <v>0</v>
      </c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</row>
    <row r="38" ht="15.75" customHeight="1">
      <c r="A38" s="122"/>
      <c r="B38" s="157">
        <v>29.0</v>
      </c>
      <c r="C38" s="161"/>
      <c r="D38" s="159">
        <f t="shared" si="4"/>
        <v>0</v>
      </c>
      <c r="E38" s="160">
        <f t="shared" si="5"/>
        <v>0</v>
      </c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</row>
    <row r="39" ht="15.75" customHeight="1">
      <c r="A39" s="122"/>
      <c r="B39" s="163">
        <v>30.0</v>
      </c>
      <c r="C39" s="167"/>
      <c r="D39" s="165">
        <f t="shared" si="4"/>
        <v>0</v>
      </c>
      <c r="E39" s="166">
        <f t="shared" si="5"/>
        <v>0</v>
      </c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7"/>
      <c r="Y39" s="167"/>
      <c r="Z39" s="167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</row>
    <row r="40" ht="15.75" customHeight="1">
      <c r="A40" s="122"/>
      <c r="B40" s="157">
        <v>31.0</v>
      </c>
      <c r="C40" s="161"/>
      <c r="D40" s="159">
        <f t="shared" si="4"/>
        <v>0</v>
      </c>
      <c r="E40" s="160">
        <f t="shared" si="5"/>
        <v>0</v>
      </c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</row>
    <row r="41" ht="15.75" customHeight="1">
      <c r="A41" s="122"/>
      <c r="B41" s="163">
        <v>32.0</v>
      </c>
      <c r="C41" s="167"/>
      <c r="D41" s="165">
        <f t="shared" si="4"/>
        <v>0</v>
      </c>
      <c r="E41" s="166">
        <f t="shared" si="5"/>
        <v>0</v>
      </c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7"/>
      <c r="Y41" s="167"/>
      <c r="Z41" s="167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</row>
    <row r="42" ht="15.75" customHeight="1">
      <c r="A42" s="122"/>
      <c r="B42" s="157">
        <v>33.0</v>
      </c>
      <c r="C42" s="161"/>
      <c r="D42" s="159">
        <f t="shared" si="4"/>
        <v>0</v>
      </c>
      <c r="E42" s="160">
        <f t="shared" si="5"/>
        <v>0</v>
      </c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</row>
    <row r="43" ht="15.75" customHeight="1">
      <c r="A43" s="122"/>
      <c r="B43" s="163">
        <v>34.0</v>
      </c>
      <c r="C43" s="167"/>
      <c r="D43" s="165">
        <f t="shared" si="4"/>
        <v>0</v>
      </c>
      <c r="E43" s="166">
        <f t="shared" si="5"/>
        <v>0</v>
      </c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7"/>
      <c r="Y43" s="167"/>
      <c r="Z43" s="167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</row>
    <row r="44" ht="15.75" customHeight="1">
      <c r="A44" s="122"/>
      <c r="B44" s="157">
        <v>35.0</v>
      </c>
      <c r="C44" s="161"/>
      <c r="D44" s="159">
        <f t="shared" si="4"/>
        <v>0</v>
      </c>
      <c r="E44" s="160">
        <f t="shared" si="5"/>
        <v>0</v>
      </c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</row>
    <row r="45" ht="15.75" customHeight="1">
      <c r="A45" s="122"/>
      <c r="B45" s="163">
        <v>36.0</v>
      </c>
      <c r="C45" s="167"/>
      <c r="D45" s="165">
        <f t="shared" si="4"/>
        <v>0</v>
      </c>
      <c r="E45" s="166">
        <f t="shared" si="5"/>
        <v>0</v>
      </c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7"/>
      <c r="Y45" s="167"/>
      <c r="Z45" s="167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</row>
    <row r="46" ht="15.75" customHeight="1">
      <c r="A46" s="122"/>
      <c r="B46" s="157">
        <v>37.0</v>
      </c>
      <c r="C46" s="161"/>
      <c r="D46" s="159">
        <f t="shared" si="4"/>
        <v>0</v>
      </c>
      <c r="E46" s="160">
        <f t="shared" si="5"/>
        <v>0</v>
      </c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</row>
    <row r="47" ht="15.75" customHeight="1">
      <c r="A47" s="122"/>
      <c r="B47" s="163">
        <v>38.0</v>
      </c>
      <c r="C47" s="167"/>
      <c r="D47" s="165">
        <f t="shared" si="4"/>
        <v>0</v>
      </c>
      <c r="E47" s="166">
        <f t="shared" si="5"/>
        <v>0</v>
      </c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7"/>
      <c r="Y47" s="167"/>
      <c r="Z47" s="167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</row>
    <row r="48" ht="15.75" customHeight="1">
      <c r="A48" s="122"/>
      <c r="B48" s="157">
        <v>39.0</v>
      </c>
      <c r="C48" s="161"/>
      <c r="D48" s="159">
        <f t="shared" si="4"/>
        <v>0</v>
      </c>
      <c r="E48" s="160">
        <f t="shared" si="5"/>
        <v>0</v>
      </c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</row>
    <row r="49" ht="15.75" customHeight="1">
      <c r="A49" s="122"/>
      <c r="B49" s="163">
        <v>40.0</v>
      </c>
      <c r="C49" s="167"/>
      <c r="D49" s="165">
        <f t="shared" si="4"/>
        <v>0</v>
      </c>
      <c r="E49" s="166">
        <f t="shared" si="5"/>
        <v>0</v>
      </c>
      <c r="F49" s="167"/>
      <c r="G49" s="167"/>
      <c r="H49" s="167"/>
      <c r="I49" s="167"/>
      <c r="J49" s="167"/>
      <c r="K49" s="167"/>
      <c r="L49" s="167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</row>
    <row r="50" ht="15.75" customHeight="1">
      <c r="A50" s="122"/>
      <c r="B50" s="157">
        <v>41.0</v>
      </c>
      <c r="C50" s="161"/>
      <c r="D50" s="159">
        <f t="shared" si="4"/>
        <v>0</v>
      </c>
      <c r="E50" s="160">
        <f t="shared" si="5"/>
        <v>0</v>
      </c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</row>
    <row r="51" ht="15.75" customHeight="1">
      <c r="A51" s="122"/>
      <c r="B51" s="163">
        <v>42.0</v>
      </c>
      <c r="C51" s="167"/>
      <c r="D51" s="165">
        <f t="shared" si="4"/>
        <v>0</v>
      </c>
      <c r="E51" s="166">
        <f t="shared" si="5"/>
        <v>0</v>
      </c>
      <c r="F51" s="167"/>
      <c r="G51" s="167"/>
      <c r="H51" s="167"/>
      <c r="I51" s="167"/>
      <c r="J51" s="167"/>
      <c r="K51" s="167"/>
      <c r="L51" s="167"/>
      <c r="M51" s="167"/>
      <c r="N51" s="167"/>
      <c r="O51" s="167"/>
      <c r="P51" s="167"/>
      <c r="Q51" s="167"/>
      <c r="R51" s="167"/>
      <c r="S51" s="167"/>
      <c r="T51" s="167"/>
      <c r="U51" s="167"/>
      <c r="V51" s="167"/>
      <c r="W51" s="167"/>
      <c r="X51" s="167"/>
      <c r="Y51" s="167"/>
      <c r="Z51" s="167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</row>
    <row r="52" ht="15.75" customHeight="1">
      <c r="A52" s="122"/>
      <c r="B52" s="157">
        <v>43.0</v>
      </c>
      <c r="C52" s="161"/>
      <c r="D52" s="159">
        <f t="shared" si="4"/>
        <v>0</v>
      </c>
      <c r="E52" s="160">
        <f t="shared" si="5"/>
        <v>0</v>
      </c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</row>
    <row r="53" ht="15.75" customHeight="1">
      <c r="A53" s="122"/>
      <c r="B53" s="163">
        <v>44.0</v>
      </c>
      <c r="C53" s="167"/>
      <c r="D53" s="165">
        <f t="shared" si="4"/>
        <v>0</v>
      </c>
      <c r="E53" s="166">
        <f t="shared" si="5"/>
        <v>0</v>
      </c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7"/>
      <c r="Y53" s="167"/>
      <c r="Z53" s="167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</row>
    <row r="54" ht="15.75" customHeight="1">
      <c r="A54" s="122"/>
      <c r="B54" s="157">
        <v>45.0</v>
      </c>
      <c r="C54" s="161"/>
      <c r="D54" s="159">
        <f t="shared" si="4"/>
        <v>0</v>
      </c>
      <c r="E54" s="160">
        <f t="shared" si="5"/>
        <v>0</v>
      </c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</row>
    <row r="55" ht="15.75" customHeight="1">
      <c r="A55" s="122"/>
      <c r="B55" s="163">
        <v>46.0</v>
      </c>
      <c r="C55" s="167"/>
      <c r="D55" s="165">
        <f t="shared" si="4"/>
        <v>0</v>
      </c>
      <c r="E55" s="166">
        <f t="shared" si="5"/>
        <v>0</v>
      </c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</row>
    <row r="56" ht="15.75" customHeight="1">
      <c r="A56" s="122"/>
      <c r="B56" s="157">
        <v>47.0</v>
      </c>
      <c r="C56" s="161"/>
      <c r="D56" s="159">
        <f t="shared" si="4"/>
        <v>0</v>
      </c>
      <c r="E56" s="160">
        <f t="shared" si="5"/>
        <v>0</v>
      </c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</row>
    <row r="57" ht="15.75" customHeight="1">
      <c r="A57" s="122"/>
      <c r="B57" s="163">
        <v>48.0</v>
      </c>
      <c r="C57" s="167"/>
      <c r="D57" s="165">
        <f t="shared" si="4"/>
        <v>0</v>
      </c>
      <c r="E57" s="166">
        <f t="shared" si="5"/>
        <v>0</v>
      </c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7"/>
      <c r="Y57" s="167"/>
      <c r="Z57" s="167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</row>
    <row r="58" ht="15.75" customHeight="1">
      <c r="A58" s="122"/>
      <c r="B58" s="157">
        <v>49.0</v>
      </c>
      <c r="C58" s="161"/>
      <c r="D58" s="159">
        <f t="shared" si="4"/>
        <v>0</v>
      </c>
      <c r="E58" s="160">
        <f t="shared" si="5"/>
        <v>0</v>
      </c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</row>
    <row r="59" ht="15.75" customHeight="1">
      <c r="A59" s="122"/>
      <c r="B59" s="163">
        <v>50.0</v>
      </c>
      <c r="C59" s="167"/>
      <c r="D59" s="165">
        <f t="shared" si="4"/>
        <v>0</v>
      </c>
      <c r="E59" s="166">
        <f t="shared" si="5"/>
        <v>0</v>
      </c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7"/>
      <c r="Y59" s="167"/>
      <c r="Z59" s="167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</row>
    <row r="60" ht="15.7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</row>
    <row r="61" ht="15.75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</row>
    <row r="62" ht="15.75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</row>
    <row r="63" ht="15.75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</row>
    <row r="64" ht="15.7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</row>
    <row r="65" ht="15.75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</row>
    <row r="66" ht="15.7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</row>
    <row r="67" ht="15.7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</row>
    <row r="68" ht="15.7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</row>
    <row r="69" ht="15.7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</row>
    <row r="70" ht="15.7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</row>
    <row r="71" ht="15.75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</row>
    <row r="72" ht="15.75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</row>
    <row r="73" ht="15.75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</row>
    <row r="74" ht="15.75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</row>
    <row r="75" ht="15.75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</row>
    <row r="76" ht="15.7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</row>
    <row r="77" ht="15.7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</row>
    <row r="78" ht="15.75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</row>
    <row r="79" ht="15.75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</row>
    <row r="80" ht="15.75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</row>
    <row r="81" ht="15.75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</row>
    <row r="82" ht="15.75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</row>
    <row r="83" ht="15.75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</row>
    <row r="84" ht="15.75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</row>
    <row r="85" ht="15.75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</row>
    <row r="86" ht="15.7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</row>
    <row r="87" ht="15.7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</row>
    <row r="88" ht="15.7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</row>
    <row r="89" ht="15.7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</row>
    <row r="90" ht="15.7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</row>
    <row r="91" ht="15.7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</row>
    <row r="92" ht="15.7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</row>
    <row r="93" ht="15.7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</row>
    <row r="94" ht="15.7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</row>
    <row r="95" ht="15.7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</row>
    <row r="96" ht="15.7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</row>
    <row r="97" ht="15.7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</row>
    <row r="98" ht="15.7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</row>
    <row r="99" ht="15.7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</row>
    <row r="100" ht="15.7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</row>
    <row r="101" ht="15.7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</row>
    <row r="102" ht="15.7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</row>
    <row r="103" ht="15.7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</row>
    <row r="104" ht="15.7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</row>
    <row r="105" ht="15.7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</row>
    <row r="106" ht="15.7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</row>
    <row r="107" ht="15.7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</row>
    <row r="108" ht="15.7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</row>
    <row r="109" ht="15.7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</row>
    <row r="110" ht="15.7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</row>
    <row r="111" ht="15.7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</row>
    <row r="112" ht="15.7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</row>
    <row r="113" ht="15.7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</row>
    <row r="114" ht="15.7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</row>
    <row r="115" ht="15.7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</row>
    <row r="116" ht="15.7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</row>
    <row r="117" ht="15.7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</row>
    <row r="118" ht="15.7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</row>
    <row r="119" ht="15.7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</row>
    <row r="120" ht="15.7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</row>
    <row r="121" ht="15.7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</row>
    <row r="122" ht="15.7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</row>
    <row r="123" ht="15.7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</row>
    <row r="124" ht="15.7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</row>
    <row r="125" ht="15.7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</row>
    <row r="126" ht="15.7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</row>
    <row r="127" ht="15.7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</row>
    <row r="128" ht="15.7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</row>
    <row r="129" ht="15.7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</row>
    <row r="130" ht="15.7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</row>
    <row r="131" ht="15.7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</row>
    <row r="132" ht="15.7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</row>
    <row r="133" ht="15.7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</row>
    <row r="134" ht="15.7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</row>
    <row r="135" ht="15.7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</row>
    <row r="136" ht="15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</row>
    <row r="137" ht="15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</row>
    <row r="138" ht="15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</row>
    <row r="139" ht="15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</row>
    <row r="140" ht="15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</row>
    <row r="141" ht="15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</row>
    <row r="142" ht="15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</row>
    <row r="143" ht="15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</row>
    <row r="144" ht="15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</row>
    <row r="145" ht="15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</row>
    <row r="146" ht="15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</row>
    <row r="147" ht="15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</row>
    <row r="148" ht="15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</row>
    <row r="149" ht="15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</row>
    <row r="150" ht="15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</row>
    <row r="151" ht="15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</row>
    <row r="152" ht="15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</row>
    <row r="153" ht="15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</row>
    <row r="154" ht="15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</row>
    <row r="155" ht="15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</row>
    <row r="156" ht="15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</row>
    <row r="157" ht="15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</row>
    <row r="158" ht="15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</row>
    <row r="159" ht="15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</row>
    <row r="160" ht="15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</row>
    <row r="161" ht="15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</row>
    <row r="162" ht="15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</row>
    <row r="163" ht="15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</row>
    <row r="164" ht="15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</row>
    <row r="165" ht="15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</row>
    <row r="166" ht="15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</row>
    <row r="167" ht="15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</row>
    <row r="168" ht="15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</row>
    <row r="169" ht="15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</row>
    <row r="170" ht="15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</row>
    <row r="171" ht="15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</row>
    <row r="172" ht="15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</row>
    <row r="173" ht="15.7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  <c r="AE173" s="121"/>
      <c r="AF173" s="121"/>
      <c r="AG173" s="121"/>
      <c r="AH173" s="121"/>
      <c r="AI173" s="121"/>
      <c r="AJ173" s="121"/>
      <c r="AK173" s="121"/>
    </row>
    <row r="174" ht="15.7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  <c r="AE174" s="121"/>
      <c r="AF174" s="121"/>
      <c r="AG174" s="121"/>
      <c r="AH174" s="121"/>
      <c r="AI174" s="121"/>
      <c r="AJ174" s="121"/>
      <c r="AK174" s="121"/>
    </row>
    <row r="175" ht="15.7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  <c r="AE175" s="121"/>
      <c r="AF175" s="121"/>
      <c r="AG175" s="121"/>
      <c r="AH175" s="121"/>
      <c r="AI175" s="121"/>
      <c r="AJ175" s="121"/>
      <c r="AK175" s="121"/>
    </row>
    <row r="176" ht="15.7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  <c r="AE176" s="121"/>
      <c r="AF176" s="121"/>
      <c r="AG176" s="121"/>
      <c r="AH176" s="121"/>
      <c r="AI176" s="121"/>
      <c r="AJ176" s="121"/>
      <c r="AK176" s="121"/>
    </row>
    <row r="177" ht="15.7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  <c r="AE177" s="121"/>
      <c r="AF177" s="121"/>
      <c r="AG177" s="121"/>
      <c r="AH177" s="121"/>
      <c r="AI177" s="121"/>
      <c r="AJ177" s="121"/>
      <c r="AK177" s="121"/>
    </row>
    <row r="178" ht="15.7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  <c r="AE178" s="121"/>
      <c r="AF178" s="121"/>
      <c r="AG178" s="121"/>
      <c r="AH178" s="121"/>
      <c r="AI178" s="121"/>
      <c r="AJ178" s="121"/>
      <c r="AK178" s="121"/>
    </row>
    <row r="179" ht="15.7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  <c r="AE179" s="121"/>
      <c r="AF179" s="121"/>
      <c r="AG179" s="121"/>
      <c r="AH179" s="121"/>
      <c r="AI179" s="121"/>
      <c r="AJ179" s="121"/>
      <c r="AK179" s="121"/>
    </row>
    <row r="180" ht="15.7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  <c r="AE180" s="121"/>
      <c r="AF180" s="121"/>
      <c r="AG180" s="121"/>
      <c r="AH180" s="121"/>
      <c r="AI180" s="121"/>
      <c r="AJ180" s="121"/>
      <c r="AK180" s="121"/>
    </row>
    <row r="181" ht="15.7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  <c r="AE181" s="121"/>
      <c r="AF181" s="121"/>
      <c r="AG181" s="121"/>
      <c r="AH181" s="121"/>
      <c r="AI181" s="121"/>
      <c r="AJ181" s="121"/>
      <c r="AK181" s="121"/>
    </row>
    <row r="182" ht="15.7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  <c r="AE182" s="121"/>
      <c r="AF182" s="121"/>
      <c r="AG182" s="121"/>
      <c r="AH182" s="121"/>
      <c r="AI182" s="121"/>
      <c r="AJ182" s="121"/>
      <c r="AK182" s="121"/>
    </row>
    <row r="183" ht="15.7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  <c r="AE183" s="121"/>
      <c r="AF183" s="121"/>
      <c r="AG183" s="121"/>
      <c r="AH183" s="121"/>
      <c r="AI183" s="121"/>
      <c r="AJ183" s="121"/>
      <c r="AK183" s="121"/>
    </row>
    <row r="184" ht="15.7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  <c r="AE184" s="121"/>
      <c r="AF184" s="121"/>
      <c r="AG184" s="121"/>
      <c r="AH184" s="121"/>
      <c r="AI184" s="121"/>
      <c r="AJ184" s="121"/>
      <c r="AK184" s="121"/>
    </row>
    <row r="185" ht="15.7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  <c r="AE185" s="121"/>
      <c r="AF185" s="121"/>
      <c r="AG185" s="121"/>
      <c r="AH185" s="121"/>
      <c r="AI185" s="121"/>
      <c r="AJ185" s="121"/>
      <c r="AK185" s="121"/>
    </row>
    <row r="186" ht="15.7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  <c r="AE186" s="121"/>
      <c r="AF186" s="121"/>
      <c r="AG186" s="121"/>
      <c r="AH186" s="121"/>
      <c r="AI186" s="121"/>
      <c r="AJ186" s="121"/>
      <c r="AK186" s="121"/>
    </row>
    <row r="187" ht="15.7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  <c r="AE187" s="121"/>
      <c r="AF187" s="121"/>
      <c r="AG187" s="121"/>
      <c r="AH187" s="121"/>
      <c r="AI187" s="121"/>
      <c r="AJ187" s="121"/>
      <c r="AK187" s="121"/>
    </row>
    <row r="188" ht="15.7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  <c r="AE188" s="121"/>
      <c r="AF188" s="121"/>
      <c r="AG188" s="121"/>
      <c r="AH188" s="121"/>
      <c r="AI188" s="121"/>
      <c r="AJ188" s="121"/>
      <c r="AK188" s="121"/>
    </row>
    <row r="189" ht="15.7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</row>
    <row r="190" ht="15.7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</row>
    <row r="191" ht="15.7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</row>
    <row r="192" ht="15.7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</row>
    <row r="193" ht="15.7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</row>
    <row r="194" ht="15.7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</row>
    <row r="195" ht="15.7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</row>
    <row r="196" ht="15.7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</row>
    <row r="197" ht="15.7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</row>
    <row r="198" ht="15.7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  <c r="AE198" s="121"/>
      <c r="AF198" s="121"/>
      <c r="AG198" s="121"/>
      <c r="AH198" s="121"/>
      <c r="AI198" s="121"/>
      <c r="AJ198" s="121"/>
      <c r="AK198" s="121"/>
    </row>
    <row r="199" ht="15.7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1"/>
    </row>
    <row r="200" ht="15.7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</row>
    <row r="201" ht="15.7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</row>
    <row r="202" ht="15.7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</row>
    <row r="203" ht="15.7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</row>
    <row r="204" ht="15.7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</row>
    <row r="205" ht="15.7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</row>
    <row r="206" ht="15.7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</row>
    <row r="207" ht="15.7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</row>
    <row r="208" ht="15.7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</row>
    <row r="209" ht="15.7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</row>
    <row r="210" ht="15.7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  <c r="AE210" s="121"/>
      <c r="AF210" s="121"/>
      <c r="AG210" s="121"/>
      <c r="AH210" s="121"/>
      <c r="AI210" s="121"/>
      <c r="AJ210" s="121"/>
      <c r="AK210" s="121"/>
    </row>
    <row r="211" ht="15.7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  <c r="AE211" s="121"/>
      <c r="AF211" s="121"/>
      <c r="AG211" s="121"/>
      <c r="AH211" s="121"/>
      <c r="AI211" s="121"/>
      <c r="AJ211" s="121"/>
      <c r="AK211" s="121"/>
    </row>
    <row r="212" ht="15.7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  <c r="AE212" s="121"/>
      <c r="AF212" s="121"/>
      <c r="AG212" s="121"/>
      <c r="AH212" s="121"/>
      <c r="AI212" s="121"/>
      <c r="AJ212" s="121"/>
      <c r="AK212" s="121"/>
    </row>
    <row r="213" ht="15.7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  <c r="AE213" s="121"/>
      <c r="AF213" s="121"/>
      <c r="AG213" s="121"/>
      <c r="AH213" s="121"/>
      <c r="AI213" s="121"/>
      <c r="AJ213" s="121"/>
      <c r="AK213" s="121"/>
    </row>
    <row r="214" ht="15.7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  <c r="AE214" s="121"/>
      <c r="AF214" s="121"/>
      <c r="AG214" s="121"/>
      <c r="AH214" s="121"/>
      <c r="AI214" s="121"/>
      <c r="AJ214" s="121"/>
      <c r="AK214" s="121"/>
    </row>
    <row r="215" ht="15.7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  <c r="AE215" s="121"/>
      <c r="AF215" s="121"/>
      <c r="AG215" s="121"/>
      <c r="AH215" s="121"/>
      <c r="AI215" s="121"/>
      <c r="AJ215" s="121"/>
      <c r="AK215" s="121"/>
    </row>
    <row r="216" ht="15.7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</row>
    <row r="217" ht="15.7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  <c r="AE217" s="121"/>
      <c r="AF217" s="121"/>
      <c r="AG217" s="121"/>
      <c r="AH217" s="121"/>
      <c r="AI217" s="121"/>
      <c r="AJ217" s="121"/>
      <c r="AK217" s="121"/>
    </row>
    <row r="218" ht="15.7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  <c r="AE218" s="121"/>
      <c r="AF218" s="121"/>
      <c r="AG218" s="121"/>
      <c r="AH218" s="121"/>
      <c r="AI218" s="121"/>
      <c r="AJ218" s="121"/>
      <c r="AK218" s="121"/>
    </row>
    <row r="219" ht="15.7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  <c r="AE219" s="121"/>
      <c r="AF219" s="121"/>
      <c r="AG219" s="121"/>
      <c r="AH219" s="121"/>
      <c r="AI219" s="121"/>
      <c r="AJ219" s="121"/>
      <c r="AK219" s="121"/>
    </row>
    <row r="220" ht="15.7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  <c r="AE220" s="121"/>
      <c r="AF220" s="121"/>
      <c r="AG220" s="121"/>
      <c r="AH220" s="121"/>
      <c r="AI220" s="121"/>
      <c r="AJ220" s="121"/>
      <c r="AK220" s="121"/>
    </row>
    <row r="221" ht="15.7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  <c r="AE221" s="121"/>
      <c r="AF221" s="121"/>
      <c r="AG221" s="121"/>
      <c r="AH221" s="121"/>
      <c r="AI221" s="121"/>
      <c r="AJ221" s="121"/>
      <c r="AK221" s="121"/>
    </row>
    <row r="222" ht="15.7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  <c r="AE222" s="121"/>
      <c r="AF222" s="121"/>
      <c r="AG222" s="121"/>
      <c r="AH222" s="121"/>
      <c r="AI222" s="121"/>
      <c r="AJ222" s="121"/>
      <c r="AK222" s="121"/>
    </row>
    <row r="223" ht="15.7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  <c r="AE223" s="121"/>
      <c r="AF223" s="121"/>
      <c r="AG223" s="121"/>
      <c r="AH223" s="121"/>
      <c r="AI223" s="121"/>
      <c r="AJ223" s="121"/>
      <c r="AK223" s="121"/>
    </row>
    <row r="224" ht="15.7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  <c r="AE224" s="121"/>
      <c r="AF224" s="121"/>
      <c r="AG224" s="121"/>
      <c r="AH224" s="121"/>
      <c r="AI224" s="121"/>
      <c r="AJ224" s="121"/>
      <c r="AK224" s="121"/>
    </row>
    <row r="225" ht="15.7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  <c r="AE225" s="121"/>
      <c r="AF225" s="121"/>
      <c r="AG225" s="121"/>
      <c r="AH225" s="121"/>
      <c r="AI225" s="121"/>
      <c r="AJ225" s="121"/>
      <c r="AK225" s="121"/>
    </row>
    <row r="226" ht="15.7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  <c r="AE226" s="121"/>
      <c r="AF226" s="121"/>
      <c r="AG226" s="121"/>
      <c r="AH226" s="121"/>
      <c r="AI226" s="121"/>
      <c r="AJ226" s="121"/>
      <c r="AK226" s="121"/>
    </row>
    <row r="227" ht="15.7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  <c r="AE227" s="121"/>
      <c r="AF227" s="121"/>
      <c r="AG227" s="121"/>
      <c r="AH227" s="121"/>
      <c r="AI227" s="121"/>
      <c r="AJ227" s="121"/>
      <c r="AK227" s="121"/>
    </row>
    <row r="228" ht="15.7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  <c r="AE228" s="121"/>
      <c r="AF228" s="121"/>
      <c r="AG228" s="121"/>
      <c r="AH228" s="121"/>
      <c r="AI228" s="121"/>
      <c r="AJ228" s="121"/>
      <c r="AK228" s="121"/>
    </row>
    <row r="229" ht="15.7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  <c r="AE229" s="121"/>
      <c r="AF229" s="121"/>
      <c r="AG229" s="121"/>
      <c r="AH229" s="121"/>
      <c r="AI229" s="121"/>
      <c r="AJ229" s="121"/>
      <c r="AK229" s="121"/>
    </row>
    <row r="230" ht="15.7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  <c r="AE230" s="121"/>
      <c r="AF230" s="121"/>
      <c r="AG230" s="121"/>
      <c r="AH230" s="121"/>
      <c r="AI230" s="121"/>
      <c r="AJ230" s="121"/>
      <c r="AK230" s="121"/>
    </row>
    <row r="231" ht="15.7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1"/>
      <c r="AH231" s="121"/>
      <c r="AI231" s="121"/>
      <c r="AJ231" s="121"/>
      <c r="AK231" s="121"/>
    </row>
    <row r="232" ht="15.7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  <c r="AE232" s="121"/>
      <c r="AF232" s="121"/>
      <c r="AG232" s="121"/>
      <c r="AH232" s="121"/>
      <c r="AI232" s="121"/>
      <c r="AJ232" s="121"/>
      <c r="AK232" s="121"/>
    </row>
    <row r="233" ht="15.7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  <c r="AE233" s="121"/>
      <c r="AF233" s="121"/>
      <c r="AG233" s="121"/>
      <c r="AH233" s="121"/>
      <c r="AI233" s="121"/>
      <c r="AJ233" s="121"/>
      <c r="AK233" s="121"/>
    </row>
    <row r="234" ht="15.7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</row>
    <row r="235" ht="15.7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</row>
    <row r="236" ht="15.7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  <c r="AF236" s="121"/>
      <c r="AG236" s="121"/>
      <c r="AH236" s="121"/>
      <c r="AI236" s="121"/>
      <c r="AJ236" s="121"/>
      <c r="AK236" s="121"/>
    </row>
    <row r="237" ht="15.7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1"/>
    </row>
    <row r="238" ht="15.7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</row>
    <row r="239" ht="15.7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</row>
    <row r="240" ht="15.7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</row>
    <row r="241" ht="15.7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</row>
    <row r="242" ht="15.7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</row>
    <row r="243" ht="15.7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</row>
    <row r="244" ht="15.7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</row>
    <row r="245" ht="15.7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</row>
    <row r="246" ht="15.7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</row>
    <row r="247" ht="15.7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</row>
    <row r="248" ht="15.7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  <c r="AE248" s="121"/>
      <c r="AF248" s="121"/>
      <c r="AG248" s="121"/>
      <c r="AH248" s="121"/>
      <c r="AI248" s="121"/>
      <c r="AJ248" s="121"/>
      <c r="AK248" s="121"/>
    </row>
    <row r="249" ht="15.7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  <c r="AE249" s="121"/>
      <c r="AF249" s="121"/>
      <c r="AG249" s="121"/>
      <c r="AH249" s="121"/>
      <c r="AI249" s="121"/>
      <c r="AJ249" s="121"/>
      <c r="AK249" s="121"/>
    </row>
    <row r="250" ht="15.7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  <c r="AE250" s="121"/>
      <c r="AF250" s="121"/>
      <c r="AG250" s="121"/>
      <c r="AH250" s="121"/>
      <c r="AI250" s="121"/>
      <c r="AJ250" s="121"/>
      <c r="AK250" s="121"/>
    </row>
    <row r="251" ht="15.7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  <c r="AE251" s="121"/>
      <c r="AF251" s="121"/>
      <c r="AG251" s="121"/>
      <c r="AH251" s="121"/>
      <c r="AI251" s="121"/>
      <c r="AJ251" s="121"/>
      <c r="AK251" s="121"/>
    </row>
    <row r="252" ht="15.7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  <c r="AE252" s="121"/>
      <c r="AF252" s="121"/>
      <c r="AG252" s="121"/>
      <c r="AH252" s="121"/>
      <c r="AI252" s="121"/>
      <c r="AJ252" s="121"/>
      <c r="AK252" s="121"/>
    </row>
    <row r="253" ht="15.7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  <c r="AE253" s="121"/>
      <c r="AF253" s="121"/>
      <c r="AG253" s="121"/>
      <c r="AH253" s="121"/>
      <c r="AI253" s="121"/>
      <c r="AJ253" s="121"/>
      <c r="AK253" s="121"/>
    </row>
    <row r="254" ht="15.7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  <c r="AE254" s="121"/>
      <c r="AF254" s="121"/>
      <c r="AG254" s="121"/>
      <c r="AH254" s="121"/>
      <c r="AI254" s="121"/>
      <c r="AJ254" s="121"/>
      <c r="AK254" s="121"/>
    </row>
    <row r="255" ht="15.7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  <c r="AE255" s="121"/>
      <c r="AF255" s="121"/>
      <c r="AG255" s="121"/>
      <c r="AH255" s="121"/>
      <c r="AI255" s="121"/>
      <c r="AJ255" s="121"/>
      <c r="AK255" s="121"/>
    </row>
    <row r="256" ht="15.7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  <c r="AE256" s="121"/>
      <c r="AF256" s="121"/>
      <c r="AG256" s="121"/>
      <c r="AH256" s="121"/>
      <c r="AI256" s="121"/>
      <c r="AJ256" s="121"/>
      <c r="AK256" s="121"/>
    </row>
    <row r="257" ht="15.7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  <c r="AE257" s="121"/>
      <c r="AF257" s="121"/>
      <c r="AG257" s="121"/>
      <c r="AH257" s="121"/>
      <c r="AI257" s="121"/>
      <c r="AJ257" s="121"/>
      <c r="AK257" s="121"/>
    </row>
    <row r="258" ht="15.7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  <c r="AE258" s="121"/>
      <c r="AF258" s="121"/>
      <c r="AG258" s="121"/>
      <c r="AH258" s="121"/>
      <c r="AI258" s="121"/>
      <c r="AJ258" s="121"/>
      <c r="AK258" s="121"/>
    </row>
    <row r="259" ht="15.7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121"/>
      <c r="AH259" s="121"/>
      <c r="AI259" s="121"/>
      <c r="AJ259" s="121"/>
      <c r="AK259" s="121"/>
    </row>
    <row r="260" ht="15.7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  <c r="AE260" s="121"/>
      <c r="AF260" s="121"/>
      <c r="AG260" s="121"/>
      <c r="AH260" s="121"/>
      <c r="AI260" s="121"/>
      <c r="AJ260" s="121"/>
      <c r="AK260" s="121"/>
    </row>
    <row r="261" ht="15.7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  <c r="AE261" s="121"/>
      <c r="AF261" s="121"/>
      <c r="AG261" s="121"/>
      <c r="AH261" s="121"/>
      <c r="AI261" s="121"/>
      <c r="AJ261" s="121"/>
      <c r="AK261" s="121"/>
    </row>
    <row r="262" ht="15.7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  <c r="AE262" s="121"/>
      <c r="AF262" s="121"/>
      <c r="AG262" s="121"/>
      <c r="AH262" s="121"/>
      <c r="AI262" s="121"/>
      <c r="AJ262" s="121"/>
      <c r="AK262" s="121"/>
    </row>
    <row r="263" ht="15.7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  <c r="AE263" s="121"/>
      <c r="AF263" s="121"/>
      <c r="AG263" s="121"/>
      <c r="AH263" s="121"/>
      <c r="AI263" s="121"/>
      <c r="AJ263" s="121"/>
      <c r="AK263" s="121"/>
    </row>
    <row r="264" ht="15.7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  <c r="AE264" s="121"/>
      <c r="AF264" s="121"/>
      <c r="AG264" s="121"/>
      <c r="AH264" s="121"/>
      <c r="AI264" s="121"/>
      <c r="AJ264" s="121"/>
      <c r="AK264" s="121"/>
    </row>
    <row r="265" ht="15.7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1"/>
      <c r="AG265" s="121"/>
      <c r="AH265" s="121"/>
      <c r="AI265" s="121"/>
      <c r="AJ265" s="121"/>
      <c r="AK265" s="121"/>
    </row>
    <row r="266" ht="15.7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  <c r="AE266" s="121"/>
      <c r="AF266" s="121"/>
      <c r="AG266" s="121"/>
      <c r="AH266" s="121"/>
      <c r="AI266" s="121"/>
      <c r="AJ266" s="121"/>
      <c r="AK266" s="121"/>
    </row>
    <row r="267" ht="15.7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  <c r="AE267" s="121"/>
      <c r="AF267" s="121"/>
      <c r="AG267" s="121"/>
      <c r="AH267" s="121"/>
      <c r="AI267" s="121"/>
      <c r="AJ267" s="121"/>
      <c r="AK267" s="121"/>
    </row>
    <row r="268" ht="15.7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  <c r="AE268" s="121"/>
      <c r="AF268" s="121"/>
      <c r="AG268" s="121"/>
      <c r="AH268" s="121"/>
      <c r="AI268" s="121"/>
      <c r="AJ268" s="121"/>
      <c r="AK268" s="121"/>
    </row>
    <row r="269" ht="15.7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  <c r="AE269" s="121"/>
      <c r="AF269" s="121"/>
      <c r="AG269" s="121"/>
      <c r="AH269" s="121"/>
      <c r="AI269" s="121"/>
      <c r="AJ269" s="121"/>
      <c r="AK269" s="121"/>
    </row>
    <row r="270" ht="15.7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  <c r="AE270" s="121"/>
      <c r="AF270" s="121"/>
      <c r="AG270" s="121"/>
      <c r="AH270" s="121"/>
      <c r="AI270" s="121"/>
      <c r="AJ270" s="121"/>
      <c r="AK270" s="121"/>
    </row>
    <row r="271" ht="15.7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  <c r="AE271" s="121"/>
      <c r="AF271" s="121"/>
      <c r="AG271" s="121"/>
      <c r="AH271" s="121"/>
      <c r="AI271" s="121"/>
      <c r="AJ271" s="121"/>
      <c r="AK271" s="121"/>
    </row>
    <row r="272" ht="15.7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</row>
    <row r="273" ht="15.7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</row>
    <row r="274" ht="15.7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  <c r="AE274" s="121"/>
      <c r="AF274" s="121"/>
      <c r="AG274" s="121"/>
      <c r="AH274" s="121"/>
      <c r="AI274" s="121"/>
      <c r="AJ274" s="121"/>
      <c r="AK274" s="121"/>
    </row>
    <row r="275" ht="15.7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1"/>
    </row>
    <row r="276" ht="15.7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</row>
    <row r="277" ht="15.7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</row>
    <row r="278" ht="15.7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</row>
    <row r="279" ht="15.75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</row>
    <row r="280" ht="15.75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</row>
    <row r="281" ht="15.75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</row>
    <row r="282" ht="15.75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</row>
    <row r="283" ht="15.75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</row>
    <row r="284" ht="15.75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</row>
    <row r="285" ht="15.75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</row>
    <row r="286" ht="15.75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  <c r="AD286" s="121"/>
      <c r="AE286" s="121"/>
      <c r="AF286" s="121"/>
      <c r="AG286" s="121"/>
      <c r="AH286" s="121"/>
      <c r="AI286" s="121"/>
      <c r="AJ286" s="121"/>
      <c r="AK286" s="121"/>
    </row>
    <row r="287" ht="15.75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  <c r="AE287" s="121"/>
      <c r="AF287" s="121"/>
      <c r="AG287" s="121"/>
      <c r="AH287" s="121"/>
      <c r="AI287" s="121"/>
      <c r="AJ287" s="121"/>
      <c r="AK287" s="121"/>
    </row>
    <row r="288" ht="15.75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121"/>
      <c r="AE288" s="121"/>
      <c r="AF288" s="121"/>
      <c r="AG288" s="121"/>
      <c r="AH288" s="121"/>
      <c r="AI288" s="121"/>
      <c r="AJ288" s="121"/>
      <c r="AK288" s="121"/>
    </row>
    <row r="289" ht="15.75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  <c r="AD289" s="121"/>
      <c r="AE289" s="121"/>
      <c r="AF289" s="121"/>
      <c r="AG289" s="121"/>
      <c r="AH289" s="121"/>
      <c r="AI289" s="121"/>
      <c r="AJ289" s="121"/>
      <c r="AK289" s="121"/>
    </row>
    <row r="290" ht="15.75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  <c r="AE290" s="121"/>
      <c r="AF290" s="121"/>
      <c r="AG290" s="121"/>
      <c r="AH290" s="121"/>
      <c r="AI290" s="121"/>
      <c r="AJ290" s="121"/>
      <c r="AK290" s="121"/>
    </row>
    <row r="291" ht="15.75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  <c r="AE291" s="121"/>
      <c r="AF291" s="121"/>
      <c r="AG291" s="121"/>
      <c r="AH291" s="121"/>
      <c r="AI291" s="121"/>
      <c r="AJ291" s="121"/>
      <c r="AK291" s="121"/>
    </row>
    <row r="292" ht="15.75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  <c r="AD292" s="121"/>
      <c r="AE292" s="121"/>
      <c r="AF292" s="121"/>
      <c r="AG292" s="121"/>
      <c r="AH292" s="121"/>
      <c r="AI292" s="121"/>
      <c r="AJ292" s="121"/>
      <c r="AK292" s="121"/>
    </row>
    <row r="293" ht="15.75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  <c r="AE293" s="121"/>
      <c r="AF293" s="121"/>
      <c r="AG293" s="121"/>
      <c r="AH293" s="121"/>
      <c r="AI293" s="121"/>
      <c r="AJ293" s="121"/>
      <c r="AK293" s="121"/>
    </row>
    <row r="294" ht="15.75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  <c r="AD294" s="121"/>
      <c r="AE294" s="121"/>
      <c r="AF294" s="121"/>
      <c r="AG294" s="121"/>
      <c r="AH294" s="121"/>
      <c r="AI294" s="121"/>
      <c r="AJ294" s="121"/>
      <c r="AK294" s="121"/>
    </row>
    <row r="295" ht="15.75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  <c r="AD295" s="121"/>
      <c r="AE295" s="121"/>
      <c r="AF295" s="121"/>
      <c r="AG295" s="121"/>
      <c r="AH295" s="121"/>
      <c r="AI295" s="121"/>
      <c r="AJ295" s="121"/>
      <c r="AK295" s="121"/>
    </row>
    <row r="296" ht="15.75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  <c r="AE296" s="121"/>
      <c r="AF296" s="121"/>
      <c r="AG296" s="121"/>
      <c r="AH296" s="121"/>
      <c r="AI296" s="121"/>
      <c r="AJ296" s="121"/>
      <c r="AK296" s="121"/>
    </row>
    <row r="297" ht="15.75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  <c r="AE297" s="121"/>
      <c r="AF297" s="121"/>
      <c r="AG297" s="121"/>
      <c r="AH297" s="121"/>
      <c r="AI297" s="121"/>
      <c r="AJ297" s="121"/>
      <c r="AK297" s="121"/>
    </row>
    <row r="298" ht="15.75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  <c r="AE298" s="121"/>
      <c r="AF298" s="121"/>
      <c r="AG298" s="121"/>
      <c r="AH298" s="121"/>
      <c r="AI298" s="121"/>
      <c r="AJ298" s="121"/>
      <c r="AK298" s="121"/>
    </row>
    <row r="299" ht="15.75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  <c r="AE299" s="121"/>
      <c r="AF299" s="121"/>
      <c r="AG299" s="121"/>
      <c r="AH299" s="121"/>
      <c r="AI299" s="121"/>
      <c r="AJ299" s="121"/>
      <c r="AK299" s="121"/>
    </row>
    <row r="300" ht="15.75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  <c r="AE300" s="121"/>
      <c r="AF300" s="121"/>
      <c r="AG300" s="121"/>
      <c r="AH300" s="121"/>
      <c r="AI300" s="121"/>
      <c r="AJ300" s="121"/>
      <c r="AK300" s="121"/>
    </row>
    <row r="301" ht="15.75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  <c r="AE301" s="121"/>
      <c r="AF301" s="121"/>
      <c r="AG301" s="121"/>
      <c r="AH301" s="121"/>
      <c r="AI301" s="121"/>
      <c r="AJ301" s="121"/>
      <c r="AK301" s="121"/>
    </row>
    <row r="302" ht="15.75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  <c r="AE302" s="121"/>
      <c r="AF302" s="121"/>
      <c r="AG302" s="121"/>
      <c r="AH302" s="121"/>
      <c r="AI302" s="121"/>
      <c r="AJ302" s="121"/>
      <c r="AK302" s="121"/>
    </row>
    <row r="303" ht="15.75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  <c r="AE303" s="121"/>
      <c r="AF303" s="121"/>
      <c r="AG303" s="121"/>
      <c r="AH303" s="121"/>
      <c r="AI303" s="121"/>
      <c r="AJ303" s="121"/>
      <c r="AK303" s="121"/>
    </row>
    <row r="304" ht="15.75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  <c r="AE304" s="121"/>
      <c r="AF304" s="121"/>
      <c r="AG304" s="121"/>
      <c r="AH304" s="121"/>
      <c r="AI304" s="121"/>
      <c r="AJ304" s="121"/>
      <c r="AK304" s="121"/>
    </row>
    <row r="305" ht="15.75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  <c r="AE305" s="121"/>
      <c r="AF305" s="121"/>
      <c r="AG305" s="121"/>
      <c r="AH305" s="121"/>
      <c r="AI305" s="121"/>
      <c r="AJ305" s="121"/>
      <c r="AK305" s="121"/>
    </row>
    <row r="306" ht="15.75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  <c r="AE306" s="121"/>
      <c r="AF306" s="121"/>
      <c r="AG306" s="121"/>
      <c r="AH306" s="121"/>
      <c r="AI306" s="121"/>
      <c r="AJ306" s="121"/>
      <c r="AK306" s="121"/>
    </row>
    <row r="307" ht="15.75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  <c r="AE307" s="121"/>
      <c r="AF307" s="121"/>
      <c r="AG307" s="121"/>
      <c r="AH307" s="121"/>
      <c r="AI307" s="121"/>
      <c r="AJ307" s="121"/>
      <c r="AK307" s="121"/>
    </row>
    <row r="308" ht="15.75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  <c r="AE308" s="121"/>
      <c r="AF308" s="121"/>
      <c r="AG308" s="121"/>
      <c r="AH308" s="121"/>
      <c r="AI308" s="121"/>
      <c r="AJ308" s="121"/>
      <c r="AK308" s="121"/>
    </row>
    <row r="309" ht="15.75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  <c r="AE309" s="121"/>
      <c r="AF309" s="121"/>
      <c r="AG309" s="121"/>
      <c r="AH309" s="121"/>
      <c r="AI309" s="121"/>
      <c r="AJ309" s="121"/>
      <c r="AK309" s="121"/>
    </row>
    <row r="310" ht="15.75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</row>
    <row r="311" ht="15.75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</row>
    <row r="312" ht="15.75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  <c r="AE312" s="121"/>
      <c r="AF312" s="121"/>
      <c r="AG312" s="121"/>
      <c r="AH312" s="121"/>
      <c r="AI312" s="121"/>
      <c r="AJ312" s="121"/>
      <c r="AK312" s="121"/>
    </row>
    <row r="313" ht="15.75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1"/>
    </row>
    <row r="314" ht="15.75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</row>
    <row r="315" ht="15.75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</row>
    <row r="316" ht="15.75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</row>
    <row r="317" ht="15.75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</row>
    <row r="318" ht="15.75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</row>
    <row r="319" ht="15.75" customHeight="1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</row>
    <row r="320" ht="15.75" customHeight="1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</row>
    <row r="321" ht="15.75" customHeight="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</row>
    <row r="322" ht="15.75" customHeight="1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</row>
    <row r="323" ht="15.75" customHeight="1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</row>
    <row r="324" ht="15.75" customHeight="1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  <c r="AE324" s="121"/>
      <c r="AF324" s="121"/>
      <c r="AG324" s="121"/>
      <c r="AH324" s="121"/>
      <c r="AI324" s="121"/>
      <c r="AJ324" s="121"/>
      <c r="AK324" s="121"/>
    </row>
    <row r="325" ht="15.75" customHeight="1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  <c r="AE325" s="121"/>
      <c r="AF325" s="121"/>
      <c r="AG325" s="121"/>
      <c r="AH325" s="121"/>
      <c r="AI325" s="121"/>
      <c r="AJ325" s="121"/>
      <c r="AK325" s="121"/>
    </row>
    <row r="326" ht="15.75" customHeight="1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  <c r="AE326" s="121"/>
      <c r="AF326" s="121"/>
      <c r="AG326" s="121"/>
      <c r="AH326" s="121"/>
      <c r="AI326" s="121"/>
      <c r="AJ326" s="121"/>
      <c r="AK326" s="121"/>
    </row>
    <row r="327" ht="15.75" customHeight="1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  <c r="AE327" s="121"/>
      <c r="AF327" s="121"/>
      <c r="AG327" s="121"/>
      <c r="AH327" s="121"/>
      <c r="AI327" s="121"/>
      <c r="AJ327" s="121"/>
      <c r="AK327" s="121"/>
    </row>
    <row r="328" ht="15.75" customHeight="1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  <c r="AE328" s="121"/>
      <c r="AF328" s="121"/>
      <c r="AG328" s="121"/>
      <c r="AH328" s="121"/>
      <c r="AI328" s="121"/>
      <c r="AJ328" s="121"/>
      <c r="AK328" s="121"/>
    </row>
    <row r="329" ht="15.75" customHeight="1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  <c r="AE329" s="121"/>
      <c r="AF329" s="121"/>
      <c r="AG329" s="121"/>
      <c r="AH329" s="121"/>
      <c r="AI329" s="121"/>
      <c r="AJ329" s="121"/>
      <c r="AK329" s="121"/>
    </row>
    <row r="330" ht="15.75" customHeight="1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1"/>
      <c r="AH330" s="121"/>
      <c r="AI330" s="121"/>
      <c r="AJ330" s="121"/>
      <c r="AK330" s="121"/>
    </row>
    <row r="331" ht="15.75" customHeight="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  <c r="AD331" s="121"/>
      <c r="AE331" s="121"/>
      <c r="AF331" s="121"/>
      <c r="AG331" s="121"/>
      <c r="AH331" s="121"/>
      <c r="AI331" s="121"/>
      <c r="AJ331" s="121"/>
      <c r="AK331" s="121"/>
    </row>
    <row r="332" ht="15.75" customHeight="1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  <c r="AE332" s="121"/>
      <c r="AF332" s="121"/>
      <c r="AG332" s="121"/>
      <c r="AH332" s="121"/>
      <c r="AI332" s="121"/>
      <c r="AJ332" s="121"/>
      <c r="AK332" s="121"/>
    </row>
    <row r="333" ht="15.75" customHeight="1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  <c r="AD333" s="121"/>
      <c r="AE333" s="121"/>
      <c r="AF333" s="121"/>
      <c r="AG333" s="121"/>
      <c r="AH333" s="121"/>
      <c r="AI333" s="121"/>
      <c r="AJ333" s="121"/>
      <c r="AK333" s="121"/>
    </row>
    <row r="334" ht="15.75" customHeight="1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  <c r="AE334" s="121"/>
      <c r="AF334" s="121"/>
      <c r="AG334" s="121"/>
      <c r="AH334" s="121"/>
      <c r="AI334" s="121"/>
      <c r="AJ334" s="121"/>
      <c r="AK334" s="121"/>
    </row>
    <row r="335" ht="15.75" customHeight="1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  <c r="AE335" s="121"/>
      <c r="AF335" s="121"/>
      <c r="AG335" s="121"/>
      <c r="AH335" s="121"/>
      <c r="AI335" s="121"/>
      <c r="AJ335" s="121"/>
      <c r="AK335" s="121"/>
    </row>
    <row r="336" ht="15.75" customHeight="1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  <c r="AE336" s="121"/>
      <c r="AF336" s="121"/>
      <c r="AG336" s="121"/>
      <c r="AH336" s="121"/>
      <c r="AI336" s="121"/>
      <c r="AJ336" s="121"/>
      <c r="AK336" s="121"/>
    </row>
    <row r="337" ht="15.75" customHeight="1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  <c r="AE337" s="121"/>
      <c r="AF337" s="121"/>
      <c r="AG337" s="121"/>
      <c r="AH337" s="121"/>
      <c r="AI337" s="121"/>
      <c r="AJ337" s="121"/>
      <c r="AK337" s="121"/>
    </row>
    <row r="338" ht="15.75" customHeight="1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  <c r="AE338" s="121"/>
      <c r="AF338" s="121"/>
      <c r="AG338" s="121"/>
      <c r="AH338" s="121"/>
      <c r="AI338" s="121"/>
      <c r="AJ338" s="121"/>
      <c r="AK338" s="121"/>
    </row>
    <row r="339" ht="15.75" customHeight="1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  <c r="AE339" s="121"/>
      <c r="AF339" s="121"/>
      <c r="AG339" s="121"/>
      <c r="AH339" s="121"/>
      <c r="AI339" s="121"/>
      <c r="AJ339" s="121"/>
      <c r="AK339" s="121"/>
    </row>
    <row r="340" ht="15.75" customHeight="1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  <c r="AE340" s="121"/>
      <c r="AF340" s="121"/>
      <c r="AG340" s="121"/>
      <c r="AH340" s="121"/>
      <c r="AI340" s="121"/>
      <c r="AJ340" s="121"/>
      <c r="AK340" s="121"/>
    </row>
    <row r="341" ht="15.75" customHeight="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  <c r="AE341" s="121"/>
      <c r="AF341" s="121"/>
      <c r="AG341" s="121"/>
      <c r="AH341" s="121"/>
      <c r="AI341" s="121"/>
      <c r="AJ341" s="121"/>
      <c r="AK341" s="121"/>
    </row>
    <row r="342" ht="15.75" customHeight="1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  <c r="AE342" s="121"/>
      <c r="AF342" s="121"/>
      <c r="AG342" s="121"/>
      <c r="AH342" s="121"/>
      <c r="AI342" s="121"/>
      <c r="AJ342" s="121"/>
      <c r="AK342" s="121"/>
    </row>
    <row r="343" ht="15.75" customHeight="1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  <c r="AE343" s="121"/>
      <c r="AF343" s="121"/>
      <c r="AG343" s="121"/>
      <c r="AH343" s="121"/>
      <c r="AI343" s="121"/>
      <c r="AJ343" s="121"/>
      <c r="AK343" s="121"/>
    </row>
    <row r="344" ht="15.75" customHeight="1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  <c r="AE344" s="121"/>
      <c r="AF344" s="121"/>
      <c r="AG344" s="121"/>
      <c r="AH344" s="121"/>
      <c r="AI344" s="121"/>
      <c r="AJ344" s="121"/>
      <c r="AK344" s="121"/>
    </row>
    <row r="345" ht="15.75" customHeight="1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  <c r="AE345" s="121"/>
      <c r="AF345" s="121"/>
      <c r="AG345" s="121"/>
      <c r="AH345" s="121"/>
      <c r="AI345" s="121"/>
      <c r="AJ345" s="121"/>
      <c r="AK345" s="121"/>
    </row>
    <row r="346" ht="15.75" customHeight="1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  <c r="AE346" s="121"/>
      <c r="AF346" s="121"/>
      <c r="AG346" s="121"/>
      <c r="AH346" s="121"/>
      <c r="AI346" s="121"/>
      <c r="AJ346" s="121"/>
      <c r="AK346" s="121"/>
    </row>
    <row r="347" ht="15.75" customHeight="1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  <c r="AE347" s="121"/>
      <c r="AF347" s="121"/>
      <c r="AG347" s="121"/>
      <c r="AH347" s="121"/>
      <c r="AI347" s="121"/>
      <c r="AJ347" s="121"/>
      <c r="AK347" s="121"/>
    </row>
    <row r="348" ht="15.75" customHeight="1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</row>
    <row r="349" ht="15.75" customHeight="1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</row>
    <row r="350" ht="15.75" customHeight="1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  <c r="AE350" s="121"/>
      <c r="AF350" s="121"/>
      <c r="AG350" s="121"/>
      <c r="AH350" s="121"/>
      <c r="AI350" s="121"/>
      <c r="AJ350" s="121"/>
      <c r="AK350" s="121"/>
    </row>
    <row r="351" ht="15.75" customHeight="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1"/>
    </row>
    <row r="352" ht="15.75" customHeight="1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</row>
    <row r="353" ht="15.75" customHeight="1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</row>
    <row r="354" ht="15.75" customHeight="1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</row>
    <row r="355" ht="15.75" customHeight="1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</row>
    <row r="356" ht="15.75" customHeight="1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</row>
    <row r="357" ht="15.75" customHeight="1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</row>
    <row r="358" ht="15.75" customHeight="1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</row>
    <row r="359" ht="15.75" customHeight="1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</row>
    <row r="360" ht="15.75" customHeight="1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</row>
    <row r="361" ht="15.75" customHeight="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</row>
    <row r="362" ht="15.75" customHeight="1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  <c r="AE362" s="121"/>
      <c r="AF362" s="121"/>
      <c r="AG362" s="121"/>
      <c r="AH362" s="121"/>
      <c r="AI362" s="121"/>
      <c r="AJ362" s="121"/>
      <c r="AK362" s="121"/>
    </row>
    <row r="363" ht="15.75" customHeight="1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  <c r="AE363" s="121"/>
      <c r="AF363" s="121"/>
      <c r="AG363" s="121"/>
      <c r="AH363" s="121"/>
      <c r="AI363" s="121"/>
      <c r="AJ363" s="121"/>
      <c r="AK363" s="121"/>
    </row>
    <row r="364" ht="15.75" customHeight="1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  <c r="AE364" s="121"/>
      <c r="AF364" s="121"/>
      <c r="AG364" s="121"/>
      <c r="AH364" s="121"/>
      <c r="AI364" s="121"/>
      <c r="AJ364" s="121"/>
      <c r="AK364" s="121"/>
    </row>
    <row r="365" ht="15.75" customHeight="1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  <c r="AE365" s="121"/>
      <c r="AF365" s="121"/>
      <c r="AG365" s="121"/>
      <c r="AH365" s="121"/>
      <c r="AI365" s="121"/>
      <c r="AJ365" s="121"/>
      <c r="AK365" s="121"/>
    </row>
    <row r="366" ht="15.75" customHeight="1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  <c r="AE366" s="121"/>
      <c r="AF366" s="121"/>
      <c r="AG366" s="121"/>
      <c r="AH366" s="121"/>
      <c r="AI366" s="121"/>
      <c r="AJ366" s="121"/>
      <c r="AK366" s="121"/>
    </row>
    <row r="367" ht="15.75" customHeight="1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  <c r="AE367" s="121"/>
      <c r="AF367" s="121"/>
      <c r="AG367" s="121"/>
      <c r="AH367" s="121"/>
      <c r="AI367" s="121"/>
      <c r="AJ367" s="121"/>
      <c r="AK367" s="121"/>
    </row>
    <row r="368" ht="15.75" customHeight="1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  <c r="AE368" s="121"/>
      <c r="AF368" s="121"/>
      <c r="AG368" s="121"/>
      <c r="AH368" s="121"/>
      <c r="AI368" s="121"/>
      <c r="AJ368" s="121"/>
      <c r="AK368" s="121"/>
    </row>
    <row r="369" ht="15.75" customHeight="1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  <c r="AE369" s="121"/>
      <c r="AF369" s="121"/>
      <c r="AG369" s="121"/>
      <c r="AH369" s="121"/>
      <c r="AI369" s="121"/>
      <c r="AJ369" s="121"/>
      <c r="AK369" s="121"/>
    </row>
    <row r="370" ht="15.75" customHeight="1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  <c r="AD370" s="121"/>
      <c r="AE370" s="121"/>
      <c r="AF370" s="121"/>
      <c r="AG370" s="121"/>
      <c r="AH370" s="121"/>
      <c r="AI370" s="121"/>
      <c r="AJ370" s="121"/>
      <c r="AK370" s="121"/>
    </row>
    <row r="371" ht="15.75" customHeight="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  <c r="AD371" s="121"/>
      <c r="AE371" s="121"/>
      <c r="AF371" s="121"/>
      <c r="AG371" s="121"/>
      <c r="AH371" s="121"/>
      <c r="AI371" s="121"/>
      <c r="AJ371" s="121"/>
      <c r="AK371" s="121"/>
    </row>
    <row r="372" ht="15.75" customHeight="1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  <c r="AE372" s="121"/>
      <c r="AF372" s="121"/>
      <c r="AG372" s="121"/>
      <c r="AH372" s="121"/>
      <c r="AI372" s="121"/>
      <c r="AJ372" s="121"/>
      <c r="AK372" s="121"/>
    </row>
    <row r="373" ht="15.75" customHeight="1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  <c r="AE373" s="121"/>
      <c r="AF373" s="121"/>
      <c r="AG373" s="121"/>
      <c r="AH373" s="121"/>
      <c r="AI373" s="121"/>
      <c r="AJ373" s="121"/>
      <c r="AK373" s="121"/>
    </row>
    <row r="374" ht="15.75" customHeight="1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  <c r="AE374" s="121"/>
      <c r="AF374" s="121"/>
      <c r="AG374" s="121"/>
      <c r="AH374" s="121"/>
      <c r="AI374" s="121"/>
      <c r="AJ374" s="121"/>
      <c r="AK374" s="121"/>
    </row>
    <row r="375" ht="15.75" customHeight="1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  <c r="AD375" s="121"/>
      <c r="AE375" s="121"/>
      <c r="AF375" s="121"/>
      <c r="AG375" s="121"/>
      <c r="AH375" s="121"/>
      <c r="AI375" s="121"/>
      <c r="AJ375" s="121"/>
      <c r="AK375" s="121"/>
    </row>
    <row r="376" ht="15.75" customHeight="1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  <c r="AE376" s="121"/>
      <c r="AF376" s="121"/>
      <c r="AG376" s="121"/>
      <c r="AH376" s="121"/>
      <c r="AI376" s="121"/>
      <c r="AJ376" s="121"/>
      <c r="AK376" s="121"/>
    </row>
    <row r="377" ht="15.75" customHeight="1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  <c r="AE377" s="121"/>
      <c r="AF377" s="121"/>
      <c r="AG377" s="121"/>
      <c r="AH377" s="121"/>
      <c r="AI377" s="121"/>
      <c r="AJ377" s="121"/>
      <c r="AK377" s="121"/>
    </row>
    <row r="378" ht="15.75" customHeight="1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  <c r="AE378" s="121"/>
      <c r="AF378" s="121"/>
      <c r="AG378" s="121"/>
      <c r="AH378" s="121"/>
      <c r="AI378" s="121"/>
      <c r="AJ378" s="121"/>
      <c r="AK378" s="121"/>
    </row>
    <row r="379" ht="15.75" customHeight="1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  <c r="AE379" s="121"/>
      <c r="AF379" s="121"/>
      <c r="AG379" s="121"/>
      <c r="AH379" s="121"/>
      <c r="AI379" s="121"/>
      <c r="AJ379" s="121"/>
      <c r="AK379" s="121"/>
    </row>
    <row r="380" ht="15.75" customHeight="1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  <c r="AE380" s="121"/>
      <c r="AF380" s="121"/>
      <c r="AG380" s="121"/>
      <c r="AH380" s="121"/>
      <c r="AI380" s="121"/>
      <c r="AJ380" s="121"/>
      <c r="AK380" s="121"/>
    </row>
    <row r="381" ht="15.75" customHeight="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  <c r="AE381" s="121"/>
      <c r="AF381" s="121"/>
      <c r="AG381" s="121"/>
      <c r="AH381" s="121"/>
      <c r="AI381" s="121"/>
      <c r="AJ381" s="121"/>
      <c r="AK381" s="121"/>
    </row>
    <row r="382" ht="15.75" customHeight="1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  <c r="AE382" s="121"/>
      <c r="AF382" s="121"/>
      <c r="AG382" s="121"/>
      <c r="AH382" s="121"/>
      <c r="AI382" s="121"/>
      <c r="AJ382" s="121"/>
      <c r="AK382" s="121"/>
    </row>
    <row r="383" ht="15.75" customHeight="1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  <c r="AE383" s="121"/>
      <c r="AF383" s="121"/>
      <c r="AG383" s="121"/>
      <c r="AH383" s="121"/>
      <c r="AI383" s="121"/>
      <c r="AJ383" s="121"/>
      <c r="AK383" s="121"/>
    </row>
    <row r="384" ht="15.75" customHeight="1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  <c r="AE384" s="121"/>
      <c r="AF384" s="121"/>
      <c r="AG384" s="121"/>
      <c r="AH384" s="121"/>
      <c r="AI384" s="121"/>
      <c r="AJ384" s="121"/>
      <c r="AK384" s="121"/>
    </row>
    <row r="385" ht="15.75" customHeight="1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  <c r="AE385" s="121"/>
      <c r="AF385" s="121"/>
      <c r="AG385" s="121"/>
      <c r="AH385" s="121"/>
      <c r="AI385" s="121"/>
      <c r="AJ385" s="121"/>
      <c r="AK385" s="121"/>
    </row>
    <row r="386" ht="15.75" customHeight="1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</row>
    <row r="387" ht="15.75" customHeight="1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</row>
    <row r="388" ht="15.75" customHeight="1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  <c r="AE388" s="121"/>
      <c r="AF388" s="121"/>
      <c r="AG388" s="121"/>
      <c r="AH388" s="121"/>
      <c r="AI388" s="121"/>
      <c r="AJ388" s="121"/>
      <c r="AK388" s="121"/>
    </row>
    <row r="389" ht="15.75" customHeight="1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1"/>
    </row>
    <row r="390" ht="15.75" customHeight="1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</row>
    <row r="391" ht="15.75" customHeight="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</row>
    <row r="392" ht="15.75" customHeight="1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</row>
    <row r="393" ht="15.75" customHeight="1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</row>
    <row r="394" ht="15.75" customHeight="1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</row>
    <row r="395" ht="15.75" customHeight="1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</row>
    <row r="396" ht="15.75" customHeight="1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</row>
    <row r="397" ht="15.75" customHeight="1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</row>
    <row r="398" ht="15.75" customHeight="1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</row>
    <row r="399" ht="15.75" customHeight="1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</row>
    <row r="400" ht="15.75" customHeight="1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  <c r="AE400" s="121"/>
      <c r="AF400" s="121"/>
      <c r="AG400" s="121"/>
      <c r="AH400" s="121"/>
      <c r="AI400" s="121"/>
      <c r="AJ400" s="121"/>
      <c r="AK400" s="121"/>
    </row>
    <row r="401" ht="15.75" customHeight="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  <c r="AE401" s="121"/>
      <c r="AF401" s="121"/>
      <c r="AG401" s="121"/>
      <c r="AH401" s="121"/>
      <c r="AI401" s="121"/>
      <c r="AJ401" s="121"/>
      <c r="AK401" s="121"/>
    </row>
    <row r="402" ht="15.75" customHeight="1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  <c r="AE402" s="121"/>
      <c r="AF402" s="121"/>
      <c r="AG402" s="121"/>
      <c r="AH402" s="121"/>
      <c r="AI402" s="121"/>
      <c r="AJ402" s="121"/>
      <c r="AK402" s="121"/>
    </row>
    <row r="403" ht="15.75" customHeight="1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  <c r="AE403" s="121"/>
      <c r="AF403" s="121"/>
      <c r="AG403" s="121"/>
      <c r="AH403" s="121"/>
      <c r="AI403" s="121"/>
      <c r="AJ403" s="121"/>
      <c r="AK403" s="121"/>
    </row>
    <row r="404" ht="15.75" customHeight="1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  <c r="AD404" s="121"/>
      <c r="AE404" s="121"/>
      <c r="AF404" s="121"/>
      <c r="AG404" s="121"/>
      <c r="AH404" s="121"/>
      <c r="AI404" s="121"/>
      <c r="AJ404" s="121"/>
      <c r="AK404" s="121"/>
    </row>
    <row r="405" ht="15.75" customHeight="1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  <c r="AE405" s="121"/>
      <c r="AF405" s="121"/>
      <c r="AG405" s="121"/>
      <c r="AH405" s="121"/>
      <c r="AI405" s="121"/>
      <c r="AJ405" s="121"/>
      <c r="AK405" s="121"/>
    </row>
    <row r="406" ht="15.75" customHeight="1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  <c r="AE406" s="121"/>
      <c r="AF406" s="121"/>
      <c r="AG406" s="121"/>
      <c r="AH406" s="121"/>
      <c r="AI406" s="121"/>
      <c r="AJ406" s="121"/>
      <c r="AK406" s="121"/>
    </row>
    <row r="407" ht="15.75" customHeight="1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  <c r="AE407" s="121"/>
      <c r="AF407" s="121"/>
      <c r="AG407" s="121"/>
      <c r="AH407" s="121"/>
      <c r="AI407" s="121"/>
      <c r="AJ407" s="121"/>
      <c r="AK407" s="121"/>
    </row>
    <row r="408" ht="15.75" customHeight="1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  <c r="AE408" s="121"/>
      <c r="AF408" s="121"/>
      <c r="AG408" s="121"/>
      <c r="AH408" s="121"/>
      <c r="AI408" s="121"/>
      <c r="AJ408" s="121"/>
      <c r="AK408" s="121"/>
    </row>
    <row r="409" ht="15.75" customHeight="1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  <c r="AE409" s="121"/>
      <c r="AF409" s="121"/>
      <c r="AG409" s="121"/>
      <c r="AH409" s="121"/>
      <c r="AI409" s="121"/>
      <c r="AJ409" s="121"/>
      <c r="AK409" s="121"/>
    </row>
    <row r="410" ht="15.75" customHeight="1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  <c r="AE410" s="121"/>
      <c r="AF410" s="121"/>
      <c r="AG410" s="121"/>
      <c r="AH410" s="121"/>
      <c r="AI410" s="121"/>
      <c r="AJ410" s="121"/>
      <c r="AK410" s="121"/>
    </row>
    <row r="411" ht="15.75" customHeight="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  <c r="AE411" s="121"/>
      <c r="AF411" s="121"/>
      <c r="AG411" s="121"/>
      <c r="AH411" s="121"/>
      <c r="AI411" s="121"/>
      <c r="AJ411" s="121"/>
      <c r="AK411" s="121"/>
    </row>
    <row r="412" ht="15.75" customHeight="1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  <c r="AE412" s="121"/>
      <c r="AF412" s="121"/>
      <c r="AG412" s="121"/>
      <c r="AH412" s="121"/>
      <c r="AI412" s="121"/>
      <c r="AJ412" s="121"/>
      <c r="AK412" s="121"/>
    </row>
    <row r="413" ht="15.75" customHeight="1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  <c r="AE413" s="121"/>
      <c r="AF413" s="121"/>
      <c r="AG413" s="121"/>
      <c r="AH413" s="121"/>
      <c r="AI413" s="121"/>
      <c r="AJ413" s="121"/>
      <c r="AK413" s="121"/>
    </row>
    <row r="414" ht="15.75" customHeight="1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  <c r="AE414" s="121"/>
      <c r="AF414" s="121"/>
      <c r="AG414" s="121"/>
      <c r="AH414" s="121"/>
      <c r="AI414" s="121"/>
      <c r="AJ414" s="121"/>
      <c r="AK414" s="121"/>
    </row>
    <row r="415" ht="15.75" customHeight="1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  <c r="AE415" s="121"/>
      <c r="AF415" s="121"/>
      <c r="AG415" s="121"/>
      <c r="AH415" s="121"/>
      <c r="AI415" s="121"/>
      <c r="AJ415" s="121"/>
      <c r="AK415" s="121"/>
    </row>
    <row r="416" ht="15.75" customHeight="1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  <c r="AE416" s="121"/>
      <c r="AF416" s="121"/>
      <c r="AG416" s="121"/>
      <c r="AH416" s="121"/>
      <c r="AI416" s="121"/>
      <c r="AJ416" s="121"/>
      <c r="AK416" s="121"/>
    </row>
    <row r="417" ht="15.75" customHeight="1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  <c r="AE417" s="121"/>
      <c r="AF417" s="121"/>
      <c r="AG417" s="121"/>
      <c r="AH417" s="121"/>
      <c r="AI417" s="121"/>
      <c r="AJ417" s="121"/>
      <c r="AK417" s="121"/>
    </row>
    <row r="418" ht="15.75" customHeight="1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  <c r="AE418" s="121"/>
      <c r="AF418" s="121"/>
      <c r="AG418" s="121"/>
      <c r="AH418" s="121"/>
      <c r="AI418" s="121"/>
      <c r="AJ418" s="121"/>
      <c r="AK418" s="121"/>
    </row>
    <row r="419" ht="15.75" customHeight="1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  <c r="AE419" s="121"/>
      <c r="AF419" s="121"/>
      <c r="AG419" s="121"/>
      <c r="AH419" s="121"/>
      <c r="AI419" s="121"/>
      <c r="AJ419" s="121"/>
      <c r="AK419" s="121"/>
    </row>
    <row r="420" ht="15.75" customHeight="1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  <c r="AE420" s="121"/>
      <c r="AF420" s="121"/>
      <c r="AG420" s="121"/>
      <c r="AH420" s="121"/>
      <c r="AI420" s="121"/>
      <c r="AJ420" s="121"/>
      <c r="AK420" s="121"/>
    </row>
    <row r="421" ht="15.75" customHeight="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  <c r="AE421" s="121"/>
      <c r="AF421" s="121"/>
      <c r="AG421" s="121"/>
      <c r="AH421" s="121"/>
      <c r="AI421" s="121"/>
      <c r="AJ421" s="121"/>
      <c r="AK421" s="121"/>
    </row>
    <row r="422" ht="15.75" customHeight="1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  <c r="AE422" s="121"/>
      <c r="AF422" s="121"/>
      <c r="AG422" s="121"/>
      <c r="AH422" s="121"/>
      <c r="AI422" s="121"/>
      <c r="AJ422" s="121"/>
      <c r="AK422" s="121"/>
    </row>
    <row r="423" ht="15.75" customHeight="1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  <c r="AE423" s="121"/>
      <c r="AF423" s="121"/>
      <c r="AG423" s="121"/>
      <c r="AH423" s="121"/>
      <c r="AI423" s="121"/>
      <c r="AJ423" s="121"/>
      <c r="AK423" s="121"/>
    </row>
    <row r="424" ht="15.75" customHeight="1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</row>
    <row r="425" ht="15.75" customHeight="1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</row>
    <row r="426" ht="15.75" customHeight="1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  <c r="AE426" s="121"/>
      <c r="AF426" s="121"/>
      <c r="AG426" s="121"/>
      <c r="AH426" s="121"/>
      <c r="AI426" s="121"/>
      <c r="AJ426" s="121"/>
      <c r="AK426" s="121"/>
    </row>
    <row r="427" ht="15.75" customHeight="1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1"/>
    </row>
    <row r="428" ht="15.75" customHeight="1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</row>
    <row r="429" ht="15.75" customHeight="1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</row>
    <row r="430" ht="15.75" customHeight="1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</row>
    <row r="431" ht="15.75" customHeight="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</row>
    <row r="432" ht="15.75" customHeight="1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</row>
    <row r="433" ht="15.75" customHeight="1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</row>
    <row r="434" ht="15.75" customHeight="1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</row>
    <row r="435" ht="15.75" customHeight="1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</row>
    <row r="436" ht="15.75" customHeight="1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</row>
    <row r="437" ht="15.75" customHeight="1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</row>
    <row r="438" ht="15.75" customHeight="1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  <c r="AE438" s="121"/>
      <c r="AF438" s="121"/>
      <c r="AG438" s="121"/>
      <c r="AH438" s="121"/>
      <c r="AI438" s="121"/>
      <c r="AJ438" s="121"/>
      <c r="AK438" s="121"/>
    </row>
    <row r="439" ht="15.75" customHeight="1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  <c r="AE439" s="121"/>
      <c r="AF439" s="121"/>
      <c r="AG439" s="121"/>
      <c r="AH439" s="121"/>
      <c r="AI439" s="121"/>
      <c r="AJ439" s="121"/>
      <c r="AK439" s="121"/>
    </row>
    <row r="440" ht="15.75" customHeight="1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  <c r="AE440" s="121"/>
      <c r="AF440" s="121"/>
      <c r="AG440" s="121"/>
      <c r="AH440" s="121"/>
      <c r="AI440" s="121"/>
      <c r="AJ440" s="121"/>
      <c r="AK440" s="121"/>
    </row>
    <row r="441" ht="15.75" customHeight="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  <c r="AE441" s="121"/>
      <c r="AF441" s="121"/>
      <c r="AG441" s="121"/>
      <c r="AH441" s="121"/>
      <c r="AI441" s="121"/>
      <c r="AJ441" s="121"/>
      <c r="AK441" s="121"/>
    </row>
    <row r="442" ht="15.75" customHeight="1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  <c r="AE442" s="121"/>
      <c r="AF442" s="121"/>
      <c r="AG442" s="121"/>
      <c r="AH442" s="121"/>
      <c r="AI442" s="121"/>
      <c r="AJ442" s="121"/>
      <c r="AK442" s="121"/>
    </row>
    <row r="443" ht="15.75" customHeight="1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  <c r="AE443" s="121"/>
      <c r="AF443" s="121"/>
      <c r="AG443" s="121"/>
      <c r="AH443" s="121"/>
      <c r="AI443" s="121"/>
      <c r="AJ443" s="121"/>
      <c r="AK443" s="121"/>
    </row>
    <row r="444" ht="15.75" customHeight="1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  <c r="AE444" s="121"/>
      <c r="AF444" s="121"/>
      <c r="AG444" s="121"/>
      <c r="AH444" s="121"/>
      <c r="AI444" s="121"/>
      <c r="AJ444" s="121"/>
      <c r="AK444" s="121"/>
    </row>
    <row r="445" ht="15.75" customHeight="1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  <c r="AE445" s="121"/>
      <c r="AF445" s="121"/>
      <c r="AG445" s="121"/>
      <c r="AH445" s="121"/>
      <c r="AI445" s="121"/>
      <c r="AJ445" s="121"/>
      <c r="AK445" s="121"/>
    </row>
    <row r="446" ht="15.75" customHeight="1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  <c r="AE446" s="121"/>
      <c r="AF446" s="121"/>
      <c r="AG446" s="121"/>
      <c r="AH446" s="121"/>
      <c r="AI446" s="121"/>
      <c r="AJ446" s="121"/>
      <c r="AK446" s="121"/>
    </row>
    <row r="447" ht="15.75" customHeight="1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  <c r="AE447" s="121"/>
      <c r="AF447" s="121"/>
      <c r="AG447" s="121"/>
      <c r="AH447" s="121"/>
      <c r="AI447" s="121"/>
      <c r="AJ447" s="121"/>
      <c r="AK447" s="121"/>
    </row>
    <row r="448" ht="15.75" customHeight="1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  <c r="AE448" s="121"/>
      <c r="AF448" s="121"/>
      <c r="AG448" s="121"/>
      <c r="AH448" s="121"/>
      <c r="AI448" s="121"/>
      <c r="AJ448" s="121"/>
      <c r="AK448" s="121"/>
    </row>
    <row r="449" ht="15.75" customHeight="1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  <c r="AE449" s="121"/>
      <c r="AF449" s="121"/>
      <c r="AG449" s="121"/>
      <c r="AH449" s="121"/>
      <c r="AI449" s="121"/>
      <c r="AJ449" s="121"/>
      <c r="AK449" s="121"/>
    </row>
    <row r="450" ht="15.75" customHeight="1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  <c r="AE450" s="121"/>
      <c r="AF450" s="121"/>
      <c r="AG450" s="121"/>
      <c r="AH450" s="121"/>
      <c r="AI450" s="121"/>
      <c r="AJ450" s="121"/>
      <c r="AK450" s="121"/>
    </row>
    <row r="451" ht="15.75" customHeight="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  <c r="AE451" s="121"/>
      <c r="AF451" s="121"/>
      <c r="AG451" s="121"/>
      <c r="AH451" s="121"/>
      <c r="AI451" s="121"/>
      <c r="AJ451" s="121"/>
      <c r="AK451" s="121"/>
    </row>
    <row r="452" ht="15.75" customHeight="1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  <c r="AE452" s="121"/>
      <c r="AF452" s="121"/>
      <c r="AG452" s="121"/>
      <c r="AH452" s="121"/>
      <c r="AI452" s="121"/>
      <c r="AJ452" s="121"/>
      <c r="AK452" s="121"/>
    </row>
    <row r="453" ht="15.75" customHeight="1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  <c r="AE453" s="121"/>
      <c r="AF453" s="121"/>
      <c r="AG453" s="121"/>
      <c r="AH453" s="121"/>
      <c r="AI453" s="121"/>
      <c r="AJ453" s="121"/>
      <c r="AK453" s="121"/>
    </row>
    <row r="454" ht="15.75" customHeight="1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  <c r="AE454" s="121"/>
      <c r="AF454" s="121"/>
      <c r="AG454" s="121"/>
      <c r="AH454" s="121"/>
      <c r="AI454" s="121"/>
      <c r="AJ454" s="121"/>
      <c r="AK454" s="121"/>
    </row>
    <row r="455" ht="15.75" customHeight="1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  <c r="AE455" s="121"/>
      <c r="AF455" s="121"/>
      <c r="AG455" s="121"/>
      <c r="AH455" s="121"/>
      <c r="AI455" s="121"/>
      <c r="AJ455" s="121"/>
      <c r="AK455" s="121"/>
    </row>
    <row r="456" ht="15.75" customHeight="1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  <c r="AE456" s="121"/>
      <c r="AF456" s="121"/>
      <c r="AG456" s="121"/>
      <c r="AH456" s="121"/>
      <c r="AI456" s="121"/>
      <c r="AJ456" s="121"/>
      <c r="AK456" s="121"/>
    </row>
    <row r="457" ht="15.75" customHeight="1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  <c r="AE457" s="121"/>
      <c r="AF457" s="121"/>
      <c r="AG457" s="121"/>
      <c r="AH457" s="121"/>
      <c r="AI457" s="121"/>
      <c r="AJ457" s="121"/>
      <c r="AK457" s="121"/>
    </row>
    <row r="458" ht="15.75" customHeight="1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  <c r="AE458" s="121"/>
      <c r="AF458" s="121"/>
      <c r="AG458" s="121"/>
      <c r="AH458" s="121"/>
      <c r="AI458" s="121"/>
      <c r="AJ458" s="121"/>
      <c r="AK458" s="121"/>
    </row>
    <row r="459" ht="15.75" customHeight="1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  <c r="AE459" s="121"/>
      <c r="AF459" s="121"/>
      <c r="AG459" s="121"/>
      <c r="AH459" s="121"/>
      <c r="AI459" s="121"/>
      <c r="AJ459" s="121"/>
      <c r="AK459" s="121"/>
    </row>
    <row r="460" ht="15.75" customHeight="1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  <c r="AE460" s="121"/>
      <c r="AF460" s="121"/>
      <c r="AG460" s="121"/>
      <c r="AH460" s="121"/>
      <c r="AI460" s="121"/>
      <c r="AJ460" s="121"/>
      <c r="AK460" s="121"/>
    </row>
    <row r="461" ht="15.75" customHeight="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  <c r="AE461" s="121"/>
      <c r="AF461" s="121"/>
      <c r="AG461" s="121"/>
      <c r="AH461" s="121"/>
      <c r="AI461" s="121"/>
      <c r="AJ461" s="121"/>
      <c r="AK461" s="121"/>
    </row>
    <row r="462" ht="15.75" customHeight="1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</row>
    <row r="463" ht="15.75" customHeight="1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</row>
    <row r="464" ht="15.75" customHeight="1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  <c r="AE464" s="121"/>
      <c r="AF464" s="121"/>
      <c r="AG464" s="121"/>
      <c r="AH464" s="121"/>
      <c r="AI464" s="121"/>
      <c r="AJ464" s="121"/>
      <c r="AK464" s="121"/>
    </row>
    <row r="465" ht="15.75" customHeight="1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1"/>
    </row>
    <row r="466" ht="15.75" customHeight="1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</row>
    <row r="467" ht="15.75" customHeight="1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</row>
    <row r="468" ht="15.75" customHeight="1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</row>
    <row r="469" ht="15.75" customHeight="1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</row>
    <row r="470" ht="15.75" customHeight="1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</row>
    <row r="471" ht="15.75" customHeight="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</row>
    <row r="472" ht="15.75" customHeight="1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</row>
    <row r="473" ht="15.75" customHeight="1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</row>
    <row r="474" ht="15.75" customHeight="1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</row>
    <row r="475" ht="15.75" customHeight="1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</row>
    <row r="476" ht="15.75" customHeight="1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  <c r="AE476" s="121"/>
      <c r="AF476" s="121"/>
      <c r="AG476" s="121"/>
      <c r="AH476" s="121"/>
      <c r="AI476" s="121"/>
      <c r="AJ476" s="121"/>
      <c r="AK476" s="121"/>
    </row>
    <row r="477" ht="15.75" customHeight="1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  <c r="AE477" s="121"/>
      <c r="AF477" s="121"/>
      <c r="AG477" s="121"/>
      <c r="AH477" s="121"/>
      <c r="AI477" s="121"/>
      <c r="AJ477" s="121"/>
      <c r="AK477" s="121"/>
    </row>
    <row r="478" ht="15.75" customHeight="1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  <c r="AE478" s="121"/>
      <c r="AF478" s="121"/>
      <c r="AG478" s="121"/>
      <c r="AH478" s="121"/>
      <c r="AI478" s="121"/>
      <c r="AJ478" s="121"/>
      <c r="AK478" s="121"/>
    </row>
    <row r="479" ht="15.75" customHeight="1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</row>
    <row r="480" ht="15.75" customHeight="1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  <c r="AE480" s="121"/>
      <c r="AF480" s="121"/>
      <c r="AG480" s="121"/>
      <c r="AH480" s="121"/>
      <c r="AI480" s="121"/>
      <c r="AJ480" s="121"/>
      <c r="AK480" s="121"/>
    </row>
    <row r="481" ht="15.75" customHeight="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  <c r="AE481" s="121"/>
      <c r="AF481" s="121"/>
      <c r="AG481" s="121"/>
      <c r="AH481" s="121"/>
      <c r="AI481" s="121"/>
      <c r="AJ481" s="121"/>
      <c r="AK481" s="121"/>
    </row>
    <row r="482" ht="15.75" customHeight="1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  <c r="AE482" s="121"/>
      <c r="AF482" s="121"/>
      <c r="AG482" s="121"/>
      <c r="AH482" s="121"/>
      <c r="AI482" s="121"/>
      <c r="AJ482" s="121"/>
      <c r="AK482" s="121"/>
    </row>
    <row r="483" ht="15.75" customHeight="1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1"/>
      <c r="AK483" s="121"/>
    </row>
    <row r="484" ht="15.75" customHeight="1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  <c r="AE484" s="121"/>
      <c r="AF484" s="121"/>
      <c r="AG484" s="121"/>
      <c r="AH484" s="121"/>
      <c r="AI484" s="121"/>
      <c r="AJ484" s="121"/>
      <c r="AK484" s="121"/>
    </row>
    <row r="485" ht="15.75" customHeight="1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  <c r="AE485" s="121"/>
      <c r="AF485" s="121"/>
      <c r="AG485" s="121"/>
      <c r="AH485" s="121"/>
      <c r="AI485" s="121"/>
      <c r="AJ485" s="121"/>
      <c r="AK485" s="121"/>
    </row>
    <row r="486" ht="15.75" customHeight="1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  <c r="AE486" s="121"/>
      <c r="AF486" s="121"/>
      <c r="AG486" s="121"/>
      <c r="AH486" s="121"/>
      <c r="AI486" s="121"/>
      <c r="AJ486" s="121"/>
      <c r="AK486" s="121"/>
    </row>
    <row r="487" ht="15.75" customHeight="1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  <c r="AE487" s="121"/>
      <c r="AF487" s="121"/>
      <c r="AG487" s="121"/>
      <c r="AH487" s="121"/>
      <c r="AI487" s="121"/>
      <c r="AJ487" s="121"/>
      <c r="AK487" s="121"/>
    </row>
    <row r="488" ht="15.75" customHeight="1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  <c r="AE488" s="121"/>
      <c r="AF488" s="121"/>
      <c r="AG488" s="121"/>
      <c r="AH488" s="121"/>
      <c r="AI488" s="121"/>
      <c r="AJ488" s="121"/>
      <c r="AK488" s="121"/>
    </row>
    <row r="489" ht="15.75" customHeight="1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  <c r="AE489" s="121"/>
      <c r="AF489" s="121"/>
      <c r="AG489" s="121"/>
      <c r="AH489" s="121"/>
      <c r="AI489" s="121"/>
      <c r="AJ489" s="121"/>
      <c r="AK489" s="121"/>
    </row>
    <row r="490" ht="15.75" customHeight="1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  <c r="AE490" s="121"/>
      <c r="AF490" s="121"/>
      <c r="AG490" s="121"/>
      <c r="AH490" s="121"/>
      <c r="AI490" s="121"/>
      <c r="AJ490" s="121"/>
      <c r="AK490" s="121"/>
    </row>
    <row r="491" ht="15.75" customHeight="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  <c r="AE491" s="121"/>
      <c r="AF491" s="121"/>
      <c r="AG491" s="121"/>
      <c r="AH491" s="121"/>
      <c r="AI491" s="121"/>
      <c r="AJ491" s="121"/>
      <c r="AK491" s="121"/>
    </row>
    <row r="492" ht="15.75" customHeight="1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  <c r="AE492" s="121"/>
      <c r="AF492" s="121"/>
      <c r="AG492" s="121"/>
      <c r="AH492" s="121"/>
      <c r="AI492" s="121"/>
      <c r="AJ492" s="121"/>
      <c r="AK492" s="121"/>
    </row>
    <row r="493" ht="15.75" customHeight="1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  <c r="AE493" s="121"/>
      <c r="AF493" s="121"/>
      <c r="AG493" s="121"/>
      <c r="AH493" s="121"/>
      <c r="AI493" s="121"/>
      <c r="AJ493" s="121"/>
      <c r="AK493" s="121"/>
    </row>
    <row r="494" ht="15.75" customHeight="1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  <c r="AE494" s="121"/>
      <c r="AF494" s="121"/>
      <c r="AG494" s="121"/>
      <c r="AH494" s="121"/>
      <c r="AI494" s="121"/>
      <c r="AJ494" s="121"/>
      <c r="AK494" s="121"/>
    </row>
    <row r="495" ht="15.75" customHeight="1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  <c r="AE495" s="121"/>
      <c r="AF495" s="121"/>
      <c r="AG495" s="121"/>
      <c r="AH495" s="121"/>
      <c r="AI495" s="121"/>
      <c r="AJ495" s="121"/>
      <c r="AK495" s="121"/>
    </row>
    <row r="496" ht="15.75" customHeight="1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  <c r="AE496" s="121"/>
      <c r="AF496" s="121"/>
      <c r="AG496" s="121"/>
      <c r="AH496" s="121"/>
      <c r="AI496" s="121"/>
      <c r="AJ496" s="121"/>
      <c r="AK496" s="121"/>
    </row>
    <row r="497" ht="15.75" customHeight="1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  <c r="AE497" s="121"/>
      <c r="AF497" s="121"/>
      <c r="AG497" s="121"/>
      <c r="AH497" s="121"/>
      <c r="AI497" s="121"/>
      <c r="AJ497" s="121"/>
      <c r="AK497" s="121"/>
    </row>
    <row r="498" ht="15.75" customHeight="1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  <c r="AE498" s="121"/>
      <c r="AF498" s="121"/>
      <c r="AG498" s="121"/>
      <c r="AH498" s="121"/>
      <c r="AI498" s="121"/>
      <c r="AJ498" s="121"/>
      <c r="AK498" s="121"/>
    </row>
    <row r="499" ht="15.75" customHeight="1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  <c r="AD499" s="121"/>
      <c r="AE499" s="121"/>
      <c r="AF499" s="121"/>
      <c r="AG499" s="121"/>
      <c r="AH499" s="121"/>
      <c r="AI499" s="121"/>
      <c r="AJ499" s="121"/>
      <c r="AK499" s="121"/>
    </row>
    <row r="500" ht="15.75" customHeight="1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</row>
    <row r="501" ht="15.75" customHeight="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</row>
    <row r="502" ht="15.75" customHeight="1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  <c r="AE502" s="121"/>
      <c r="AF502" s="121"/>
      <c r="AG502" s="121"/>
      <c r="AH502" s="121"/>
      <c r="AI502" s="121"/>
      <c r="AJ502" s="121"/>
      <c r="AK502" s="121"/>
    </row>
    <row r="503" ht="15.75" customHeight="1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/>
    </row>
    <row r="504" ht="15.75" customHeight="1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</row>
    <row r="505" ht="15.75" customHeight="1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</row>
    <row r="506" ht="15.75" customHeight="1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</row>
    <row r="507" ht="15.75" customHeight="1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</row>
    <row r="508" ht="15.75" customHeight="1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</row>
    <row r="509" ht="15.75" customHeight="1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</row>
    <row r="510" ht="15.75" customHeight="1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</row>
    <row r="511" ht="15.75" customHeight="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</row>
    <row r="512" ht="15.75" customHeight="1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</row>
    <row r="513" ht="15.75" customHeight="1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</row>
    <row r="514" ht="15.75" customHeight="1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  <c r="AD514" s="121"/>
      <c r="AE514" s="121"/>
      <c r="AF514" s="121"/>
      <c r="AG514" s="121"/>
      <c r="AH514" s="121"/>
      <c r="AI514" s="121"/>
      <c r="AJ514" s="121"/>
      <c r="AK514" s="121"/>
    </row>
    <row r="515" ht="15.75" customHeight="1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  <c r="AE515" s="121"/>
      <c r="AF515" s="121"/>
      <c r="AG515" s="121"/>
      <c r="AH515" s="121"/>
      <c r="AI515" s="121"/>
      <c r="AJ515" s="121"/>
      <c r="AK515" s="121"/>
    </row>
    <row r="516" ht="15.75" customHeight="1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  <c r="AE516" s="121"/>
      <c r="AF516" s="121"/>
      <c r="AG516" s="121"/>
      <c r="AH516" s="121"/>
      <c r="AI516" s="121"/>
      <c r="AJ516" s="121"/>
      <c r="AK516" s="121"/>
    </row>
    <row r="517" ht="15.75" customHeight="1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  <c r="AE517" s="121"/>
      <c r="AF517" s="121"/>
      <c r="AG517" s="121"/>
      <c r="AH517" s="121"/>
      <c r="AI517" s="121"/>
      <c r="AJ517" s="121"/>
      <c r="AK517" s="121"/>
    </row>
    <row r="518" ht="15.75" customHeight="1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  <c r="AD518" s="121"/>
      <c r="AE518" s="121"/>
      <c r="AF518" s="121"/>
      <c r="AG518" s="121"/>
      <c r="AH518" s="121"/>
      <c r="AI518" s="121"/>
      <c r="AJ518" s="121"/>
      <c r="AK518" s="121"/>
    </row>
    <row r="519" ht="15.75" customHeight="1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  <c r="AD519" s="121"/>
      <c r="AE519" s="121"/>
      <c r="AF519" s="121"/>
      <c r="AG519" s="121"/>
      <c r="AH519" s="121"/>
      <c r="AI519" s="121"/>
      <c r="AJ519" s="121"/>
      <c r="AK519" s="121"/>
    </row>
    <row r="520" ht="15.75" customHeight="1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  <c r="AE520" s="121"/>
      <c r="AF520" s="121"/>
      <c r="AG520" s="121"/>
      <c r="AH520" s="121"/>
      <c r="AI520" s="121"/>
      <c r="AJ520" s="121"/>
      <c r="AK520" s="121"/>
    </row>
    <row r="521" ht="15.75" customHeight="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  <c r="AE521" s="121"/>
      <c r="AF521" s="121"/>
      <c r="AG521" s="121"/>
      <c r="AH521" s="121"/>
      <c r="AI521" s="121"/>
      <c r="AJ521" s="121"/>
      <c r="AK521" s="121"/>
    </row>
    <row r="522" ht="15.75" customHeight="1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  <c r="AE522" s="121"/>
      <c r="AF522" s="121"/>
      <c r="AG522" s="121"/>
      <c r="AH522" s="121"/>
      <c r="AI522" s="121"/>
      <c r="AJ522" s="121"/>
      <c r="AK522" s="121"/>
    </row>
    <row r="523" ht="15.75" customHeight="1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  <c r="AE523" s="121"/>
      <c r="AF523" s="121"/>
      <c r="AG523" s="121"/>
      <c r="AH523" s="121"/>
      <c r="AI523" s="121"/>
      <c r="AJ523" s="121"/>
      <c r="AK523" s="121"/>
    </row>
    <row r="524" ht="15.75" customHeight="1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  <c r="AE524" s="121"/>
      <c r="AF524" s="121"/>
      <c r="AG524" s="121"/>
      <c r="AH524" s="121"/>
      <c r="AI524" s="121"/>
      <c r="AJ524" s="121"/>
      <c r="AK524" s="121"/>
    </row>
    <row r="525" ht="15.75" customHeight="1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  <c r="AE525" s="121"/>
      <c r="AF525" s="121"/>
      <c r="AG525" s="121"/>
      <c r="AH525" s="121"/>
      <c r="AI525" s="121"/>
      <c r="AJ525" s="121"/>
      <c r="AK525" s="121"/>
    </row>
    <row r="526" ht="15.75" customHeight="1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  <c r="AE526" s="121"/>
      <c r="AF526" s="121"/>
      <c r="AG526" s="121"/>
      <c r="AH526" s="121"/>
      <c r="AI526" s="121"/>
      <c r="AJ526" s="121"/>
      <c r="AK526" s="121"/>
    </row>
    <row r="527" ht="15.75" customHeight="1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  <c r="AE527" s="121"/>
      <c r="AF527" s="121"/>
      <c r="AG527" s="121"/>
      <c r="AH527" s="121"/>
      <c r="AI527" s="121"/>
      <c r="AJ527" s="121"/>
      <c r="AK527" s="121"/>
    </row>
    <row r="528" ht="15.75" customHeight="1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  <c r="AE528" s="121"/>
      <c r="AF528" s="121"/>
      <c r="AG528" s="121"/>
      <c r="AH528" s="121"/>
      <c r="AI528" s="121"/>
      <c r="AJ528" s="121"/>
      <c r="AK528" s="121"/>
    </row>
    <row r="529" ht="15.75" customHeight="1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  <c r="AE529" s="121"/>
      <c r="AF529" s="121"/>
      <c r="AG529" s="121"/>
      <c r="AH529" s="121"/>
      <c r="AI529" s="121"/>
      <c r="AJ529" s="121"/>
      <c r="AK529" s="121"/>
    </row>
    <row r="530" ht="15.75" customHeight="1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  <c r="AE530" s="121"/>
      <c r="AF530" s="121"/>
      <c r="AG530" s="121"/>
      <c r="AH530" s="121"/>
      <c r="AI530" s="121"/>
      <c r="AJ530" s="121"/>
      <c r="AK530" s="121"/>
    </row>
    <row r="531" ht="15.75" customHeight="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  <c r="AE531" s="121"/>
      <c r="AF531" s="121"/>
      <c r="AG531" s="121"/>
      <c r="AH531" s="121"/>
      <c r="AI531" s="121"/>
      <c r="AJ531" s="121"/>
      <c r="AK531" s="121"/>
    </row>
    <row r="532" ht="15.75" customHeight="1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  <c r="AE532" s="121"/>
      <c r="AF532" s="121"/>
      <c r="AG532" s="121"/>
      <c r="AH532" s="121"/>
      <c r="AI532" s="121"/>
      <c r="AJ532" s="121"/>
      <c r="AK532" s="121"/>
    </row>
    <row r="533" ht="15.75" customHeight="1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  <c r="AE533" s="121"/>
      <c r="AF533" s="121"/>
      <c r="AG533" s="121"/>
      <c r="AH533" s="121"/>
      <c r="AI533" s="121"/>
      <c r="AJ533" s="121"/>
      <c r="AK533" s="121"/>
    </row>
    <row r="534" ht="15.75" customHeight="1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  <c r="AE534" s="121"/>
      <c r="AF534" s="121"/>
      <c r="AG534" s="121"/>
      <c r="AH534" s="121"/>
      <c r="AI534" s="121"/>
      <c r="AJ534" s="121"/>
      <c r="AK534" s="121"/>
    </row>
    <row r="535" ht="15.75" customHeight="1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  <c r="AE535" s="121"/>
      <c r="AF535" s="121"/>
      <c r="AG535" s="121"/>
      <c r="AH535" s="121"/>
      <c r="AI535" s="121"/>
      <c r="AJ535" s="121"/>
      <c r="AK535" s="121"/>
    </row>
    <row r="536" ht="15.75" customHeight="1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  <c r="AE536" s="121"/>
      <c r="AF536" s="121"/>
      <c r="AG536" s="121"/>
      <c r="AH536" s="121"/>
      <c r="AI536" s="121"/>
      <c r="AJ536" s="121"/>
      <c r="AK536" s="121"/>
    </row>
    <row r="537" ht="15.75" customHeight="1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  <c r="AE537" s="121"/>
      <c r="AF537" s="121"/>
      <c r="AG537" s="121"/>
      <c r="AH537" s="121"/>
      <c r="AI537" s="121"/>
      <c r="AJ537" s="121"/>
      <c r="AK537" s="121"/>
    </row>
    <row r="538" ht="15.75" customHeight="1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</row>
    <row r="539" ht="15.75" customHeight="1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</row>
    <row r="540" ht="15.75" customHeight="1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  <c r="AE540" s="121"/>
      <c r="AF540" s="121"/>
      <c r="AG540" s="121"/>
      <c r="AH540" s="121"/>
      <c r="AI540" s="121"/>
      <c r="AJ540" s="121"/>
      <c r="AK540" s="121"/>
    </row>
    <row r="541" ht="15.75" customHeight="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1"/>
    </row>
    <row r="542" ht="15.75" customHeight="1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</row>
    <row r="543" ht="15.75" customHeight="1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</row>
    <row r="544" ht="15.75" customHeight="1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</row>
    <row r="545" ht="15.75" customHeight="1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</row>
    <row r="546" ht="15.75" customHeight="1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</row>
    <row r="547" ht="15.75" customHeight="1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</row>
    <row r="548" ht="15.75" customHeight="1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</row>
    <row r="549" ht="15.75" customHeight="1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</row>
    <row r="550" ht="15.75" customHeight="1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</row>
    <row r="551" ht="15.75" customHeight="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</row>
    <row r="552" ht="15.75" customHeight="1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  <c r="AE552" s="121"/>
      <c r="AF552" s="121"/>
      <c r="AG552" s="121"/>
      <c r="AH552" s="121"/>
      <c r="AI552" s="121"/>
      <c r="AJ552" s="121"/>
      <c r="AK552" s="121"/>
    </row>
    <row r="553" ht="15.75" customHeight="1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  <c r="AE553" s="121"/>
      <c r="AF553" s="121"/>
      <c r="AG553" s="121"/>
      <c r="AH553" s="121"/>
      <c r="AI553" s="121"/>
      <c r="AJ553" s="121"/>
      <c r="AK553" s="121"/>
    </row>
    <row r="554" ht="15.75" customHeight="1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  <c r="AE554" s="121"/>
      <c r="AF554" s="121"/>
      <c r="AG554" s="121"/>
      <c r="AH554" s="121"/>
      <c r="AI554" s="121"/>
      <c r="AJ554" s="121"/>
      <c r="AK554" s="121"/>
    </row>
    <row r="555" ht="15.75" customHeight="1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  <c r="AE555" s="121"/>
      <c r="AF555" s="121"/>
      <c r="AG555" s="121"/>
      <c r="AH555" s="121"/>
      <c r="AI555" s="121"/>
      <c r="AJ555" s="121"/>
      <c r="AK555" s="121"/>
    </row>
    <row r="556" ht="15.75" customHeight="1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  <c r="AJ556" s="121"/>
      <c r="AK556" s="121"/>
    </row>
    <row r="557" ht="15.75" customHeight="1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  <c r="AE557" s="121"/>
      <c r="AF557" s="121"/>
      <c r="AG557" s="121"/>
      <c r="AH557" s="121"/>
      <c r="AI557" s="121"/>
      <c r="AJ557" s="121"/>
      <c r="AK557" s="121"/>
    </row>
    <row r="558" ht="15.75" customHeight="1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  <c r="AE558" s="121"/>
      <c r="AF558" s="121"/>
      <c r="AG558" s="121"/>
      <c r="AH558" s="121"/>
      <c r="AI558" s="121"/>
      <c r="AJ558" s="121"/>
      <c r="AK558" s="121"/>
    </row>
    <row r="559" ht="15.75" customHeight="1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  <c r="AE559" s="121"/>
      <c r="AF559" s="121"/>
      <c r="AG559" s="121"/>
      <c r="AH559" s="121"/>
      <c r="AI559" s="121"/>
      <c r="AJ559" s="121"/>
      <c r="AK559" s="121"/>
    </row>
    <row r="560" ht="15.75" customHeight="1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  <c r="AE560" s="121"/>
      <c r="AF560" s="121"/>
      <c r="AG560" s="121"/>
      <c r="AH560" s="121"/>
      <c r="AI560" s="121"/>
      <c r="AJ560" s="121"/>
      <c r="AK560" s="121"/>
    </row>
    <row r="561" ht="15.75" customHeight="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  <c r="AE561" s="121"/>
      <c r="AF561" s="121"/>
      <c r="AG561" s="121"/>
      <c r="AH561" s="121"/>
      <c r="AI561" s="121"/>
      <c r="AJ561" s="121"/>
      <c r="AK561" s="121"/>
    </row>
    <row r="562" ht="15.75" customHeight="1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  <c r="AJ562" s="121"/>
      <c r="AK562" s="121"/>
    </row>
    <row r="563" ht="15.75" customHeight="1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  <c r="AE563" s="121"/>
      <c r="AF563" s="121"/>
      <c r="AG563" s="121"/>
      <c r="AH563" s="121"/>
      <c r="AI563" s="121"/>
      <c r="AJ563" s="121"/>
      <c r="AK563" s="121"/>
    </row>
    <row r="564" ht="15.75" customHeight="1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  <c r="AJ564" s="121"/>
      <c r="AK564" s="121"/>
    </row>
    <row r="565" ht="15.75" customHeight="1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  <c r="AE565" s="121"/>
      <c r="AF565" s="121"/>
      <c r="AG565" s="121"/>
      <c r="AH565" s="121"/>
      <c r="AI565" s="121"/>
      <c r="AJ565" s="121"/>
      <c r="AK565" s="121"/>
    </row>
    <row r="566" ht="15.75" customHeight="1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  <c r="AE566" s="121"/>
      <c r="AF566" s="121"/>
      <c r="AG566" s="121"/>
      <c r="AH566" s="121"/>
      <c r="AI566" s="121"/>
      <c r="AJ566" s="121"/>
      <c r="AK566" s="121"/>
    </row>
    <row r="567" ht="15.75" customHeight="1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  <c r="AE567" s="121"/>
      <c r="AF567" s="121"/>
      <c r="AG567" s="121"/>
      <c r="AH567" s="121"/>
      <c r="AI567" s="121"/>
      <c r="AJ567" s="121"/>
      <c r="AK567" s="121"/>
    </row>
    <row r="568" ht="15.75" customHeight="1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  <c r="AE568" s="121"/>
      <c r="AF568" s="121"/>
      <c r="AG568" s="121"/>
      <c r="AH568" s="121"/>
      <c r="AI568" s="121"/>
      <c r="AJ568" s="121"/>
      <c r="AK568" s="121"/>
    </row>
    <row r="569" ht="15.75" customHeight="1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  <c r="AE569" s="121"/>
      <c r="AF569" s="121"/>
      <c r="AG569" s="121"/>
      <c r="AH569" s="121"/>
      <c r="AI569" s="121"/>
      <c r="AJ569" s="121"/>
      <c r="AK569" s="121"/>
    </row>
    <row r="570" ht="15.75" customHeight="1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  <c r="AE570" s="121"/>
      <c r="AF570" s="121"/>
      <c r="AG570" s="121"/>
      <c r="AH570" s="121"/>
      <c r="AI570" s="121"/>
      <c r="AJ570" s="121"/>
      <c r="AK570" s="121"/>
    </row>
    <row r="571" ht="15.75" customHeight="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  <c r="AE571" s="121"/>
      <c r="AF571" s="121"/>
      <c r="AG571" s="121"/>
      <c r="AH571" s="121"/>
      <c r="AI571" s="121"/>
      <c r="AJ571" s="121"/>
      <c r="AK571" s="121"/>
    </row>
    <row r="572" ht="15.75" customHeight="1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  <c r="AE572" s="121"/>
      <c r="AF572" s="121"/>
      <c r="AG572" s="121"/>
      <c r="AH572" s="121"/>
      <c r="AI572" s="121"/>
      <c r="AJ572" s="121"/>
      <c r="AK572" s="121"/>
    </row>
    <row r="573" ht="15.75" customHeight="1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  <c r="AE573" s="121"/>
      <c r="AF573" s="121"/>
      <c r="AG573" s="121"/>
      <c r="AH573" s="121"/>
      <c r="AI573" s="121"/>
      <c r="AJ573" s="121"/>
      <c r="AK573" s="121"/>
    </row>
    <row r="574" ht="15.75" customHeight="1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1"/>
      <c r="AK574" s="121"/>
    </row>
    <row r="575" ht="15.75" customHeight="1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  <c r="AE575" s="121"/>
      <c r="AF575" s="121"/>
      <c r="AG575" s="121"/>
      <c r="AH575" s="121"/>
      <c r="AI575" s="121"/>
      <c r="AJ575" s="121"/>
      <c r="AK575" s="121"/>
    </row>
    <row r="576" ht="15.75" customHeight="1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</row>
    <row r="577" ht="15.75" customHeight="1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</row>
    <row r="578" ht="15.75" customHeight="1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  <c r="AE578" s="121"/>
      <c r="AF578" s="121"/>
      <c r="AG578" s="121"/>
      <c r="AH578" s="121"/>
      <c r="AI578" s="121"/>
      <c r="AJ578" s="121"/>
      <c r="AK578" s="121"/>
    </row>
    <row r="579" ht="15.75" customHeight="1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1"/>
    </row>
    <row r="580" ht="15.75" customHeight="1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</row>
    <row r="581" ht="15.75" customHeight="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</row>
    <row r="582" ht="15.75" customHeight="1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</row>
    <row r="583" ht="15.75" customHeight="1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</row>
    <row r="584" ht="15.75" customHeight="1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</row>
    <row r="585" ht="15.75" customHeight="1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</row>
    <row r="586" ht="15.75" customHeight="1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</row>
    <row r="587" ht="15.75" customHeight="1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</row>
    <row r="588" ht="15.75" customHeight="1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</row>
    <row r="589" ht="15.75" customHeight="1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</row>
    <row r="590" ht="15.75" customHeight="1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  <c r="AE590" s="121"/>
      <c r="AF590" s="121"/>
      <c r="AG590" s="121"/>
      <c r="AH590" s="121"/>
      <c r="AI590" s="121"/>
      <c r="AJ590" s="121"/>
      <c r="AK590" s="121"/>
    </row>
    <row r="591" ht="15.75" customHeight="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  <c r="AE591" s="121"/>
      <c r="AF591" s="121"/>
      <c r="AG591" s="121"/>
      <c r="AH591" s="121"/>
      <c r="AI591" s="121"/>
      <c r="AJ591" s="121"/>
      <c r="AK591" s="121"/>
    </row>
    <row r="592" ht="15.75" customHeight="1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  <c r="AE592" s="121"/>
      <c r="AF592" s="121"/>
      <c r="AG592" s="121"/>
      <c r="AH592" s="121"/>
      <c r="AI592" s="121"/>
      <c r="AJ592" s="121"/>
      <c r="AK592" s="121"/>
    </row>
    <row r="593" ht="15.75" customHeight="1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  <c r="AE593" s="121"/>
      <c r="AF593" s="121"/>
      <c r="AG593" s="121"/>
      <c r="AH593" s="121"/>
      <c r="AI593" s="121"/>
      <c r="AJ593" s="121"/>
      <c r="AK593" s="121"/>
    </row>
    <row r="594" ht="15.75" customHeight="1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  <c r="AE594" s="121"/>
      <c r="AF594" s="121"/>
      <c r="AG594" s="121"/>
      <c r="AH594" s="121"/>
      <c r="AI594" s="121"/>
      <c r="AJ594" s="121"/>
      <c r="AK594" s="121"/>
    </row>
    <row r="595" ht="15.75" customHeight="1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  <c r="AE595" s="121"/>
      <c r="AF595" s="121"/>
      <c r="AG595" s="121"/>
      <c r="AH595" s="121"/>
      <c r="AI595" s="121"/>
      <c r="AJ595" s="121"/>
      <c r="AK595" s="121"/>
    </row>
    <row r="596" ht="15.75" customHeight="1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  <c r="AE596" s="121"/>
      <c r="AF596" s="121"/>
      <c r="AG596" s="121"/>
      <c r="AH596" s="121"/>
      <c r="AI596" s="121"/>
      <c r="AJ596" s="121"/>
      <c r="AK596" s="121"/>
    </row>
    <row r="597" ht="15.75" customHeight="1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  <c r="AE597" s="121"/>
      <c r="AF597" s="121"/>
      <c r="AG597" s="121"/>
      <c r="AH597" s="121"/>
      <c r="AI597" s="121"/>
      <c r="AJ597" s="121"/>
      <c r="AK597" s="121"/>
    </row>
    <row r="598" ht="15.75" customHeight="1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  <c r="AE598" s="121"/>
      <c r="AF598" s="121"/>
      <c r="AG598" s="121"/>
      <c r="AH598" s="121"/>
      <c r="AI598" s="121"/>
      <c r="AJ598" s="121"/>
      <c r="AK598" s="121"/>
    </row>
    <row r="599" ht="15.75" customHeight="1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  <c r="AE599" s="121"/>
      <c r="AF599" s="121"/>
      <c r="AG599" s="121"/>
      <c r="AH599" s="121"/>
      <c r="AI599" s="121"/>
      <c r="AJ599" s="121"/>
      <c r="AK599" s="121"/>
    </row>
    <row r="600" ht="15.75" customHeight="1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  <c r="AE600" s="121"/>
      <c r="AF600" s="121"/>
      <c r="AG600" s="121"/>
      <c r="AH600" s="121"/>
      <c r="AI600" s="121"/>
      <c r="AJ600" s="121"/>
      <c r="AK600" s="121"/>
    </row>
    <row r="601" ht="15.75" customHeight="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  <c r="AE601" s="121"/>
      <c r="AF601" s="121"/>
      <c r="AG601" s="121"/>
      <c r="AH601" s="121"/>
      <c r="AI601" s="121"/>
      <c r="AJ601" s="121"/>
      <c r="AK601" s="121"/>
    </row>
    <row r="602" ht="15.75" customHeight="1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  <c r="AE602" s="121"/>
      <c r="AF602" s="121"/>
      <c r="AG602" s="121"/>
      <c r="AH602" s="121"/>
      <c r="AI602" s="121"/>
      <c r="AJ602" s="121"/>
      <c r="AK602" s="121"/>
    </row>
    <row r="603" ht="15.75" customHeight="1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  <c r="AE603" s="121"/>
      <c r="AF603" s="121"/>
      <c r="AG603" s="121"/>
      <c r="AH603" s="121"/>
      <c r="AI603" s="121"/>
      <c r="AJ603" s="121"/>
      <c r="AK603" s="121"/>
    </row>
    <row r="604" ht="15.75" customHeight="1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  <c r="AE604" s="121"/>
      <c r="AF604" s="121"/>
      <c r="AG604" s="121"/>
      <c r="AH604" s="121"/>
      <c r="AI604" s="121"/>
      <c r="AJ604" s="121"/>
      <c r="AK604" s="121"/>
    </row>
    <row r="605" ht="15.75" customHeight="1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  <c r="AE605" s="121"/>
      <c r="AF605" s="121"/>
      <c r="AG605" s="121"/>
      <c r="AH605" s="121"/>
      <c r="AI605" s="121"/>
      <c r="AJ605" s="121"/>
      <c r="AK605" s="121"/>
    </row>
    <row r="606" ht="15.75" customHeight="1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  <c r="AE606" s="121"/>
      <c r="AF606" s="121"/>
      <c r="AG606" s="121"/>
      <c r="AH606" s="121"/>
      <c r="AI606" s="121"/>
      <c r="AJ606" s="121"/>
      <c r="AK606" s="121"/>
    </row>
    <row r="607" ht="15.75" customHeight="1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  <c r="AE607" s="121"/>
      <c r="AF607" s="121"/>
      <c r="AG607" s="121"/>
      <c r="AH607" s="121"/>
      <c r="AI607" s="121"/>
      <c r="AJ607" s="121"/>
      <c r="AK607" s="121"/>
    </row>
    <row r="608" ht="15.75" customHeight="1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  <c r="AE608" s="121"/>
      <c r="AF608" s="121"/>
      <c r="AG608" s="121"/>
      <c r="AH608" s="121"/>
      <c r="AI608" s="121"/>
      <c r="AJ608" s="121"/>
      <c r="AK608" s="121"/>
    </row>
    <row r="609" ht="15.75" customHeight="1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  <c r="AE609" s="121"/>
      <c r="AF609" s="121"/>
      <c r="AG609" s="121"/>
      <c r="AH609" s="121"/>
      <c r="AI609" s="121"/>
      <c r="AJ609" s="121"/>
      <c r="AK609" s="121"/>
    </row>
    <row r="610" ht="15.75" customHeight="1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  <c r="AE610" s="121"/>
      <c r="AF610" s="121"/>
      <c r="AG610" s="121"/>
      <c r="AH610" s="121"/>
      <c r="AI610" s="121"/>
      <c r="AJ610" s="121"/>
      <c r="AK610" s="121"/>
    </row>
    <row r="611" ht="15.75" customHeight="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  <c r="AE611" s="121"/>
      <c r="AF611" s="121"/>
      <c r="AG611" s="121"/>
      <c r="AH611" s="121"/>
      <c r="AI611" s="121"/>
      <c r="AJ611" s="121"/>
      <c r="AK611" s="121"/>
    </row>
    <row r="612" ht="15.75" customHeight="1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  <c r="AE612" s="121"/>
      <c r="AF612" s="121"/>
      <c r="AG612" s="121"/>
      <c r="AH612" s="121"/>
      <c r="AI612" s="121"/>
      <c r="AJ612" s="121"/>
      <c r="AK612" s="121"/>
    </row>
    <row r="613" ht="15.75" customHeight="1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  <c r="AE613" s="121"/>
      <c r="AF613" s="121"/>
      <c r="AG613" s="121"/>
      <c r="AH613" s="121"/>
      <c r="AI613" s="121"/>
      <c r="AJ613" s="121"/>
      <c r="AK613" s="121"/>
    </row>
    <row r="614" ht="15.75" customHeight="1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</row>
    <row r="615" ht="15.75" customHeight="1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</row>
    <row r="616" ht="15.75" customHeight="1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  <c r="AE616" s="121"/>
      <c r="AF616" s="121"/>
      <c r="AG616" s="121"/>
      <c r="AH616" s="121"/>
      <c r="AI616" s="121"/>
      <c r="AJ616" s="121"/>
      <c r="AK616" s="121"/>
    </row>
    <row r="617" ht="15.75" customHeight="1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1"/>
    </row>
    <row r="618" ht="15.75" customHeight="1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</row>
    <row r="619" ht="15.75" customHeight="1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</row>
    <row r="620" ht="15.75" customHeight="1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</row>
    <row r="621" ht="15.75" customHeight="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</row>
    <row r="622" ht="15.75" customHeight="1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</row>
    <row r="623" ht="15.75" customHeight="1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</row>
    <row r="624" ht="15.75" customHeight="1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</row>
    <row r="625" ht="15.75" customHeight="1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</row>
    <row r="626" ht="15.75" customHeight="1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</row>
    <row r="627" ht="15.75" customHeight="1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</row>
    <row r="628" ht="15.75" customHeight="1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  <c r="AE628" s="121"/>
      <c r="AF628" s="121"/>
      <c r="AG628" s="121"/>
      <c r="AH628" s="121"/>
      <c r="AI628" s="121"/>
      <c r="AJ628" s="121"/>
      <c r="AK628" s="121"/>
    </row>
    <row r="629" ht="15.75" customHeight="1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  <c r="AE629" s="121"/>
      <c r="AF629" s="121"/>
      <c r="AG629" s="121"/>
      <c r="AH629" s="121"/>
      <c r="AI629" s="121"/>
      <c r="AJ629" s="121"/>
      <c r="AK629" s="121"/>
    </row>
    <row r="630" ht="15.75" customHeight="1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  <c r="AE630" s="121"/>
      <c r="AF630" s="121"/>
      <c r="AG630" s="121"/>
      <c r="AH630" s="121"/>
      <c r="AI630" s="121"/>
      <c r="AJ630" s="121"/>
      <c r="AK630" s="121"/>
    </row>
    <row r="631" ht="15.75" customHeight="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  <c r="AE631" s="121"/>
      <c r="AF631" s="121"/>
      <c r="AG631" s="121"/>
      <c r="AH631" s="121"/>
      <c r="AI631" s="121"/>
      <c r="AJ631" s="121"/>
      <c r="AK631" s="121"/>
    </row>
    <row r="632" ht="15.75" customHeight="1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  <c r="AE632" s="121"/>
      <c r="AF632" s="121"/>
      <c r="AG632" s="121"/>
      <c r="AH632" s="121"/>
      <c r="AI632" s="121"/>
      <c r="AJ632" s="121"/>
      <c r="AK632" s="121"/>
    </row>
    <row r="633" ht="15.75" customHeight="1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  <c r="AE633" s="121"/>
      <c r="AF633" s="121"/>
      <c r="AG633" s="121"/>
      <c r="AH633" s="121"/>
      <c r="AI633" s="121"/>
      <c r="AJ633" s="121"/>
      <c r="AK633" s="121"/>
    </row>
    <row r="634" ht="15.75" customHeight="1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  <c r="AE634" s="121"/>
      <c r="AF634" s="121"/>
      <c r="AG634" s="121"/>
      <c r="AH634" s="121"/>
      <c r="AI634" s="121"/>
      <c r="AJ634" s="121"/>
      <c r="AK634" s="121"/>
    </row>
    <row r="635" ht="15.75" customHeight="1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  <c r="AE635" s="121"/>
      <c r="AF635" s="121"/>
      <c r="AG635" s="121"/>
      <c r="AH635" s="121"/>
      <c r="AI635" s="121"/>
      <c r="AJ635" s="121"/>
      <c r="AK635" s="121"/>
    </row>
    <row r="636" ht="15.75" customHeight="1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  <c r="AE636" s="121"/>
      <c r="AF636" s="121"/>
      <c r="AG636" s="121"/>
      <c r="AH636" s="121"/>
      <c r="AI636" s="121"/>
      <c r="AJ636" s="121"/>
      <c r="AK636" s="121"/>
    </row>
    <row r="637" ht="15.75" customHeight="1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  <c r="AE637" s="121"/>
      <c r="AF637" s="121"/>
      <c r="AG637" s="121"/>
      <c r="AH637" s="121"/>
      <c r="AI637" s="121"/>
      <c r="AJ637" s="121"/>
      <c r="AK637" s="121"/>
    </row>
    <row r="638" ht="15.75" customHeight="1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  <c r="AE638" s="121"/>
      <c r="AF638" s="121"/>
      <c r="AG638" s="121"/>
      <c r="AH638" s="121"/>
      <c r="AI638" s="121"/>
      <c r="AJ638" s="121"/>
      <c r="AK638" s="121"/>
    </row>
    <row r="639" ht="15.75" customHeight="1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  <c r="AE639" s="121"/>
      <c r="AF639" s="121"/>
      <c r="AG639" s="121"/>
      <c r="AH639" s="121"/>
      <c r="AI639" s="121"/>
      <c r="AJ639" s="121"/>
      <c r="AK639" s="121"/>
    </row>
    <row r="640" ht="15.75" customHeight="1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  <c r="AE640" s="121"/>
      <c r="AF640" s="121"/>
      <c r="AG640" s="121"/>
      <c r="AH640" s="121"/>
      <c r="AI640" s="121"/>
      <c r="AJ640" s="121"/>
      <c r="AK640" s="121"/>
    </row>
    <row r="641" ht="15.75" customHeight="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  <c r="AE641" s="121"/>
      <c r="AF641" s="121"/>
      <c r="AG641" s="121"/>
      <c r="AH641" s="121"/>
      <c r="AI641" s="121"/>
      <c r="AJ641" s="121"/>
      <c r="AK641" s="121"/>
    </row>
    <row r="642" ht="15.75" customHeight="1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  <c r="AE642" s="121"/>
      <c r="AF642" s="121"/>
      <c r="AG642" s="121"/>
      <c r="AH642" s="121"/>
      <c r="AI642" s="121"/>
      <c r="AJ642" s="121"/>
      <c r="AK642" s="121"/>
    </row>
    <row r="643" ht="15.75" customHeight="1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  <c r="AE643" s="121"/>
      <c r="AF643" s="121"/>
      <c r="AG643" s="121"/>
      <c r="AH643" s="121"/>
      <c r="AI643" s="121"/>
      <c r="AJ643" s="121"/>
      <c r="AK643" s="121"/>
    </row>
    <row r="644" ht="15.75" customHeight="1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  <c r="AE644" s="121"/>
      <c r="AF644" s="121"/>
      <c r="AG644" s="121"/>
      <c r="AH644" s="121"/>
      <c r="AI644" s="121"/>
      <c r="AJ644" s="121"/>
      <c r="AK644" s="121"/>
    </row>
    <row r="645" ht="15.75" customHeight="1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  <c r="AE645" s="121"/>
      <c r="AF645" s="121"/>
      <c r="AG645" s="121"/>
      <c r="AH645" s="121"/>
      <c r="AI645" s="121"/>
      <c r="AJ645" s="121"/>
      <c r="AK645" s="121"/>
    </row>
    <row r="646" ht="15.75" customHeight="1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  <c r="AE646" s="121"/>
      <c r="AF646" s="121"/>
      <c r="AG646" s="121"/>
      <c r="AH646" s="121"/>
      <c r="AI646" s="121"/>
      <c r="AJ646" s="121"/>
      <c r="AK646" s="121"/>
    </row>
    <row r="647" ht="15.75" customHeight="1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  <c r="AE647" s="121"/>
      <c r="AF647" s="121"/>
      <c r="AG647" s="121"/>
      <c r="AH647" s="121"/>
      <c r="AI647" s="121"/>
      <c r="AJ647" s="121"/>
      <c r="AK647" s="121"/>
    </row>
    <row r="648" ht="15.75" customHeight="1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  <c r="AE648" s="121"/>
      <c r="AF648" s="121"/>
      <c r="AG648" s="121"/>
      <c r="AH648" s="121"/>
      <c r="AI648" s="121"/>
      <c r="AJ648" s="121"/>
      <c r="AK648" s="121"/>
    </row>
    <row r="649" ht="15.75" customHeight="1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  <c r="AE649" s="121"/>
      <c r="AF649" s="121"/>
      <c r="AG649" s="121"/>
      <c r="AH649" s="121"/>
      <c r="AI649" s="121"/>
      <c r="AJ649" s="121"/>
      <c r="AK649" s="121"/>
    </row>
    <row r="650" ht="15.75" customHeight="1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  <c r="AE650" s="121"/>
      <c r="AF650" s="121"/>
      <c r="AG650" s="121"/>
      <c r="AH650" s="121"/>
      <c r="AI650" s="121"/>
      <c r="AJ650" s="121"/>
      <c r="AK650" s="121"/>
    </row>
    <row r="651" ht="15.75" customHeight="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  <c r="AE651" s="121"/>
      <c r="AF651" s="121"/>
      <c r="AG651" s="121"/>
      <c r="AH651" s="121"/>
      <c r="AI651" s="121"/>
      <c r="AJ651" s="121"/>
      <c r="AK651" s="121"/>
    </row>
    <row r="652" ht="15.75" customHeight="1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</row>
    <row r="653" ht="15.75" customHeight="1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</row>
    <row r="654" ht="15.75" customHeight="1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  <c r="AE654" s="121"/>
      <c r="AF654" s="121"/>
      <c r="AG654" s="121"/>
      <c r="AH654" s="121"/>
      <c r="AI654" s="121"/>
      <c r="AJ654" s="121"/>
      <c r="AK654" s="121"/>
    </row>
    <row r="655" ht="15.75" customHeight="1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1"/>
    </row>
    <row r="656" ht="15.75" customHeight="1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</row>
    <row r="657" ht="15.75" customHeight="1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</row>
    <row r="658" ht="15.75" customHeight="1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</row>
    <row r="659" ht="15.75" customHeight="1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</row>
    <row r="660" ht="15.75" customHeight="1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</row>
    <row r="661" ht="15.75" customHeight="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</row>
    <row r="662" ht="15.75" customHeight="1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</row>
    <row r="663" ht="15.75" customHeight="1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</row>
    <row r="664" ht="15.75" customHeight="1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</row>
    <row r="665" ht="15.75" customHeight="1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</row>
    <row r="666" ht="15.75" customHeight="1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  <c r="AD666" s="121"/>
      <c r="AE666" s="121"/>
      <c r="AF666" s="121"/>
      <c r="AG666" s="121"/>
      <c r="AH666" s="121"/>
      <c r="AI666" s="121"/>
      <c r="AJ666" s="121"/>
      <c r="AK666" s="121"/>
    </row>
    <row r="667" ht="15.75" customHeight="1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  <c r="AE667" s="121"/>
      <c r="AF667" s="121"/>
      <c r="AG667" s="121"/>
      <c r="AH667" s="121"/>
      <c r="AI667" s="121"/>
      <c r="AJ667" s="121"/>
      <c r="AK667" s="121"/>
    </row>
    <row r="668" ht="15.75" customHeight="1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  <c r="AD668" s="121"/>
      <c r="AE668" s="121"/>
      <c r="AF668" s="121"/>
      <c r="AG668" s="121"/>
      <c r="AH668" s="121"/>
      <c r="AI668" s="121"/>
      <c r="AJ668" s="121"/>
      <c r="AK668" s="121"/>
    </row>
    <row r="669" ht="15.75" customHeight="1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  <c r="AD669" s="121"/>
      <c r="AE669" s="121"/>
      <c r="AF669" s="121"/>
      <c r="AG669" s="121"/>
      <c r="AH669" s="121"/>
      <c r="AI669" s="121"/>
      <c r="AJ669" s="121"/>
      <c r="AK669" s="121"/>
    </row>
    <row r="670" ht="15.75" customHeight="1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  <c r="AE670" s="121"/>
      <c r="AF670" s="121"/>
      <c r="AG670" s="121"/>
      <c r="AH670" s="121"/>
      <c r="AI670" s="121"/>
      <c r="AJ670" s="121"/>
      <c r="AK670" s="121"/>
    </row>
    <row r="671" ht="15.75" customHeight="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  <c r="AE671" s="121"/>
      <c r="AF671" s="121"/>
      <c r="AG671" s="121"/>
      <c r="AH671" s="121"/>
      <c r="AI671" s="121"/>
      <c r="AJ671" s="121"/>
      <c r="AK671" s="121"/>
    </row>
    <row r="672" ht="15.75" customHeight="1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  <c r="AD672" s="121"/>
      <c r="AE672" s="121"/>
      <c r="AF672" s="121"/>
      <c r="AG672" s="121"/>
      <c r="AH672" s="121"/>
      <c r="AI672" s="121"/>
      <c r="AJ672" s="121"/>
      <c r="AK672" s="121"/>
    </row>
    <row r="673" ht="15.75" customHeight="1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  <c r="AD673" s="121"/>
      <c r="AE673" s="121"/>
      <c r="AF673" s="121"/>
      <c r="AG673" s="121"/>
      <c r="AH673" s="121"/>
      <c r="AI673" s="121"/>
      <c r="AJ673" s="121"/>
      <c r="AK673" s="121"/>
    </row>
    <row r="674" ht="15.75" customHeight="1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  <c r="AE674" s="121"/>
      <c r="AF674" s="121"/>
      <c r="AG674" s="121"/>
      <c r="AH674" s="121"/>
      <c r="AI674" s="121"/>
      <c r="AJ674" s="121"/>
      <c r="AK674" s="121"/>
    </row>
    <row r="675" ht="15.75" customHeight="1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  <c r="AD675" s="121"/>
      <c r="AE675" s="121"/>
      <c r="AF675" s="121"/>
      <c r="AG675" s="121"/>
      <c r="AH675" s="121"/>
      <c r="AI675" s="121"/>
      <c r="AJ675" s="121"/>
      <c r="AK675" s="121"/>
    </row>
    <row r="676" ht="15.75" customHeight="1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  <c r="AD676" s="121"/>
      <c r="AE676" s="121"/>
      <c r="AF676" s="121"/>
      <c r="AG676" s="121"/>
      <c r="AH676" s="121"/>
      <c r="AI676" s="121"/>
      <c r="AJ676" s="121"/>
      <c r="AK676" s="121"/>
    </row>
    <row r="677" ht="15.75" customHeight="1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  <c r="AD677" s="121"/>
      <c r="AE677" s="121"/>
      <c r="AF677" s="121"/>
      <c r="AG677" s="121"/>
      <c r="AH677" s="121"/>
      <c r="AI677" s="121"/>
      <c r="AJ677" s="121"/>
      <c r="AK677" s="121"/>
    </row>
    <row r="678" ht="15.75" customHeight="1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  <c r="AD678" s="121"/>
      <c r="AE678" s="121"/>
      <c r="AF678" s="121"/>
      <c r="AG678" s="121"/>
      <c r="AH678" s="121"/>
      <c r="AI678" s="121"/>
      <c r="AJ678" s="121"/>
      <c r="AK678" s="121"/>
    </row>
    <row r="679" ht="15.75" customHeight="1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  <c r="AE679" s="121"/>
      <c r="AF679" s="121"/>
      <c r="AG679" s="121"/>
      <c r="AH679" s="121"/>
      <c r="AI679" s="121"/>
      <c r="AJ679" s="121"/>
      <c r="AK679" s="121"/>
    </row>
    <row r="680" ht="15.75" customHeight="1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  <c r="AD680" s="121"/>
      <c r="AE680" s="121"/>
      <c r="AF680" s="121"/>
      <c r="AG680" s="121"/>
      <c r="AH680" s="121"/>
      <c r="AI680" s="121"/>
      <c r="AJ680" s="121"/>
      <c r="AK680" s="121"/>
    </row>
    <row r="681" ht="15.75" customHeight="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  <c r="AE681" s="121"/>
      <c r="AF681" s="121"/>
      <c r="AG681" s="121"/>
      <c r="AH681" s="121"/>
      <c r="AI681" s="121"/>
      <c r="AJ681" s="121"/>
      <c r="AK681" s="121"/>
    </row>
    <row r="682" ht="15.75" customHeight="1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  <c r="AE682" s="121"/>
      <c r="AF682" s="121"/>
      <c r="AG682" s="121"/>
      <c r="AH682" s="121"/>
      <c r="AI682" s="121"/>
      <c r="AJ682" s="121"/>
      <c r="AK682" s="121"/>
    </row>
    <row r="683" ht="15.75" customHeight="1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  <c r="AE683" s="121"/>
      <c r="AF683" s="121"/>
      <c r="AG683" s="121"/>
      <c r="AH683" s="121"/>
      <c r="AI683" s="121"/>
      <c r="AJ683" s="121"/>
      <c r="AK683" s="121"/>
    </row>
    <row r="684" ht="15.75" customHeight="1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  <c r="AD684" s="121"/>
      <c r="AE684" s="121"/>
      <c r="AF684" s="121"/>
      <c r="AG684" s="121"/>
      <c r="AH684" s="121"/>
      <c r="AI684" s="121"/>
      <c r="AJ684" s="121"/>
      <c r="AK684" s="121"/>
    </row>
    <row r="685" ht="15.75" customHeight="1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  <c r="AE685" s="121"/>
      <c r="AF685" s="121"/>
      <c r="AG685" s="121"/>
      <c r="AH685" s="121"/>
      <c r="AI685" s="121"/>
      <c r="AJ685" s="121"/>
      <c r="AK685" s="121"/>
    </row>
    <row r="686" ht="15.75" customHeight="1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  <c r="AE686" s="121"/>
      <c r="AF686" s="121"/>
      <c r="AG686" s="121"/>
      <c r="AH686" s="121"/>
      <c r="AI686" s="121"/>
      <c r="AJ686" s="121"/>
      <c r="AK686" s="121"/>
    </row>
    <row r="687" ht="15.75" customHeight="1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  <c r="AE687" s="121"/>
      <c r="AF687" s="121"/>
      <c r="AG687" s="121"/>
      <c r="AH687" s="121"/>
      <c r="AI687" s="121"/>
      <c r="AJ687" s="121"/>
      <c r="AK687" s="121"/>
    </row>
    <row r="688" ht="15.75" customHeight="1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  <c r="AD688" s="121"/>
      <c r="AE688" s="121"/>
      <c r="AF688" s="121"/>
      <c r="AG688" s="121"/>
      <c r="AH688" s="121"/>
      <c r="AI688" s="121"/>
      <c r="AJ688" s="121"/>
      <c r="AK688" s="121"/>
    </row>
    <row r="689" ht="15.75" customHeight="1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  <c r="AD689" s="121"/>
      <c r="AE689" s="121"/>
      <c r="AF689" s="121"/>
      <c r="AG689" s="121"/>
      <c r="AH689" s="121"/>
      <c r="AI689" s="121"/>
      <c r="AJ689" s="121"/>
      <c r="AK689" s="121"/>
    </row>
    <row r="690" ht="15.75" customHeight="1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</row>
    <row r="691" ht="15.75" customHeight="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</row>
    <row r="692" ht="15.75" customHeight="1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  <c r="AE692" s="121"/>
      <c r="AF692" s="121"/>
      <c r="AG692" s="121"/>
      <c r="AH692" s="121"/>
      <c r="AI692" s="121"/>
      <c r="AJ692" s="121"/>
      <c r="AK692" s="121"/>
    </row>
    <row r="693" ht="15.75" customHeight="1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1"/>
    </row>
    <row r="694" ht="15.75" customHeight="1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</row>
    <row r="695" ht="15.75" customHeight="1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</row>
    <row r="696" ht="15.75" customHeight="1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</row>
    <row r="697" ht="15.75" customHeight="1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</row>
    <row r="698" ht="15.75" customHeight="1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</row>
    <row r="699" ht="15.75" customHeight="1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</row>
    <row r="700" ht="15.75" customHeight="1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</row>
    <row r="701" ht="15.75" customHeight="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</row>
    <row r="702" ht="15.75" customHeight="1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</row>
    <row r="703" ht="15.75" customHeight="1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</row>
    <row r="704" ht="15.75" customHeight="1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  <c r="AD704" s="121"/>
      <c r="AE704" s="121"/>
      <c r="AF704" s="121"/>
      <c r="AG704" s="121"/>
      <c r="AH704" s="121"/>
      <c r="AI704" s="121"/>
      <c r="AJ704" s="121"/>
      <c r="AK704" s="121"/>
    </row>
    <row r="705" ht="15.75" customHeight="1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  <c r="AD705" s="121"/>
      <c r="AE705" s="121"/>
      <c r="AF705" s="121"/>
      <c r="AG705" s="121"/>
      <c r="AH705" s="121"/>
      <c r="AI705" s="121"/>
      <c r="AJ705" s="121"/>
      <c r="AK705" s="121"/>
    </row>
    <row r="706" ht="15.75" customHeight="1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  <c r="AD706" s="121"/>
      <c r="AE706" s="121"/>
      <c r="AF706" s="121"/>
      <c r="AG706" s="121"/>
      <c r="AH706" s="121"/>
      <c r="AI706" s="121"/>
      <c r="AJ706" s="121"/>
      <c r="AK706" s="121"/>
    </row>
    <row r="707" ht="15.75" customHeight="1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  <c r="AE707" s="121"/>
      <c r="AF707" s="121"/>
      <c r="AG707" s="121"/>
      <c r="AH707" s="121"/>
      <c r="AI707" s="121"/>
      <c r="AJ707" s="121"/>
      <c r="AK707" s="121"/>
    </row>
    <row r="708" ht="15.75" customHeight="1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  <c r="AD708" s="121"/>
      <c r="AE708" s="121"/>
      <c r="AF708" s="121"/>
      <c r="AG708" s="121"/>
      <c r="AH708" s="121"/>
      <c r="AI708" s="121"/>
      <c r="AJ708" s="121"/>
      <c r="AK708" s="121"/>
    </row>
    <row r="709" ht="15.75" customHeight="1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  <c r="AD709" s="121"/>
      <c r="AE709" s="121"/>
      <c r="AF709" s="121"/>
      <c r="AG709" s="121"/>
      <c r="AH709" s="121"/>
      <c r="AI709" s="121"/>
      <c r="AJ709" s="121"/>
      <c r="AK709" s="121"/>
    </row>
    <row r="710" ht="15.75" customHeight="1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  <c r="AE710" s="121"/>
      <c r="AF710" s="121"/>
      <c r="AG710" s="121"/>
      <c r="AH710" s="121"/>
      <c r="AI710" s="121"/>
      <c r="AJ710" s="121"/>
      <c r="AK710" s="121"/>
    </row>
    <row r="711" ht="15.75" customHeight="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  <c r="AE711" s="121"/>
      <c r="AF711" s="121"/>
      <c r="AG711" s="121"/>
      <c r="AH711" s="121"/>
      <c r="AI711" s="121"/>
      <c r="AJ711" s="121"/>
      <c r="AK711" s="121"/>
    </row>
    <row r="712" ht="15.75" customHeight="1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  <c r="AD712" s="121"/>
      <c r="AE712" s="121"/>
      <c r="AF712" s="121"/>
      <c r="AG712" s="121"/>
      <c r="AH712" s="121"/>
      <c r="AI712" s="121"/>
      <c r="AJ712" s="121"/>
      <c r="AK712" s="121"/>
    </row>
    <row r="713" ht="15.75" customHeight="1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  <c r="AE713" s="121"/>
      <c r="AF713" s="121"/>
      <c r="AG713" s="121"/>
      <c r="AH713" s="121"/>
      <c r="AI713" s="121"/>
      <c r="AJ713" s="121"/>
      <c r="AK713" s="121"/>
    </row>
    <row r="714" ht="15.75" customHeight="1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  <c r="AE714" s="121"/>
      <c r="AF714" s="121"/>
      <c r="AG714" s="121"/>
      <c r="AH714" s="121"/>
      <c r="AI714" s="121"/>
      <c r="AJ714" s="121"/>
      <c r="AK714" s="121"/>
    </row>
    <row r="715" ht="15.75" customHeight="1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  <c r="AD715" s="121"/>
      <c r="AE715" s="121"/>
      <c r="AF715" s="121"/>
      <c r="AG715" s="121"/>
      <c r="AH715" s="121"/>
      <c r="AI715" s="121"/>
      <c r="AJ715" s="121"/>
      <c r="AK715" s="121"/>
    </row>
    <row r="716" ht="15.75" customHeight="1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  <c r="AD716" s="121"/>
      <c r="AE716" s="121"/>
      <c r="AF716" s="121"/>
      <c r="AG716" s="121"/>
      <c r="AH716" s="121"/>
      <c r="AI716" s="121"/>
      <c r="AJ716" s="121"/>
      <c r="AK716" s="121"/>
    </row>
    <row r="717" ht="15.75" customHeight="1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  <c r="AD717" s="121"/>
      <c r="AE717" s="121"/>
      <c r="AF717" s="121"/>
      <c r="AG717" s="121"/>
      <c r="AH717" s="121"/>
      <c r="AI717" s="121"/>
      <c r="AJ717" s="121"/>
      <c r="AK717" s="121"/>
    </row>
    <row r="718" ht="15.75" customHeight="1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  <c r="AE718" s="121"/>
      <c r="AF718" s="121"/>
      <c r="AG718" s="121"/>
      <c r="AH718" s="121"/>
      <c r="AI718" s="121"/>
      <c r="AJ718" s="121"/>
      <c r="AK718" s="121"/>
    </row>
    <row r="719" ht="15.75" customHeight="1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  <c r="AE719" s="121"/>
      <c r="AF719" s="121"/>
      <c r="AG719" s="121"/>
      <c r="AH719" s="121"/>
      <c r="AI719" s="121"/>
      <c r="AJ719" s="121"/>
      <c r="AK719" s="121"/>
    </row>
    <row r="720" ht="15.75" customHeight="1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  <c r="AE720" s="121"/>
      <c r="AF720" s="121"/>
      <c r="AG720" s="121"/>
      <c r="AH720" s="121"/>
      <c r="AI720" s="121"/>
      <c r="AJ720" s="121"/>
      <c r="AK720" s="121"/>
    </row>
    <row r="721" ht="15.75" customHeight="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  <c r="AD721" s="121"/>
      <c r="AE721" s="121"/>
      <c r="AF721" s="121"/>
      <c r="AG721" s="121"/>
      <c r="AH721" s="121"/>
      <c r="AI721" s="121"/>
      <c r="AJ721" s="121"/>
      <c r="AK721" s="121"/>
    </row>
    <row r="722" ht="15.75" customHeight="1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  <c r="AD722" s="121"/>
      <c r="AE722" s="121"/>
      <c r="AF722" s="121"/>
      <c r="AG722" s="121"/>
      <c r="AH722" s="121"/>
      <c r="AI722" s="121"/>
      <c r="AJ722" s="121"/>
      <c r="AK722" s="121"/>
    </row>
    <row r="723" ht="15.75" customHeight="1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  <c r="AD723" s="121"/>
      <c r="AE723" s="121"/>
      <c r="AF723" s="121"/>
      <c r="AG723" s="121"/>
      <c r="AH723" s="121"/>
      <c r="AI723" s="121"/>
      <c r="AJ723" s="121"/>
      <c r="AK723" s="121"/>
    </row>
    <row r="724" ht="15.75" customHeight="1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  <c r="AD724" s="121"/>
      <c r="AE724" s="121"/>
      <c r="AF724" s="121"/>
      <c r="AG724" s="121"/>
      <c r="AH724" s="121"/>
      <c r="AI724" s="121"/>
      <c r="AJ724" s="121"/>
      <c r="AK724" s="121"/>
    </row>
    <row r="725" ht="15.75" customHeight="1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  <c r="AD725" s="121"/>
      <c r="AE725" s="121"/>
      <c r="AF725" s="121"/>
      <c r="AG725" s="121"/>
      <c r="AH725" s="121"/>
      <c r="AI725" s="121"/>
      <c r="AJ725" s="121"/>
      <c r="AK725" s="121"/>
    </row>
    <row r="726" ht="15.75" customHeight="1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  <c r="AD726" s="121"/>
      <c r="AE726" s="121"/>
      <c r="AF726" s="121"/>
      <c r="AG726" s="121"/>
      <c r="AH726" s="121"/>
      <c r="AI726" s="121"/>
      <c r="AJ726" s="121"/>
      <c r="AK726" s="121"/>
    </row>
    <row r="727" ht="15.75" customHeight="1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  <c r="AE727" s="121"/>
      <c r="AF727" s="121"/>
      <c r="AG727" s="121"/>
      <c r="AH727" s="121"/>
      <c r="AI727" s="121"/>
      <c r="AJ727" s="121"/>
      <c r="AK727" s="121"/>
    </row>
    <row r="728" ht="15.75" customHeight="1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</row>
    <row r="729" ht="15.75" customHeight="1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</row>
    <row r="730" ht="15.75" customHeight="1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  <c r="AD730" s="121"/>
      <c r="AE730" s="121"/>
      <c r="AF730" s="121"/>
      <c r="AG730" s="121"/>
      <c r="AH730" s="121"/>
      <c r="AI730" s="121"/>
      <c r="AJ730" s="121"/>
      <c r="AK730" s="121"/>
    </row>
    <row r="731" ht="15.75" customHeight="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1"/>
    </row>
    <row r="732" ht="15.75" customHeight="1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</row>
    <row r="733" ht="15.75" customHeight="1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</row>
    <row r="734" ht="15.75" customHeight="1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</row>
    <row r="735" ht="15.75" customHeight="1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</row>
    <row r="736" ht="15.75" customHeight="1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</row>
    <row r="737" ht="15.75" customHeight="1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</row>
    <row r="738" ht="15.75" customHeight="1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</row>
    <row r="739" ht="15.75" customHeight="1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</row>
    <row r="740" ht="15.75" customHeight="1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</row>
    <row r="741" ht="15.75" customHeight="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</row>
    <row r="742" ht="15.75" customHeight="1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  <c r="AE742" s="121"/>
      <c r="AF742" s="121"/>
      <c r="AG742" s="121"/>
      <c r="AH742" s="121"/>
      <c r="AI742" s="121"/>
      <c r="AJ742" s="121"/>
      <c r="AK742" s="121"/>
    </row>
    <row r="743" ht="15.75" customHeight="1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  <c r="AD743" s="121"/>
      <c r="AE743" s="121"/>
      <c r="AF743" s="121"/>
      <c r="AG743" s="121"/>
      <c r="AH743" s="121"/>
      <c r="AI743" s="121"/>
      <c r="AJ743" s="121"/>
      <c r="AK743" s="121"/>
    </row>
    <row r="744" ht="15.75" customHeight="1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  <c r="AD744" s="121"/>
      <c r="AE744" s="121"/>
      <c r="AF744" s="121"/>
      <c r="AG744" s="121"/>
      <c r="AH744" s="121"/>
      <c r="AI744" s="121"/>
      <c r="AJ744" s="121"/>
      <c r="AK744" s="121"/>
    </row>
    <row r="745" ht="15.75" customHeight="1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  <c r="AE745" s="121"/>
      <c r="AF745" s="121"/>
      <c r="AG745" s="121"/>
      <c r="AH745" s="121"/>
      <c r="AI745" s="121"/>
      <c r="AJ745" s="121"/>
      <c r="AK745" s="121"/>
    </row>
    <row r="746" ht="15.75" customHeight="1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  <c r="AE746" s="121"/>
      <c r="AF746" s="121"/>
      <c r="AG746" s="121"/>
      <c r="AH746" s="121"/>
      <c r="AI746" s="121"/>
      <c r="AJ746" s="121"/>
      <c r="AK746" s="121"/>
    </row>
    <row r="747" ht="15.75" customHeight="1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  <c r="AE747" s="121"/>
      <c r="AF747" s="121"/>
      <c r="AG747" s="121"/>
      <c r="AH747" s="121"/>
      <c r="AI747" s="121"/>
      <c r="AJ747" s="121"/>
      <c r="AK747" s="121"/>
    </row>
    <row r="748" ht="15.75" customHeight="1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  <c r="AE748" s="121"/>
      <c r="AF748" s="121"/>
      <c r="AG748" s="121"/>
      <c r="AH748" s="121"/>
      <c r="AI748" s="121"/>
      <c r="AJ748" s="121"/>
      <c r="AK748" s="121"/>
    </row>
    <row r="749" ht="15.75" customHeight="1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  <c r="AE749" s="121"/>
      <c r="AF749" s="121"/>
      <c r="AG749" s="121"/>
      <c r="AH749" s="121"/>
      <c r="AI749" s="121"/>
      <c r="AJ749" s="121"/>
      <c r="AK749" s="121"/>
    </row>
    <row r="750" ht="15.75" customHeight="1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  <c r="AE750" s="121"/>
      <c r="AF750" s="121"/>
      <c r="AG750" s="121"/>
      <c r="AH750" s="121"/>
      <c r="AI750" s="121"/>
      <c r="AJ750" s="121"/>
      <c r="AK750" s="121"/>
    </row>
    <row r="751" ht="15.75" customHeight="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  <c r="AE751" s="121"/>
      <c r="AF751" s="121"/>
      <c r="AG751" s="121"/>
      <c r="AH751" s="121"/>
      <c r="AI751" s="121"/>
      <c r="AJ751" s="121"/>
      <c r="AK751" s="121"/>
    </row>
    <row r="752" ht="15.75" customHeight="1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  <c r="AD752" s="121"/>
      <c r="AE752" s="121"/>
      <c r="AF752" s="121"/>
      <c r="AG752" s="121"/>
      <c r="AH752" s="121"/>
      <c r="AI752" s="121"/>
      <c r="AJ752" s="121"/>
      <c r="AK752" s="121"/>
    </row>
    <row r="753" ht="15.75" customHeight="1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  <c r="AD753" s="121"/>
      <c r="AE753" s="121"/>
      <c r="AF753" s="121"/>
      <c r="AG753" s="121"/>
      <c r="AH753" s="121"/>
      <c r="AI753" s="121"/>
      <c r="AJ753" s="121"/>
      <c r="AK753" s="121"/>
    </row>
    <row r="754" ht="15.75" customHeight="1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  <c r="AD754" s="121"/>
      <c r="AE754" s="121"/>
      <c r="AF754" s="121"/>
      <c r="AG754" s="121"/>
      <c r="AH754" s="121"/>
      <c r="AI754" s="121"/>
      <c r="AJ754" s="121"/>
      <c r="AK754" s="121"/>
    </row>
    <row r="755" ht="15.75" customHeight="1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  <c r="AE755" s="121"/>
      <c r="AF755" s="121"/>
      <c r="AG755" s="121"/>
      <c r="AH755" s="121"/>
      <c r="AI755" s="121"/>
      <c r="AJ755" s="121"/>
      <c r="AK755" s="121"/>
    </row>
    <row r="756" ht="15.75" customHeight="1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  <c r="AE756" s="121"/>
      <c r="AF756" s="121"/>
      <c r="AG756" s="121"/>
      <c r="AH756" s="121"/>
      <c r="AI756" s="121"/>
      <c r="AJ756" s="121"/>
      <c r="AK756" s="121"/>
    </row>
    <row r="757" ht="15.75" customHeight="1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  <c r="AE757" s="121"/>
      <c r="AF757" s="121"/>
      <c r="AG757" s="121"/>
      <c r="AH757" s="121"/>
      <c r="AI757" s="121"/>
      <c r="AJ757" s="121"/>
      <c r="AK757" s="121"/>
    </row>
    <row r="758" ht="15.75" customHeight="1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  <c r="AE758" s="121"/>
      <c r="AF758" s="121"/>
      <c r="AG758" s="121"/>
      <c r="AH758" s="121"/>
      <c r="AI758" s="121"/>
      <c r="AJ758" s="121"/>
      <c r="AK758" s="121"/>
    </row>
    <row r="759" ht="15.75" customHeight="1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  <c r="AE759" s="121"/>
      <c r="AF759" s="121"/>
      <c r="AG759" s="121"/>
      <c r="AH759" s="121"/>
      <c r="AI759" s="121"/>
      <c r="AJ759" s="121"/>
      <c r="AK759" s="121"/>
    </row>
    <row r="760" ht="15.75" customHeight="1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  <c r="AE760" s="121"/>
      <c r="AF760" s="121"/>
      <c r="AG760" s="121"/>
      <c r="AH760" s="121"/>
      <c r="AI760" s="121"/>
      <c r="AJ760" s="121"/>
      <c r="AK760" s="121"/>
    </row>
    <row r="761" ht="15.75" customHeight="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  <c r="AE761" s="121"/>
      <c r="AF761" s="121"/>
      <c r="AG761" s="121"/>
      <c r="AH761" s="121"/>
      <c r="AI761" s="121"/>
      <c r="AJ761" s="121"/>
      <c r="AK761" s="121"/>
    </row>
    <row r="762" ht="15.75" customHeight="1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  <c r="AE762" s="121"/>
      <c r="AF762" s="121"/>
      <c r="AG762" s="121"/>
      <c r="AH762" s="121"/>
      <c r="AI762" s="121"/>
      <c r="AJ762" s="121"/>
      <c r="AK762" s="121"/>
    </row>
    <row r="763" ht="15.75" customHeight="1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  <c r="AD763" s="121"/>
      <c r="AE763" s="121"/>
      <c r="AF763" s="121"/>
      <c r="AG763" s="121"/>
      <c r="AH763" s="121"/>
      <c r="AI763" s="121"/>
      <c r="AJ763" s="121"/>
      <c r="AK763" s="121"/>
    </row>
    <row r="764" ht="15.75" customHeight="1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  <c r="AD764" s="121"/>
      <c r="AE764" s="121"/>
      <c r="AF764" s="121"/>
      <c r="AG764" s="121"/>
      <c r="AH764" s="121"/>
      <c r="AI764" s="121"/>
      <c r="AJ764" s="121"/>
      <c r="AK764" s="121"/>
    </row>
    <row r="765" ht="15.75" customHeight="1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  <c r="AE765" s="121"/>
      <c r="AF765" s="121"/>
      <c r="AG765" s="121"/>
      <c r="AH765" s="121"/>
      <c r="AI765" s="121"/>
      <c r="AJ765" s="121"/>
      <c r="AK765" s="121"/>
    </row>
    <row r="766" ht="15.75" customHeight="1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</row>
    <row r="767" ht="15.75" customHeight="1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</row>
    <row r="768" ht="15.75" customHeight="1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  <c r="AE768" s="121"/>
      <c r="AF768" s="121"/>
      <c r="AG768" s="121"/>
      <c r="AH768" s="121"/>
      <c r="AI768" s="121"/>
      <c r="AJ768" s="121"/>
      <c r="AK768" s="121"/>
    </row>
    <row r="769" ht="15.75" customHeight="1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1"/>
    </row>
    <row r="770" ht="15.75" customHeight="1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</row>
    <row r="771" ht="15.75" customHeight="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</row>
    <row r="772" ht="15.75" customHeight="1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</row>
    <row r="773" ht="15.75" customHeight="1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</row>
    <row r="774" ht="15.75" customHeight="1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</row>
    <row r="775" ht="15.75" customHeight="1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</row>
    <row r="776" ht="15.75" customHeight="1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</row>
    <row r="777" ht="15.75" customHeight="1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</row>
    <row r="778" ht="15.75" customHeight="1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</row>
    <row r="779" ht="15.75" customHeight="1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</row>
    <row r="780" ht="15.75" customHeight="1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  <c r="AE780" s="121"/>
      <c r="AF780" s="121"/>
      <c r="AG780" s="121"/>
      <c r="AH780" s="121"/>
      <c r="AI780" s="121"/>
      <c r="AJ780" s="121"/>
      <c r="AK780" s="121"/>
    </row>
    <row r="781" ht="15.75" customHeight="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  <c r="AE781" s="121"/>
      <c r="AF781" s="121"/>
      <c r="AG781" s="121"/>
      <c r="AH781" s="121"/>
      <c r="AI781" s="121"/>
      <c r="AJ781" s="121"/>
      <c r="AK781" s="121"/>
    </row>
    <row r="782" ht="15.75" customHeight="1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  <c r="AE782" s="121"/>
      <c r="AF782" s="121"/>
      <c r="AG782" s="121"/>
      <c r="AH782" s="121"/>
      <c r="AI782" s="121"/>
      <c r="AJ782" s="121"/>
      <c r="AK782" s="121"/>
    </row>
    <row r="783" ht="15.75" customHeight="1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  <c r="AE783" s="121"/>
      <c r="AF783" s="121"/>
      <c r="AG783" s="121"/>
      <c r="AH783" s="121"/>
      <c r="AI783" s="121"/>
      <c r="AJ783" s="121"/>
      <c r="AK783" s="121"/>
    </row>
    <row r="784" ht="15.75" customHeight="1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  <c r="AE784" s="121"/>
      <c r="AF784" s="121"/>
      <c r="AG784" s="121"/>
      <c r="AH784" s="121"/>
      <c r="AI784" s="121"/>
      <c r="AJ784" s="121"/>
      <c r="AK784" s="121"/>
    </row>
    <row r="785" ht="15.75" customHeight="1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  <c r="AE785" s="121"/>
      <c r="AF785" s="121"/>
      <c r="AG785" s="121"/>
      <c r="AH785" s="121"/>
      <c r="AI785" s="121"/>
      <c r="AJ785" s="121"/>
      <c r="AK785" s="121"/>
    </row>
    <row r="786" ht="15.75" customHeight="1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  <c r="AE786" s="121"/>
      <c r="AF786" s="121"/>
      <c r="AG786" s="121"/>
      <c r="AH786" s="121"/>
      <c r="AI786" s="121"/>
      <c r="AJ786" s="121"/>
      <c r="AK786" s="121"/>
    </row>
    <row r="787" ht="15.75" customHeight="1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  <c r="AE787" s="121"/>
      <c r="AF787" s="121"/>
      <c r="AG787" s="121"/>
      <c r="AH787" s="121"/>
      <c r="AI787" s="121"/>
      <c r="AJ787" s="121"/>
      <c r="AK787" s="121"/>
    </row>
    <row r="788" ht="15.75" customHeight="1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  <c r="AD788" s="121"/>
      <c r="AE788" s="121"/>
      <c r="AF788" s="121"/>
      <c r="AG788" s="121"/>
      <c r="AH788" s="121"/>
      <c r="AI788" s="121"/>
      <c r="AJ788" s="121"/>
      <c r="AK788" s="121"/>
    </row>
    <row r="789" ht="15.75" customHeight="1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  <c r="AE789" s="121"/>
      <c r="AF789" s="121"/>
      <c r="AG789" s="121"/>
      <c r="AH789" s="121"/>
      <c r="AI789" s="121"/>
      <c r="AJ789" s="121"/>
      <c r="AK789" s="121"/>
    </row>
    <row r="790" ht="15.75" customHeight="1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  <c r="AE790" s="121"/>
      <c r="AF790" s="121"/>
      <c r="AG790" s="121"/>
      <c r="AH790" s="121"/>
      <c r="AI790" s="121"/>
      <c r="AJ790" s="121"/>
      <c r="AK790" s="121"/>
    </row>
    <row r="791" ht="15.75" customHeight="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  <c r="AD791" s="121"/>
      <c r="AE791" s="121"/>
      <c r="AF791" s="121"/>
      <c r="AG791" s="121"/>
      <c r="AH791" s="121"/>
      <c r="AI791" s="121"/>
      <c r="AJ791" s="121"/>
      <c r="AK791" s="121"/>
    </row>
    <row r="792" ht="15.75" customHeight="1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  <c r="AD792" s="121"/>
      <c r="AE792" s="121"/>
      <c r="AF792" s="121"/>
      <c r="AG792" s="121"/>
      <c r="AH792" s="121"/>
      <c r="AI792" s="121"/>
      <c r="AJ792" s="121"/>
      <c r="AK792" s="121"/>
    </row>
    <row r="793" ht="15.75" customHeight="1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  <c r="AE793" s="121"/>
      <c r="AF793" s="121"/>
      <c r="AG793" s="121"/>
      <c r="AH793" s="121"/>
      <c r="AI793" s="121"/>
      <c r="AJ793" s="121"/>
      <c r="AK793" s="121"/>
    </row>
    <row r="794" ht="15.75" customHeight="1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  <c r="AD794" s="121"/>
      <c r="AE794" s="121"/>
      <c r="AF794" s="121"/>
      <c r="AG794" s="121"/>
      <c r="AH794" s="121"/>
      <c r="AI794" s="121"/>
      <c r="AJ794" s="121"/>
      <c r="AK794" s="121"/>
    </row>
    <row r="795" ht="15.75" customHeight="1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  <c r="AD795" s="121"/>
      <c r="AE795" s="121"/>
      <c r="AF795" s="121"/>
      <c r="AG795" s="121"/>
      <c r="AH795" s="121"/>
      <c r="AI795" s="121"/>
      <c r="AJ795" s="121"/>
      <c r="AK795" s="121"/>
    </row>
    <row r="796" ht="15.75" customHeight="1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  <c r="AD796" s="121"/>
      <c r="AE796" s="121"/>
      <c r="AF796" s="121"/>
      <c r="AG796" s="121"/>
      <c r="AH796" s="121"/>
      <c r="AI796" s="121"/>
      <c r="AJ796" s="121"/>
      <c r="AK796" s="121"/>
    </row>
    <row r="797" ht="15.75" customHeight="1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  <c r="AD797" s="121"/>
      <c r="AE797" s="121"/>
      <c r="AF797" s="121"/>
      <c r="AG797" s="121"/>
      <c r="AH797" s="121"/>
      <c r="AI797" s="121"/>
      <c r="AJ797" s="121"/>
      <c r="AK797" s="121"/>
    </row>
    <row r="798" ht="15.75" customHeight="1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  <c r="AD798" s="121"/>
      <c r="AE798" s="121"/>
      <c r="AF798" s="121"/>
      <c r="AG798" s="121"/>
      <c r="AH798" s="121"/>
      <c r="AI798" s="121"/>
      <c r="AJ798" s="121"/>
      <c r="AK798" s="121"/>
    </row>
    <row r="799" ht="15.75" customHeight="1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  <c r="AD799" s="121"/>
      <c r="AE799" s="121"/>
      <c r="AF799" s="121"/>
      <c r="AG799" s="121"/>
      <c r="AH799" s="121"/>
      <c r="AI799" s="121"/>
      <c r="AJ799" s="121"/>
      <c r="AK799" s="121"/>
    </row>
    <row r="800" ht="15.75" customHeight="1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  <c r="AE800" s="121"/>
      <c r="AF800" s="121"/>
      <c r="AG800" s="121"/>
      <c r="AH800" s="121"/>
      <c r="AI800" s="121"/>
      <c r="AJ800" s="121"/>
      <c r="AK800" s="121"/>
    </row>
    <row r="801" ht="15.75" customHeight="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  <c r="AE801" s="121"/>
      <c r="AF801" s="121"/>
      <c r="AG801" s="121"/>
      <c r="AH801" s="121"/>
      <c r="AI801" s="121"/>
      <c r="AJ801" s="121"/>
      <c r="AK801" s="121"/>
    </row>
    <row r="802" ht="15.75" customHeight="1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  <c r="AE802" s="121"/>
      <c r="AF802" s="121"/>
      <c r="AG802" s="121"/>
      <c r="AH802" s="121"/>
      <c r="AI802" s="121"/>
      <c r="AJ802" s="121"/>
      <c r="AK802" s="121"/>
    </row>
    <row r="803" ht="15.75" customHeight="1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  <c r="AE803" s="121"/>
      <c r="AF803" s="121"/>
      <c r="AG803" s="121"/>
      <c r="AH803" s="121"/>
      <c r="AI803" s="121"/>
      <c r="AJ803" s="121"/>
      <c r="AK803" s="121"/>
    </row>
    <row r="804" ht="15.75" customHeight="1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</row>
    <row r="805" ht="15.75" customHeight="1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</row>
    <row r="806" ht="15.75" customHeight="1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  <c r="AE806" s="121"/>
      <c r="AF806" s="121"/>
      <c r="AG806" s="121"/>
      <c r="AH806" s="121"/>
      <c r="AI806" s="121"/>
      <c r="AJ806" s="121"/>
      <c r="AK806" s="121"/>
    </row>
    <row r="807" ht="15.75" customHeight="1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1"/>
    </row>
    <row r="808" ht="15.75" customHeight="1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</row>
    <row r="809" ht="15.75" customHeight="1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</row>
    <row r="810" ht="15.75" customHeight="1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</row>
    <row r="811" ht="15.75" customHeight="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</row>
    <row r="812" ht="15.75" customHeight="1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</row>
    <row r="813" ht="15.75" customHeight="1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</row>
    <row r="814" ht="15.75" customHeight="1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</row>
    <row r="815" ht="15.75" customHeight="1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</row>
    <row r="816" ht="15.75" customHeight="1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</row>
    <row r="817" ht="15.75" customHeight="1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</row>
    <row r="818" ht="15.75" customHeight="1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  <c r="AD818" s="121"/>
      <c r="AE818" s="121"/>
      <c r="AF818" s="121"/>
      <c r="AG818" s="121"/>
      <c r="AH818" s="121"/>
      <c r="AI818" s="121"/>
      <c r="AJ818" s="121"/>
      <c r="AK818" s="121"/>
    </row>
    <row r="819" ht="15.75" customHeight="1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  <c r="AD819" s="121"/>
      <c r="AE819" s="121"/>
      <c r="AF819" s="121"/>
      <c r="AG819" s="121"/>
      <c r="AH819" s="121"/>
      <c r="AI819" s="121"/>
      <c r="AJ819" s="121"/>
      <c r="AK819" s="121"/>
    </row>
    <row r="820" ht="15.75" customHeight="1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  <c r="AD820" s="121"/>
      <c r="AE820" s="121"/>
      <c r="AF820" s="121"/>
      <c r="AG820" s="121"/>
      <c r="AH820" s="121"/>
      <c r="AI820" s="121"/>
      <c r="AJ820" s="121"/>
      <c r="AK820" s="121"/>
    </row>
    <row r="821" ht="15.75" customHeight="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  <c r="AD821" s="121"/>
      <c r="AE821" s="121"/>
      <c r="AF821" s="121"/>
      <c r="AG821" s="121"/>
      <c r="AH821" s="121"/>
      <c r="AI821" s="121"/>
      <c r="AJ821" s="121"/>
      <c r="AK821" s="121"/>
    </row>
    <row r="822" ht="15.75" customHeight="1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  <c r="AE822" s="121"/>
      <c r="AF822" s="121"/>
      <c r="AG822" s="121"/>
      <c r="AH822" s="121"/>
      <c r="AI822" s="121"/>
      <c r="AJ822" s="121"/>
      <c r="AK822" s="121"/>
    </row>
    <row r="823" ht="15.75" customHeight="1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  <c r="AE823" s="121"/>
      <c r="AF823" s="121"/>
      <c r="AG823" s="121"/>
      <c r="AH823" s="121"/>
      <c r="AI823" s="121"/>
      <c r="AJ823" s="121"/>
      <c r="AK823" s="121"/>
    </row>
    <row r="824" ht="15.75" customHeight="1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  <c r="AE824" s="121"/>
      <c r="AF824" s="121"/>
      <c r="AG824" s="121"/>
      <c r="AH824" s="121"/>
      <c r="AI824" s="121"/>
      <c r="AJ824" s="121"/>
      <c r="AK824" s="121"/>
    </row>
    <row r="825" ht="15.75" customHeight="1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  <c r="AE825" s="121"/>
      <c r="AF825" s="121"/>
      <c r="AG825" s="121"/>
      <c r="AH825" s="121"/>
      <c r="AI825" s="121"/>
      <c r="AJ825" s="121"/>
      <c r="AK825" s="121"/>
    </row>
    <row r="826" ht="15.75" customHeight="1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  <c r="AE826" s="121"/>
      <c r="AF826" s="121"/>
      <c r="AG826" s="121"/>
      <c r="AH826" s="121"/>
      <c r="AI826" s="121"/>
      <c r="AJ826" s="121"/>
      <c r="AK826" s="121"/>
    </row>
    <row r="827" ht="15.75" customHeight="1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  <c r="AE827" s="121"/>
      <c r="AF827" s="121"/>
      <c r="AG827" s="121"/>
      <c r="AH827" s="121"/>
      <c r="AI827" s="121"/>
      <c r="AJ827" s="121"/>
      <c r="AK827" s="121"/>
    </row>
    <row r="828" ht="15.75" customHeight="1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  <c r="AE828" s="121"/>
      <c r="AF828" s="121"/>
      <c r="AG828" s="121"/>
      <c r="AH828" s="121"/>
      <c r="AI828" s="121"/>
      <c r="AJ828" s="121"/>
      <c r="AK828" s="121"/>
    </row>
    <row r="829" ht="15.75" customHeight="1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  <c r="AD829" s="121"/>
      <c r="AE829" s="121"/>
      <c r="AF829" s="121"/>
      <c r="AG829" s="121"/>
      <c r="AH829" s="121"/>
      <c r="AI829" s="121"/>
      <c r="AJ829" s="121"/>
      <c r="AK829" s="121"/>
    </row>
    <row r="830" ht="15.75" customHeight="1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  <c r="AD830" s="121"/>
      <c r="AE830" s="121"/>
      <c r="AF830" s="121"/>
      <c r="AG830" s="121"/>
      <c r="AH830" s="121"/>
      <c r="AI830" s="121"/>
      <c r="AJ830" s="121"/>
      <c r="AK830" s="121"/>
    </row>
    <row r="831" ht="15.75" customHeight="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  <c r="AE831" s="121"/>
      <c r="AF831" s="121"/>
      <c r="AG831" s="121"/>
      <c r="AH831" s="121"/>
      <c r="AI831" s="121"/>
      <c r="AJ831" s="121"/>
      <c r="AK831" s="121"/>
    </row>
    <row r="832" ht="15.75" customHeight="1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  <c r="AE832" s="121"/>
      <c r="AF832" s="121"/>
      <c r="AG832" s="121"/>
      <c r="AH832" s="121"/>
      <c r="AI832" s="121"/>
      <c r="AJ832" s="121"/>
      <c r="AK832" s="121"/>
    </row>
    <row r="833" ht="15.75" customHeight="1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  <c r="AD833" s="121"/>
      <c r="AE833" s="121"/>
      <c r="AF833" s="121"/>
      <c r="AG833" s="121"/>
      <c r="AH833" s="121"/>
      <c r="AI833" s="121"/>
      <c r="AJ833" s="121"/>
      <c r="AK833" s="121"/>
    </row>
    <row r="834" ht="15.75" customHeight="1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  <c r="AE834" s="121"/>
      <c r="AF834" s="121"/>
      <c r="AG834" s="121"/>
      <c r="AH834" s="121"/>
      <c r="AI834" s="121"/>
      <c r="AJ834" s="121"/>
      <c r="AK834" s="121"/>
    </row>
    <row r="835" ht="15.75" customHeight="1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  <c r="AD835" s="121"/>
      <c r="AE835" s="121"/>
      <c r="AF835" s="121"/>
      <c r="AG835" s="121"/>
      <c r="AH835" s="121"/>
      <c r="AI835" s="121"/>
      <c r="AJ835" s="121"/>
      <c r="AK835" s="121"/>
    </row>
    <row r="836" ht="15.75" customHeight="1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  <c r="AE836" s="121"/>
      <c r="AF836" s="121"/>
      <c r="AG836" s="121"/>
      <c r="AH836" s="121"/>
      <c r="AI836" s="121"/>
      <c r="AJ836" s="121"/>
      <c r="AK836" s="121"/>
    </row>
    <row r="837" ht="15.75" customHeight="1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  <c r="AE837" s="121"/>
      <c r="AF837" s="121"/>
      <c r="AG837" s="121"/>
      <c r="AH837" s="121"/>
      <c r="AI837" s="121"/>
      <c r="AJ837" s="121"/>
      <c r="AK837" s="121"/>
    </row>
    <row r="838" ht="15.75" customHeight="1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  <c r="AE838" s="121"/>
      <c r="AF838" s="121"/>
      <c r="AG838" s="121"/>
      <c r="AH838" s="121"/>
      <c r="AI838" s="121"/>
      <c r="AJ838" s="121"/>
      <c r="AK838" s="121"/>
    </row>
    <row r="839" ht="15.75" customHeight="1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  <c r="AE839" s="121"/>
      <c r="AF839" s="121"/>
      <c r="AG839" s="121"/>
      <c r="AH839" s="121"/>
      <c r="AI839" s="121"/>
      <c r="AJ839" s="121"/>
      <c r="AK839" s="121"/>
    </row>
    <row r="840" ht="15.75" customHeight="1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  <c r="AE840" s="121"/>
      <c r="AF840" s="121"/>
      <c r="AG840" s="121"/>
      <c r="AH840" s="121"/>
      <c r="AI840" s="121"/>
      <c r="AJ840" s="121"/>
      <c r="AK840" s="121"/>
    </row>
    <row r="841" ht="15.75" customHeight="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  <c r="AE841" s="121"/>
      <c r="AF841" s="121"/>
      <c r="AG841" s="121"/>
      <c r="AH841" s="121"/>
      <c r="AI841" s="121"/>
      <c r="AJ841" s="121"/>
      <c r="AK841" s="121"/>
    </row>
    <row r="842" ht="15.75" customHeight="1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</row>
    <row r="843" ht="15.75" customHeight="1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</row>
    <row r="844" ht="15.75" customHeight="1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  <c r="AE844" s="121"/>
      <c r="AF844" s="121"/>
      <c r="AG844" s="121"/>
      <c r="AH844" s="121"/>
      <c r="AI844" s="121"/>
      <c r="AJ844" s="121"/>
      <c r="AK844" s="121"/>
    </row>
    <row r="845" ht="15.75" customHeight="1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1"/>
    </row>
    <row r="846" ht="15.75" customHeight="1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</row>
    <row r="847" ht="15.75" customHeight="1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</row>
    <row r="848" ht="15.75" customHeight="1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</row>
    <row r="849" ht="15.75" customHeight="1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</row>
    <row r="850" ht="15.75" customHeight="1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</row>
    <row r="851" ht="15.75" customHeight="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</row>
    <row r="852" ht="15.75" customHeight="1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</row>
    <row r="853" ht="15.75" customHeight="1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</row>
    <row r="854" ht="15.75" customHeight="1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</row>
    <row r="855" ht="15.75" customHeight="1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</row>
    <row r="856" ht="15.75" customHeight="1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  <c r="AD856" s="121"/>
      <c r="AE856" s="121"/>
      <c r="AF856" s="121"/>
      <c r="AG856" s="121"/>
      <c r="AH856" s="121"/>
      <c r="AI856" s="121"/>
      <c r="AJ856" s="121"/>
      <c r="AK856" s="121"/>
    </row>
    <row r="857" ht="15.75" customHeight="1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  <c r="AD857" s="121"/>
      <c r="AE857" s="121"/>
      <c r="AF857" s="121"/>
      <c r="AG857" s="121"/>
      <c r="AH857" s="121"/>
      <c r="AI857" s="121"/>
      <c r="AJ857" s="121"/>
      <c r="AK857" s="121"/>
    </row>
    <row r="858" ht="15.75" customHeight="1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  <c r="AD858" s="121"/>
      <c r="AE858" s="121"/>
      <c r="AF858" s="121"/>
      <c r="AG858" s="121"/>
      <c r="AH858" s="121"/>
      <c r="AI858" s="121"/>
      <c r="AJ858" s="121"/>
      <c r="AK858" s="121"/>
    </row>
    <row r="859" ht="15.75" customHeight="1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  <c r="AD859" s="121"/>
      <c r="AE859" s="121"/>
      <c r="AF859" s="121"/>
      <c r="AG859" s="121"/>
      <c r="AH859" s="121"/>
      <c r="AI859" s="121"/>
      <c r="AJ859" s="121"/>
      <c r="AK859" s="121"/>
    </row>
    <row r="860" ht="15.75" customHeight="1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  <c r="AD860" s="121"/>
      <c r="AE860" s="121"/>
      <c r="AF860" s="121"/>
      <c r="AG860" s="121"/>
      <c r="AH860" s="121"/>
      <c r="AI860" s="121"/>
      <c r="AJ860" s="121"/>
      <c r="AK860" s="121"/>
    </row>
    <row r="861" ht="15.75" customHeight="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  <c r="AD861" s="121"/>
      <c r="AE861" s="121"/>
      <c r="AF861" s="121"/>
      <c r="AG861" s="121"/>
      <c r="AH861" s="121"/>
      <c r="AI861" s="121"/>
      <c r="AJ861" s="121"/>
      <c r="AK861" s="121"/>
    </row>
    <row r="862" ht="15.75" customHeight="1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  <c r="AD862" s="121"/>
      <c r="AE862" s="121"/>
      <c r="AF862" s="121"/>
      <c r="AG862" s="121"/>
      <c r="AH862" s="121"/>
      <c r="AI862" s="121"/>
      <c r="AJ862" s="121"/>
      <c r="AK862" s="121"/>
    </row>
    <row r="863" ht="15.75" customHeight="1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  <c r="AD863" s="121"/>
      <c r="AE863" s="121"/>
      <c r="AF863" s="121"/>
      <c r="AG863" s="121"/>
      <c r="AH863" s="121"/>
      <c r="AI863" s="121"/>
      <c r="AJ863" s="121"/>
      <c r="AK863" s="121"/>
    </row>
    <row r="864" ht="15.75" customHeight="1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  <c r="AD864" s="121"/>
      <c r="AE864" s="121"/>
      <c r="AF864" s="121"/>
      <c r="AG864" s="121"/>
      <c r="AH864" s="121"/>
      <c r="AI864" s="121"/>
      <c r="AJ864" s="121"/>
      <c r="AK864" s="121"/>
    </row>
    <row r="865" ht="15.75" customHeight="1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  <c r="AD865" s="121"/>
      <c r="AE865" s="121"/>
      <c r="AF865" s="121"/>
      <c r="AG865" s="121"/>
      <c r="AH865" s="121"/>
      <c r="AI865" s="121"/>
      <c r="AJ865" s="121"/>
      <c r="AK865" s="121"/>
    </row>
    <row r="866" ht="15.75" customHeight="1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  <c r="AD866" s="121"/>
      <c r="AE866" s="121"/>
      <c r="AF866" s="121"/>
      <c r="AG866" s="121"/>
      <c r="AH866" s="121"/>
      <c r="AI866" s="121"/>
      <c r="AJ866" s="121"/>
      <c r="AK866" s="121"/>
    </row>
    <row r="867" ht="15.75" customHeight="1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  <c r="AD867" s="121"/>
      <c r="AE867" s="121"/>
      <c r="AF867" s="121"/>
      <c r="AG867" s="121"/>
      <c r="AH867" s="121"/>
      <c r="AI867" s="121"/>
      <c r="AJ867" s="121"/>
      <c r="AK867" s="121"/>
    </row>
    <row r="868" ht="15.75" customHeight="1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  <c r="AE868" s="121"/>
      <c r="AF868" s="121"/>
      <c r="AG868" s="121"/>
      <c r="AH868" s="121"/>
      <c r="AI868" s="121"/>
      <c r="AJ868" s="121"/>
      <c r="AK868" s="121"/>
    </row>
    <row r="869" ht="15.75" customHeight="1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  <c r="AD869" s="121"/>
      <c r="AE869" s="121"/>
      <c r="AF869" s="121"/>
      <c r="AG869" s="121"/>
      <c r="AH869" s="121"/>
      <c r="AI869" s="121"/>
      <c r="AJ869" s="121"/>
      <c r="AK869" s="121"/>
    </row>
    <row r="870" ht="15.75" customHeight="1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  <c r="AD870" s="121"/>
      <c r="AE870" s="121"/>
      <c r="AF870" s="121"/>
      <c r="AG870" s="121"/>
      <c r="AH870" s="121"/>
      <c r="AI870" s="121"/>
      <c r="AJ870" s="121"/>
      <c r="AK870" s="121"/>
    </row>
    <row r="871" ht="15.75" customHeight="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  <c r="AE871" s="121"/>
      <c r="AF871" s="121"/>
      <c r="AG871" s="121"/>
      <c r="AH871" s="121"/>
      <c r="AI871" s="121"/>
      <c r="AJ871" s="121"/>
      <c r="AK871" s="121"/>
    </row>
    <row r="872" ht="15.75" customHeight="1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  <c r="AE872" s="121"/>
      <c r="AF872" s="121"/>
      <c r="AG872" s="121"/>
      <c r="AH872" s="121"/>
      <c r="AI872" s="121"/>
      <c r="AJ872" s="121"/>
      <c r="AK872" s="121"/>
    </row>
    <row r="873" ht="15.75" customHeight="1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  <c r="AE873" s="121"/>
      <c r="AF873" s="121"/>
      <c r="AG873" s="121"/>
      <c r="AH873" s="121"/>
      <c r="AI873" s="121"/>
      <c r="AJ873" s="121"/>
      <c r="AK873" s="121"/>
    </row>
    <row r="874" ht="15.75" customHeight="1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  <c r="AE874" s="121"/>
      <c r="AF874" s="121"/>
      <c r="AG874" s="121"/>
      <c r="AH874" s="121"/>
      <c r="AI874" s="121"/>
      <c r="AJ874" s="121"/>
      <c r="AK874" s="121"/>
    </row>
    <row r="875" ht="15.75" customHeight="1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  <c r="AE875" s="121"/>
      <c r="AF875" s="121"/>
      <c r="AG875" s="121"/>
      <c r="AH875" s="121"/>
      <c r="AI875" s="121"/>
      <c r="AJ875" s="121"/>
      <c r="AK875" s="121"/>
    </row>
    <row r="876" ht="15.75" customHeight="1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  <c r="AE876" s="121"/>
      <c r="AF876" s="121"/>
      <c r="AG876" s="121"/>
      <c r="AH876" s="121"/>
      <c r="AI876" s="121"/>
      <c r="AJ876" s="121"/>
      <c r="AK876" s="121"/>
    </row>
    <row r="877" ht="15.75" customHeight="1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  <c r="AE877" s="121"/>
      <c r="AF877" s="121"/>
      <c r="AG877" s="121"/>
      <c r="AH877" s="121"/>
      <c r="AI877" s="121"/>
      <c r="AJ877" s="121"/>
      <c r="AK877" s="121"/>
    </row>
    <row r="878" ht="15.75" customHeight="1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  <c r="AE878" s="121"/>
      <c r="AF878" s="121"/>
      <c r="AG878" s="121"/>
      <c r="AH878" s="121"/>
      <c r="AI878" s="121"/>
      <c r="AJ878" s="121"/>
      <c r="AK878" s="121"/>
    </row>
    <row r="879" ht="15.75" customHeight="1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  <c r="AD879" s="121"/>
      <c r="AE879" s="121"/>
      <c r="AF879" s="121"/>
      <c r="AG879" s="121"/>
      <c r="AH879" s="121"/>
      <c r="AI879" s="121"/>
      <c r="AJ879" s="121"/>
      <c r="AK879" s="121"/>
    </row>
    <row r="880" ht="15.75" customHeight="1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</row>
    <row r="881" ht="15.75" customHeight="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</row>
    <row r="882" ht="15.75" customHeight="1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  <c r="AE882" s="121"/>
      <c r="AF882" s="121"/>
      <c r="AG882" s="121"/>
      <c r="AH882" s="121"/>
      <c r="AI882" s="121"/>
      <c r="AJ882" s="121"/>
      <c r="AK882" s="121"/>
    </row>
    <row r="883" ht="15.75" customHeight="1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1"/>
    </row>
    <row r="884" ht="15.75" customHeight="1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</row>
    <row r="885" ht="15.75" customHeight="1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</row>
    <row r="886" ht="15.75" customHeight="1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</row>
    <row r="887" ht="15.75" customHeight="1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</row>
    <row r="888" ht="15.75" customHeight="1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</row>
    <row r="889" ht="15.75" customHeight="1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</row>
    <row r="890" ht="15.75" customHeight="1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</row>
    <row r="891" ht="15.75" customHeight="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</row>
    <row r="892" ht="15.75" customHeight="1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</row>
    <row r="893" ht="15.75" customHeight="1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</row>
    <row r="894" ht="15.75" customHeight="1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  <c r="AD894" s="121"/>
      <c r="AE894" s="121"/>
      <c r="AF894" s="121"/>
      <c r="AG894" s="121"/>
      <c r="AH894" s="121"/>
      <c r="AI894" s="121"/>
      <c r="AJ894" s="121"/>
      <c r="AK894" s="121"/>
    </row>
    <row r="895" ht="15.75" customHeight="1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  <c r="AE895" s="121"/>
      <c r="AF895" s="121"/>
      <c r="AG895" s="121"/>
      <c r="AH895" s="121"/>
      <c r="AI895" s="121"/>
      <c r="AJ895" s="121"/>
      <c r="AK895" s="121"/>
    </row>
    <row r="896" ht="15.75" customHeight="1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  <c r="AD896" s="121"/>
      <c r="AE896" s="121"/>
      <c r="AF896" s="121"/>
      <c r="AG896" s="121"/>
      <c r="AH896" s="121"/>
      <c r="AI896" s="121"/>
      <c r="AJ896" s="121"/>
      <c r="AK896" s="121"/>
    </row>
    <row r="897" ht="15.75" customHeight="1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  <c r="AD897" s="121"/>
      <c r="AE897" s="121"/>
      <c r="AF897" s="121"/>
      <c r="AG897" s="121"/>
      <c r="AH897" s="121"/>
      <c r="AI897" s="121"/>
      <c r="AJ897" s="121"/>
      <c r="AK897" s="121"/>
    </row>
    <row r="898" ht="15.75" customHeight="1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  <c r="AD898" s="121"/>
      <c r="AE898" s="121"/>
      <c r="AF898" s="121"/>
      <c r="AG898" s="121"/>
      <c r="AH898" s="121"/>
      <c r="AI898" s="121"/>
      <c r="AJ898" s="121"/>
      <c r="AK898" s="121"/>
    </row>
    <row r="899" ht="15.75" customHeight="1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  <c r="AD899" s="121"/>
      <c r="AE899" s="121"/>
      <c r="AF899" s="121"/>
      <c r="AG899" s="121"/>
      <c r="AH899" s="121"/>
      <c r="AI899" s="121"/>
      <c r="AJ899" s="121"/>
      <c r="AK899" s="121"/>
    </row>
    <row r="900" ht="15.75" customHeight="1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  <c r="AE900" s="121"/>
      <c r="AF900" s="121"/>
      <c r="AG900" s="121"/>
      <c r="AH900" s="121"/>
      <c r="AI900" s="121"/>
      <c r="AJ900" s="121"/>
      <c r="AK900" s="121"/>
    </row>
    <row r="901" ht="15.75" customHeight="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  <c r="AD901" s="121"/>
      <c r="AE901" s="121"/>
      <c r="AF901" s="121"/>
      <c r="AG901" s="121"/>
      <c r="AH901" s="121"/>
      <c r="AI901" s="121"/>
      <c r="AJ901" s="121"/>
      <c r="AK901" s="121"/>
    </row>
    <row r="902" ht="15.75" customHeight="1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  <c r="AD902" s="121"/>
      <c r="AE902" s="121"/>
      <c r="AF902" s="121"/>
      <c r="AG902" s="121"/>
      <c r="AH902" s="121"/>
      <c r="AI902" s="121"/>
      <c r="AJ902" s="121"/>
      <c r="AK902" s="121"/>
    </row>
    <row r="903" ht="15.75" customHeight="1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  <c r="AD903" s="121"/>
      <c r="AE903" s="121"/>
      <c r="AF903" s="121"/>
      <c r="AG903" s="121"/>
      <c r="AH903" s="121"/>
      <c r="AI903" s="121"/>
      <c r="AJ903" s="121"/>
      <c r="AK903" s="121"/>
    </row>
    <row r="904" ht="15.75" customHeight="1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  <c r="AD904" s="121"/>
      <c r="AE904" s="121"/>
      <c r="AF904" s="121"/>
      <c r="AG904" s="121"/>
      <c r="AH904" s="121"/>
      <c r="AI904" s="121"/>
      <c r="AJ904" s="121"/>
      <c r="AK904" s="121"/>
    </row>
    <row r="905" ht="15.75" customHeight="1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  <c r="AD905" s="121"/>
      <c r="AE905" s="121"/>
      <c r="AF905" s="121"/>
      <c r="AG905" s="121"/>
      <c r="AH905" s="121"/>
      <c r="AI905" s="121"/>
      <c r="AJ905" s="121"/>
      <c r="AK905" s="121"/>
    </row>
    <row r="906" ht="15.75" customHeight="1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  <c r="AD906" s="121"/>
      <c r="AE906" s="121"/>
      <c r="AF906" s="121"/>
      <c r="AG906" s="121"/>
      <c r="AH906" s="121"/>
      <c r="AI906" s="121"/>
      <c r="AJ906" s="121"/>
      <c r="AK906" s="121"/>
    </row>
    <row r="907" ht="15.75" customHeight="1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  <c r="AD907" s="121"/>
      <c r="AE907" s="121"/>
      <c r="AF907" s="121"/>
      <c r="AG907" s="121"/>
      <c r="AH907" s="121"/>
      <c r="AI907" s="121"/>
      <c r="AJ907" s="121"/>
      <c r="AK907" s="121"/>
    </row>
    <row r="908" ht="15.75" customHeight="1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  <c r="AD908" s="121"/>
      <c r="AE908" s="121"/>
      <c r="AF908" s="121"/>
      <c r="AG908" s="121"/>
      <c r="AH908" s="121"/>
      <c r="AI908" s="121"/>
      <c r="AJ908" s="121"/>
      <c r="AK908" s="121"/>
    </row>
    <row r="909" ht="15.75" customHeight="1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  <c r="AD909" s="121"/>
      <c r="AE909" s="121"/>
      <c r="AF909" s="121"/>
      <c r="AG909" s="121"/>
      <c r="AH909" s="121"/>
      <c r="AI909" s="121"/>
      <c r="AJ909" s="121"/>
      <c r="AK909" s="121"/>
    </row>
    <row r="910" ht="15.75" customHeight="1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  <c r="AD910" s="121"/>
      <c r="AE910" s="121"/>
      <c r="AF910" s="121"/>
      <c r="AG910" s="121"/>
      <c r="AH910" s="121"/>
      <c r="AI910" s="121"/>
      <c r="AJ910" s="121"/>
      <c r="AK910" s="121"/>
    </row>
    <row r="911" ht="15.75" customHeight="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  <c r="AD911" s="121"/>
      <c r="AE911" s="121"/>
      <c r="AF911" s="121"/>
      <c r="AG911" s="121"/>
      <c r="AH911" s="121"/>
      <c r="AI911" s="121"/>
      <c r="AJ911" s="121"/>
      <c r="AK911" s="121"/>
    </row>
    <row r="912" ht="15.75" customHeight="1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  <c r="AD912" s="121"/>
      <c r="AE912" s="121"/>
      <c r="AF912" s="121"/>
      <c r="AG912" s="121"/>
      <c r="AH912" s="121"/>
      <c r="AI912" s="121"/>
      <c r="AJ912" s="121"/>
      <c r="AK912" s="121"/>
    </row>
    <row r="913" ht="15.75" customHeight="1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  <c r="AD913" s="121"/>
      <c r="AE913" s="121"/>
      <c r="AF913" s="121"/>
      <c r="AG913" s="121"/>
      <c r="AH913" s="121"/>
      <c r="AI913" s="121"/>
      <c r="AJ913" s="121"/>
      <c r="AK913" s="121"/>
    </row>
    <row r="914" ht="15.75" customHeight="1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  <c r="AD914" s="121"/>
      <c r="AE914" s="121"/>
      <c r="AF914" s="121"/>
      <c r="AG914" s="121"/>
      <c r="AH914" s="121"/>
      <c r="AI914" s="121"/>
      <c r="AJ914" s="121"/>
      <c r="AK914" s="121"/>
    </row>
    <row r="915" ht="15.75" customHeight="1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  <c r="AD915" s="121"/>
      <c r="AE915" s="121"/>
      <c r="AF915" s="121"/>
      <c r="AG915" s="121"/>
      <c r="AH915" s="121"/>
      <c r="AI915" s="121"/>
      <c r="AJ915" s="121"/>
      <c r="AK915" s="121"/>
    </row>
    <row r="916" ht="15.75" customHeight="1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  <c r="AD916" s="121"/>
      <c r="AE916" s="121"/>
      <c r="AF916" s="121"/>
      <c r="AG916" s="121"/>
      <c r="AH916" s="121"/>
      <c r="AI916" s="121"/>
      <c r="AJ916" s="121"/>
      <c r="AK916" s="121"/>
    </row>
    <row r="917" ht="15.75" customHeight="1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  <c r="AD917" s="121"/>
      <c r="AE917" s="121"/>
      <c r="AF917" s="121"/>
      <c r="AG917" s="121"/>
      <c r="AH917" s="121"/>
      <c r="AI917" s="121"/>
      <c r="AJ917" s="121"/>
      <c r="AK917" s="121"/>
    </row>
    <row r="918" ht="15.75" customHeight="1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</row>
    <row r="919" ht="15.75" customHeight="1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</row>
    <row r="920" ht="15.75" customHeight="1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  <c r="AD920" s="121"/>
      <c r="AE920" s="121"/>
      <c r="AF920" s="121"/>
      <c r="AG920" s="121"/>
      <c r="AH920" s="121"/>
      <c r="AI920" s="121"/>
      <c r="AJ920" s="121"/>
      <c r="AK920" s="121"/>
    </row>
    <row r="921" ht="15.75" customHeight="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1"/>
    </row>
    <row r="922" ht="15.75" customHeight="1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</row>
    <row r="923" ht="15.75" customHeight="1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</row>
    <row r="924" ht="15.75" customHeight="1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</row>
    <row r="925" ht="15.75" customHeight="1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</row>
    <row r="926" ht="15.75" customHeight="1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</row>
    <row r="927" ht="15.75" customHeight="1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</row>
    <row r="928" ht="15.75" customHeight="1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</row>
    <row r="929" ht="15.75" customHeight="1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</row>
    <row r="930" ht="15.75" customHeight="1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</row>
    <row r="931" ht="15.75" customHeight="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</row>
    <row r="932" ht="15.75" customHeight="1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  <c r="AE932" s="121"/>
      <c r="AF932" s="121"/>
      <c r="AG932" s="121"/>
      <c r="AH932" s="121"/>
      <c r="AI932" s="121"/>
      <c r="AJ932" s="121"/>
      <c r="AK932" s="121"/>
    </row>
    <row r="933" ht="15.75" customHeight="1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  <c r="AE933" s="121"/>
      <c r="AF933" s="121"/>
      <c r="AG933" s="121"/>
      <c r="AH933" s="121"/>
      <c r="AI933" s="121"/>
      <c r="AJ933" s="121"/>
      <c r="AK933" s="121"/>
    </row>
    <row r="934" ht="15.75" customHeight="1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  <c r="AE934" s="121"/>
      <c r="AF934" s="121"/>
      <c r="AG934" s="121"/>
      <c r="AH934" s="121"/>
      <c r="AI934" s="121"/>
      <c r="AJ934" s="121"/>
      <c r="AK934" s="121"/>
    </row>
    <row r="935" ht="15.75" customHeight="1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  <c r="AE935" s="121"/>
      <c r="AF935" s="121"/>
      <c r="AG935" s="121"/>
      <c r="AH935" s="121"/>
      <c r="AI935" s="121"/>
      <c r="AJ935" s="121"/>
      <c r="AK935" s="121"/>
    </row>
    <row r="936" ht="15.75" customHeight="1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  <c r="AE936" s="121"/>
      <c r="AF936" s="121"/>
      <c r="AG936" s="121"/>
      <c r="AH936" s="121"/>
      <c r="AI936" s="121"/>
      <c r="AJ936" s="121"/>
      <c r="AK936" s="121"/>
    </row>
    <row r="937" ht="15.75" customHeight="1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  <c r="AE937" s="121"/>
      <c r="AF937" s="121"/>
      <c r="AG937" s="121"/>
      <c r="AH937" s="121"/>
      <c r="AI937" s="121"/>
      <c r="AJ937" s="121"/>
      <c r="AK937" s="121"/>
    </row>
    <row r="938" ht="15.75" customHeight="1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  <c r="AE938" s="121"/>
      <c r="AF938" s="121"/>
      <c r="AG938" s="121"/>
      <c r="AH938" s="121"/>
      <c r="AI938" s="121"/>
      <c r="AJ938" s="121"/>
      <c r="AK938" s="121"/>
    </row>
    <row r="939" ht="15.75" customHeight="1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  <c r="AE939" s="121"/>
      <c r="AF939" s="121"/>
      <c r="AG939" s="121"/>
      <c r="AH939" s="121"/>
      <c r="AI939" s="121"/>
      <c r="AJ939" s="121"/>
      <c r="AK939" s="121"/>
    </row>
    <row r="940" ht="15.75" customHeight="1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  <c r="AE940" s="121"/>
      <c r="AF940" s="121"/>
      <c r="AG940" s="121"/>
      <c r="AH940" s="121"/>
      <c r="AI940" s="121"/>
      <c r="AJ940" s="121"/>
      <c r="AK940" s="121"/>
    </row>
    <row r="941" ht="15.75" customHeight="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  <c r="AE941" s="121"/>
      <c r="AF941" s="121"/>
      <c r="AG941" s="121"/>
      <c r="AH941" s="121"/>
      <c r="AI941" s="121"/>
      <c r="AJ941" s="121"/>
      <c r="AK941" s="121"/>
    </row>
    <row r="942" ht="15.75" customHeight="1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  <c r="AE942" s="121"/>
      <c r="AF942" s="121"/>
      <c r="AG942" s="121"/>
      <c r="AH942" s="121"/>
      <c r="AI942" s="121"/>
      <c r="AJ942" s="121"/>
      <c r="AK942" s="121"/>
    </row>
    <row r="943" ht="15.75" customHeight="1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  <c r="AE943" s="121"/>
      <c r="AF943" s="121"/>
      <c r="AG943" s="121"/>
      <c r="AH943" s="121"/>
      <c r="AI943" s="121"/>
      <c r="AJ943" s="121"/>
      <c r="AK943" s="121"/>
    </row>
    <row r="944" ht="15.75" customHeight="1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  <c r="AE944" s="121"/>
      <c r="AF944" s="121"/>
      <c r="AG944" s="121"/>
      <c r="AH944" s="121"/>
      <c r="AI944" s="121"/>
      <c r="AJ944" s="121"/>
      <c r="AK944" s="121"/>
    </row>
    <row r="945" ht="15.75" customHeight="1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  <c r="AE945" s="121"/>
      <c r="AF945" s="121"/>
      <c r="AG945" s="121"/>
      <c r="AH945" s="121"/>
      <c r="AI945" s="121"/>
      <c r="AJ945" s="121"/>
      <c r="AK945" s="121"/>
    </row>
    <row r="946" ht="15.75" customHeight="1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  <c r="AE946" s="121"/>
      <c r="AF946" s="121"/>
      <c r="AG946" s="121"/>
      <c r="AH946" s="121"/>
      <c r="AI946" s="121"/>
      <c r="AJ946" s="121"/>
      <c r="AK946" s="121"/>
    </row>
    <row r="947" ht="15.75" customHeight="1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  <c r="AE947" s="121"/>
      <c r="AF947" s="121"/>
      <c r="AG947" s="121"/>
      <c r="AH947" s="121"/>
      <c r="AI947" s="121"/>
      <c r="AJ947" s="121"/>
      <c r="AK947" s="121"/>
    </row>
    <row r="948" ht="15.75" customHeight="1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  <c r="AE948" s="121"/>
      <c r="AF948" s="121"/>
      <c r="AG948" s="121"/>
      <c r="AH948" s="121"/>
      <c r="AI948" s="121"/>
      <c r="AJ948" s="121"/>
      <c r="AK948" s="121"/>
    </row>
    <row r="949" ht="15.75" customHeight="1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  <c r="AD949" s="121"/>
      <c r="AE949" s="121"/>
      <c r="AF949" s="121"/>
      <c r="AG949" s="121"/>
      <c r="AH949" s="121"/>
      <c r="AI949" s="121"/>
      <c r="AJ949" s="121"/>
      <c r="AK949" s="121"/>
    </row>
    <row r="950" ht="15.75" customHeight="1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  <c r="AC950" s="121"/>
      <c r="AD950" s="121"/>
      <c r="AE950" s="121"/>
      <c r="AF950" s="121"/>
      <c r="AG950" s="121"/>
      <c r="AH950" s="121"/>
      <c r="AI950" s="121"/>
      <c r="AJ950" s="121"/>
      <c r="AK950" s="121"/>
    </row>
    <row r="951" ht="15.75" customHeight="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  <c r="AC951" s="121"/>
      <c r="AD951" s="121"/>
      <c r="AE951" s="121"/>
      <c r="AF951" s="121"/>
      <c r="AG951" s="121"/>
      <c r="AH951" s="121"/>
      <c r="AI951" s="121"/>
      <c r="AJ951" s="121"/>
      <c r="AK951" s="121"/>
    </row>
    <row r="952" ht="15.75" customHeight="1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  <c r="AC952" s="121"/>
      <c r="AD952" s="121"/>
      <c r="AE952" s="121"/>
      <c r="AF952" s="121"/>
      <c r="AG952" s="121"/>
      <c r="AH952" s="121"/>
      <c r="AI952" s="121"/>
      <c r="AJ952" s="121"/>
      <c r="AK952" s="121"/>
    </row>
    <row r="953" ht="15.75" customHeight="1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  <c r="AC953" s="121"/>
      <c r="AD953" s="121"/>
      <c r="AE953" s="121"/>
      <c r="AF953" s="121"/>
      <c r="AG953" s="121"/>
      <c r="AH953" s="121"/>
      <c r="AI953" s="121"/>
      <c r="AJ953" s="121"/>
      <c r="AK953" s="121"/>
    </row>
    <row r="954" ht="15.75" customHeight="1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  <c r="AC954" s="121"/>
      <c r="AD954" s="121"/>
      <c r="AE954" s="121"/>
      <c r="AF954" s="121"/>
      <c r="AG954" s="121"/>
      <c r="AH954" s="121"/>
      <c r="AI954" s="121"/>
      <c r="AJ954" s="121"/>
      <c r="AK954" s="121"/>
    </row>
    <row r="955" ht="15.75" customHeight="1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  <c r="AC955" s="121"/>
      <c r="AD955" s="121"/>
      <c r="AE955" s="121"/>
      <c r="AF955" s="121"/>
      <c r="AG955" s="121"/>
      <c r="AH955" s="121"/>
      <c r="AI955" s="121"/>
      <c r="AJ955" s="121"/>
      <c r="AK955" s="121"/>
    </row>
    <row r="956" ht="15.75" customHeight="1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</row>
    <row r="957" ht="15.75" customHeight="1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</row>
    <row r="958" ht="15.75" customHeight="1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  <c r="AC958" s="121"/>
      <c r="AD958" s="121"/>
      <c r="AE958" s="121"/>
      <c r="AF958" s="121"/>
      <c r="AG958" s="121"/>
      <c r="AH958" s="121"/>
      <c r="AI958" s="121"/>
      <c r="AJ958" s="121"/>
      <c r="AK958" s="121"/>
    </row>
    <row r="959" ht="15.75" customHeight="1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1"/>
    </row>
    <row r="960" ht="15.75" customHeight="1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</row>
    <row r="961" ht="15.75" customHeight="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</row>
    <row r="962" ht="15.75" customHeight="1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</row>
    <row r="963" ht="15.75" customHeight="1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</row>
    <row r="964" ht="15.75" customHeight="1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</row>
    <row r="965" ht="15.75" customHeight="1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</row>
    <row r="966" ht="15.75" customHeight="1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</row>
    <row r="967" ht="15.75" customHeight="1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</row>
    <row r="968" ht="15.75" customHeight="1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</row>
    <row r="969" ht="15.75" customHeight="1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</row>
    <row r="970" ht="15.75" customHeight="1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  <c r="AC970" s="121"/>
      <c r="AD970" s="121"/>
      <c r="AE970" s="121"/>
      <c r="AF970" s="121"/>
      <c r="AG970" s="121"/>
      <c r="AH970" s="121"/>
      <c r="AI970" s="121"/>
      <c r="AJ970" s="121"/>
      <c r="AK970" s="121"/>
    </row>
    <row r="971" ht="15.75" customHeight="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  <c r="AC971" s="121"/>
      <c r="AD971" s="121"/>
      <c r="AE971" s="121"/>
      <c r="AF971" s="121"/>
      <c r="AG971" s="121"/>
      <c r="AH971" s="121"/>
      <c r="AI971" s="121"/>
      <c r="AJ971" s="121"/>
      <c r="AK971" s="121"/>
    </row>
    <row r="972" ht="15.75" customHeight="1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  <c r="AC972" s="121"/>
      <c r="AD972" s="121"/>
      <c r="AE972" s="121"/>
      <c r="AF972" s="121"/>
      <c r="AG972" s="121"/>
      <c r="AH972" s="121"/>
      <c r="AI972" s="121"/>
      <c r="AJ972" s="121"/>
      <c r="AK972" s="121"/>
    </row>
    <row r="973" ht="15.75" customHeight="1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  <c r="AC973" s="121"/>
      <c r="AD973" s="121"/>
      <c r="AE973" s="121"/>
      <c r="AF973" s="121"/>
      <c r="AG973" s="121"/>
      <c r="AH973" s="121"/>
      <c r="AI973" s="121"/>
      <c r="AJ973" s="121"/>
      <c r="AK973" s="121"/>
    </row>
    <row r="974" ht="15.75" customHeight="1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  <c r="AC974" s="121"/>
      <c r="AD974" s="121"/>
      <c r="AE974" s="121"/>
      <c r="AF974" s="121"/>
      <c r="AG974" s="121"/>
      <c r="AH974" s="121"/>
      <c r="AI974" s="121"/>
      <c r="AJ974" s="121"/>
      <c r="AK974" s="121"/>
    </row>
    <row r="975" ht="15.75" customHeight="1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  <c r="AC975" s="121"/>
      <c r="AD975" s="121"/>
      <c r="AE975" s="121"/>
      <c r="AF975" s="121"/>
      <c r="AG975" s="121"/>
      <c r="AH975" s="121"/>
      <c r="AI975" s="121"/>
      <c r="AJ975" s="121"/>
      <c r="AK975" s="121"/>
    </row>
    <row r="976" ht="15.75" customHeight="1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  <c r="AC976" s="121"/>
      <c r="AD976" s="121"/>
      <c r="AE976" s="121"/>
      <c r="AF976" s="121"/>
      <c r="AG976" s="121"/>
      <c r="AH976" s="121"/>
      <c r="AI976" s="121"/>
      <c r="AJ976" s="121"/>
      <c r="AK976" s="121"/>
    </row>
    <row r="977" ht="15.75" customHeight="1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  <c r="AC977" s="121"/>
      <c r="AD977" s="121"/>
      <c r="AE977" s="121"/>
      <c r="AF977" s="121"/>
      <c r="AG977" s="121"/>
      <c r="AH977" s="121"/>
      <c r="AI977" s="121"/>
      <c r="AJ977" s="121"/>
      <c r="AK977" s="121"/>
    </row>
    <row r="978" ht="15.75" customHeight="1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  <c r="AC978" s="121"/>
      <c r="AD978" s="121"/>
      <c r="AE978" s="121"/>
      <c r="AF978" s="121"/>
      <c r="AG978" s="121"/>
      <c r="AH978" s="121"/>
      <c r="AI978" s="121"/>
      <c r="AJ978" s="121"/>
      <c r="AK978" s="121"/>
    </row>
    <row r="979" ht="15.75" customHeight="1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  <c r="AC979" s="121"/>
      <c r="AD979" s="121"/>
      <c r="AE979" s="121"/>
      <c r="AF979" s="121"/>
      <c r="AG979" s="121"/>
      <c r="AH979" s="121"/>
      <c r="AI979" s="121"/>
      <c r="AJ979" s="121"/>
      <c r="AK979" s="121"/>
    </row>
    <row r="980" ht="15.75" customHeight="1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  <c r="AC980" s="121"/>
      <c r="AD980" s="121"/>
      <c r="AE980" s="121"/>
      <c r="AF980" s="121"/>
      <c r="AG980" s="121"/>
      <c r="AH980" s="121"/>
      <c r="AI980" s="121"/>
      <c r="AJ980" s="121"/>
      <c r="AK980" s="121"/>
    </row>
    <row r="981" ht="15.75" customHeight="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  <c r="AB981" s="121"/>
      <c r="AC981" s="121"/>
      <c r="AD981" s="121"/>
      <c r="AE981" s="121"/>
      <c r="AF981" s="121"/>
      <c r="AG981" s="121"/>
      <c r="AH981" s="121"/>
      <c r="AI981" s="121"/>
      <c r="AJ981" s="121"/>
      <c r="AK981" s="121"/>
    </row>
    <row r="982" ht="15.75" customHeight="1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  <c r="AB982" s="121"/>
      <c r="AC982" s="121"/>
      <c r="AD982" s="121"/>
      <c r="AE982" s="121"/>
      <c r="AF982" s="121"/>
      <c r="AG982" s="121"/>
      <c r="AH982" s="121"/>
      <c r="AI982" s="121"/>
      <c r="AJ982" s="121"/>
      <c r="AK982" s="121"/>
    </row>
    <row r="983" ht="15.75" customHeight="1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  <c r="AB983" s="121"/>
      <c r="AC983" s="121"/>
      <c r="AD983" s="121"/>
      <c r="AE983" s="121"/>
      <c r="AF983" s="121"/>
      <c r="AG983" s="121"/>
      <c r="AH983" s="121"/>
      <c r="AI983" s="121"/>
      <c r="AJ983" s="121"/>
      <c r="AK983" s="121"/>
    </row>
    <row r="984" ht="15.75" customHeight="1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  <c r="AB984" s="121"/>
      <c r="AC984" s="121"/>
      <c r="AD984" s="121"/>
      <c r="AE984" s="121"/>
      <c r="AF984" s="121"/>
      <c r="AG984" s="121"/>
      <c r="AH984" s="121"/>
      <c r="AI984" s="121"/>
      <c r="AJ984" s="121"/>
      <c r="AK984" s="121"/>
    </row>
    <row r="985" ht="15.75" customHeight="1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  <c r="AB985" s="121"/>
      <c r="AC985" s="121"/>
      <c r="AD985" s="121"/>
      <c r="AE985" s="121"/>
      <c r="AF985" s="121"/>
      <c r="AG985" s="121"/>
      <c r="AH985" s="121"/>
      <c r="AI985" s="121"/>
      <c r="AJ985" s="121"/>
      <c r="AK985" s="121"/>
    </row>
    <row r="986" ht="15.75" customHeight="1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  <c r="AB986" s="121"/>
      <c r="AC986" s="121"/>
      <c r="AD986" s="121"/>
      <c r="AE986" s="121"/>
      <c r="AF986" s="121"/>
      <c r="AG986" s="121"/>
      <c r="AH986" s="121"/>
      <c r="AI986" s="121"/>
      <c r="AJ986" s="121"/>
      <c r="AK986" s="121"/>
    </row>
    <row r="987" ht="15.75" customHeight="1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  <c r="AB987" s="121"/>
      <c r="AC987" s="121"/>
      <c r="AD987" s="121"/>
      <c r="AE987" s="121"/>
      <c r="AF987" s="121"/>
      <c r="AG987" s="121"/>
      <c r="AH987" s="121"/>
      <c r="AI987" s="121"/>
      <c r="AJ987" s="121"/>
      <c r="AK987" s="121"/>
    </row>
    <row r="988" ht="15.75" customHeight="1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  <c r="AB988" s="121"/>
      <c r="AC988" s="121"/>
      <c r="AD988" s="121"/>
      <c r="AE988" s="121"/>
      <c r="AF988" s="121"/>
      <c r="AG988" s="121"/>
      <c r="AH988" s="121"/>
      <c r="AI988" s="121"/>
      <c r="AJ988" s="121"/>
      <c r="AK988" s="121"/>
    </row>
    <row r="989" ht="15.75" customHeight="1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  <c r="AA989" s="121"/>
      <c r="AB989" s="121"/>
      <c r="AC989" s="121"/>
      <c r="AD989" s="121"/>
      <c r="AE989" s="121"/>
      <c r="AF989" s="121"/>
      <c r="AG989" s="121"/>
      <c r="AH989" s="121"/>
      <c r="AI989" s="121"/>
      <c r="AJ989" s="121"/>
      <c r="AK989" s="121"/>
    </row>
    <row r="990" ht="15.75" customHeight="1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  <c r="AA990" s="121"/>
      <c r="AB990" s="121"/>
      <c r="AC990" s="121"/>
      <c r="AD990" s="121"/>
      <c r="AE990" s="121"/>
      <c r="AF990" s="121"/>
      <c r="AG990" s="121"/>
      <c r="AH990" s="121"/>
      <c r="AI990" s="121"/>
      <c r="AJ990" s="121"/>
      <c r="AK990" s="121"/>
    </row>
    <row r="991" ht="15.75" customHeight="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  <c r="AA991" s="121"/>
      <c r="AB991" s="121"/>
      <c r="AC991" s="121"/>
      <c r="AD991" s="121"/>
      <c r="AE991" s="121"/>
      <c r="AF991" s="121"/>
      <c r="AG991" s="121"/>
      <c r="AH991" s="121"/>
      <c r="AI991" s="121"/>
      <c r="AJ991" s="121"/>
      <c r="AK991" s="121"/>
    </row>
    <row r="992" ht="15.75" customHeight="1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  <c r="AA992" s="121"/>
      <c r="AB992" s="121"/>
      <c r="AC992" s="121"/>
      <c r="AD992" s="121"/>
      <c r="AE992" s="121"/>
      <c r="AF992" s="121"/>
      <c r="AG992" s="121"/>
      <c r="AH992" s="121"/>
      <c r="AI992" s="121"/>
      <c r="AJ992" s="121"/>
      <c r="AK992" s="121"/>
    </row>
    <row r="993" ht="15.75" customHeight="1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  <c r="AA993" s="121"/>
      <c r="AB993" s="121"/>
      <c r="AC993" s="121"/>
      <c r="AD993" s="121"/>
      <c r="AE993" s="121"/>
      <c r="AF993" s="121"/>
      <c r="AG993" s="121"/>
      <c r="AH993" s="121"/>
      <c r="AI993" s="121"/>
      <c r="AJ993" s="121"/>
      <c r="AK993" s="121"/>
    </row>
    <row r="994" ht="15.75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</row>
    <row r="995" ht="15.75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</row>
    <row r="996" ht="15.75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  <c r="AA996" s="121"/>
      <c r="AB996" s="121"/>
      <c r="AC996" s="121"/>
      <c r="AD996" s="121"/>
      <c r="AE996" s="121"/>
      <c r="AF996" s="121"/>
      <c r="AG996" s="121"/>
      <c r="AH996" s="121"/>
      <c r="AI996" s="121"/>
      <c r="AJ996" s="121"/>
      <c r="AK996" s="121"/>
    </row>
    <row r="997" ht="15.75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1"/>
    </row>
    <row r="998" ht="15.75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</row>
    <row r="999" ht="15.75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</row>
    <row r="1000" ht="15.75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</row>
  </sheetData>
  <mergeCells count="6">
    <mergeCell ref="B2:C4"/>
    <mergeCell ref="AB2:AF3"/>
    <mergeCell ref="AB4:AF5"/>
    <mergeCell ref="AB7:AF7"/>
    <mergeCell ref="F9:Z9"/>
    <mergeCell ref="AB10:AF17"/>
  </mergeCells>
  <dataValidations>
    <dataValidation type="list" allowBlank="1" sqref="C10:C59">
      <formula1>seznam_clenu_OVT!$A$2:$A$100</formula1>
    </dataValidation>
    <dataValidation type="list" allowBlank="1" showErrorMessage="1" sqref="F5:Z5">
      <formula1>pomocna_tabulka!$A$2:$A$3</formula1>
    </dataValidation>
    <dataValidation type="list" allowBlank="1" sqref="F10:Z59">
      <formula1>pomocna_tabulka!$B$2:$B$3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0.57"/>
    <col customWidth="1" min="3" max="4" width="21.57"/>
    <col customWidth="1" min="5" max="5" width="20.86"/>
    <col customWidth="1" min="6" max="15" width="14.29"/>
    <col customWidth="1" min="16" max="16" width="5.43"/>
    <col customWidth="1" min="17" max="21" width="9.14"/>
    <col customWidth="1" min="22" max="26" width="8.71"/>
  </cols>
  <sheetData>
    <row r="1" ht="7.5" customHeight="1">
      <c r="A1" s="174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4"/>
      <c r="Q1" s="175"/>
      <c r="R1" s="175"/>
      <c r="S1" s="175"/>
      <c r="T1" s="175"/>
      <c r="U1" s="175"/>
      <c r="V1" s="174"/>
      <c r="W1" s="174"/>
      <c r="X1" s="174"/>
      <c r="Y1" s="174"/>
      <c r="Z1" s="174"/>
    </row>
    <row r="2" ht="29.25" customHeight="1">
      <c r="A2" s="175"/>
      <c r="B2" s="176" t="s">
        <v>62</v>
      </c>
      <c r="C2" s="9"/>
      <c r="D2" s="23"/>
      <c r="E2" s="24" t="s">
        <v>3</v>
      </c>
      <c r="F2" s="25" t="s">
        <v>4</v>
      </c>
      <c r="G2" s="26" t="s">
        <v>63</v>
      </c>
      <c r="H2" s="25" t="s">
        <v>52</v>
      </c>
      <c r="I2" s="25" t="s">
        <v>53</v>
      </c>
      <c r="J2" s="25" t="s">
        <v>54</v>
      </c>
      <c r="K2" s="177" t="s">
        <v>55</v>
      </c>
      <c r="L2" s="25"/>
      <c r="M2" s="25"/>
      <c r="N2" s="25"/>
      <c r="O2" s="25"/>
      <c r="P2" s="175"/>
      <c r="Q2" s="178" t="s">
        <v>64</v>
      </c>
      <c r="R2" s="129"/>
      <c r="S2" s="129"/>
      <c r="T2" s="129"/>
      <c r="U2" s="130"/>
      <c r="V2" s="174"/>
      <c r="W2" s="174"/>
      <c r="X2" s="174"/>
      <c r="Y2" s="174"/>
      <c r="Z2" s="174"/>
    </row>
    <row r="3" ht="29.25" customHeight="1">
      <c r="A3" s="175"/>
      <c r="B3" s="132"/>
      <c r="C3" s="133"/>
      <c r="D3" s="23"/>
      <c r="E3" s="24" t="s">
        <v>5</v>
      </c>
      <c r="F3" s="25"/>
      <c r="G3" s="25"/>
      <c r="H3" s="31"/>
      <c r="I3" s="31"/>
      <c r="J3" s="31"/>
      <c r="K3" s="25"/>
      <c r="L3" s="25"/>
      <c r="M3" s="25"/>
      <c r="N3" s="25"/>
      <c r="O3" s="25"/>
      <c r="P3" s="175"/>
      <c r="Q3" s="135"/>
      <c r="R3" s="136"/>
      <c r="S3" s="136"/>
      <c r="T3" s="136"/>
      <c r="U3" s="137"/>
      <c r="V3" s="174"/>
      <c r="W3" s="174"/>
      <c r="X3" s="174"/>
      <c r="Y3" s="174"/>
      <c r="Z3" s="174"/>
    </row>
    <row r="4" ht="29.25" customHeight="1">
      <c r="A4" s="175"/>
      <c r="B4" s="138"/>
      <c r="C4" s="139"/>
      <c r="D4" s="23"/>
      <c r="E4" s="24" t="s">
        <v>7</v>
      </c>
      <c r="F4" s="31">
        <v>2000.0</v>
      </c>
      <c r="G4" s="31"/>
      <c r="H4" s="31"/>
      <c r="I4" s="31"/>
      <c r="J4" s="31"/>
      <c r="K4" s="31"/>
      <c r="L4" s="31"/>
      <c r="M4" s="31"/>
      <c r="N4" s="31"/>
      <c r="O4" s="31"/>
      <c r="P4" s="175"/>
      <c r="Q4" s="178" t="s">
        <v>65</v>
      </c>
      <c r="R4" s="129"/>
      <c r="S4" s="129"/>
      <c r="T4" s="129"/>
      <c r="U4" s="130"/>
      <c r="V4" s="174"/>
      <c r="W4" s="174"/>
      <c r="X4" s="174"/>
      <c r="Y4" s="174"/>
      <c r="Z4" s="174"/>
    </row>
    <row r="5" ht="22.5" customHeight="1">
      <c r="A5" s="175"/>
      <c r="B5" s="42" t="s">
        <v>8</v>
      </c>
      <c r="C5" s="179">
        <f>SUMIFS(F7:O7,F7:O7,"&gt;0")</f>
        <v>0</v>
      </c>
      <c r="D5" s="23"/>
      <c r="E5" s="35" t="s">
        <v>9</v>
      </c>
      <c r="F5" s="37" t="s">
        <v>10</v>
      </c>
      <c r="G5" s="36" t="s">
        <v>11</v>
      </c>
      <c r="H5" s="180" t="s">
        <v>10</v>
      </c>
      <c r="I5" s="180" t="s">
        <v>11</v>
      </c>
      <c r="J5" s="36" t="s">
        <v>11</v>
      </c>
      <c r="K5" s="36" t="s">
        <v>10</v>
      </c>
      <c r="L5" s="180"/>
      <c r="M5" s="180"/>
      <c r="N5" s="180"/>
      <c r="O5" s="180"/>
      <c r="P5" s="175"/>
      <c r="Q5" s="135"/>
      <c r="R5" s="136"/>
      <c r="S5" s="136"/>
      <c r="T5" s="136"/>
      <c r="U5" s="137"/>
      <c r="V5" s="174"/>
      <c r="W5" s="174"/>
      <c r="X5" s="174"/>
      <c r="Y5" s="174"/>
      <c r="Z5" s="174"/>
    </row>
    <row r="6" ht="31.5" customHeight="1">
      <c r="A6" s="175"/>
      <c r="B6" s="38" t="s">
        <v>12</v>
      </c>
      <c r="C6" s="179">
        <f>SUMIFS(F7:O7,F7:O7,"&lt;0")</f>
        <v>-2000</v>
      </c>
      <c r="D6" s="23"/>
      <c r="E6" s="40" t="s">
        <v>14</v>
      </c>
      <c r="F6" s="41">
        <f t="shared" ref="F6:O6" si="1">COUNTIFS(F10:F200,"&lt;&gt;",F10:F200,"&lt;&gt;-")</f>
        <v>5</v>
      </c>
      <c r="G6" s="41">
        <f t="shared" si="1"/>
        <v>2</v>
      </c>
      <c r="H6" s="41">
        <f t="shared" si="1"/>
        <v>0</v>
      </c>
      <c r="I6" s="41">
        <f t="shared" si="1"/>
        <v>0</v>
      </c>
      <c r="J6" s="41">
        <f t="shared" si="1"/>
        <v>0</v>
      </c>
      <c r="K6" s="41">
        <f t="shared" si="1"/>
        <v>0</v>
      </c>
      <c r="L6" s="41">
        <f t="shared" si="1"/>
        <v>0</v>
      </c>
      <c r="M6" s="41">
        <f t="shared" si="1"/>
        <v>0</v>
      </c>
      <c r="N6" s="41">
        <f t="shared" si="1"/>
        <v>0</v>
      </c>
      <c r="O6" s="41">
        <f t="shared" si="1"/>
        <v>0</v>
      </c>
      <c r="P6" s="174"/>
      <c r="Q6" s="175"/>
      <c r="R6" s="175"/>
      <c r="S6" s="175"/>
      <c r="T6" s="175"/>
      <c r="U6" s="175"/>
      <c r="V6" s="174"/>
      <c r="W6" s="174"/>
      <c r="X6" s="174"/>
      <c r="Y6" s="174"/>
      <c r="Z6" s="174"/>
    </row>
    <row r="7" ht="34.5" customHeight="1">
      <c r="A7" s="175"/>
      <c r="B7" s="42" t="s">
        <v>15</v>
      </c>
      <c r="C7" s="179">
        <f>SUM(E10:E200)</f>
        <v>-2000</v>
      </c>
      <c r="D7" s="23"/>
      <c r="E7" s="40" t="s">
        <v>16</v>
      </c>
      <c r="F7" s="43">
        <f t="shared" ref="F7:O7" si="2">IF(F5="A - Rozdělit",F3-F4,IF(F5="B - Na hlavu",(F3-F4)*F6,"0"))</f>
        <v>-2000</v>
      </c>
      <c r="G7" s="43">
        <f t="shared" si="2"/>
        <v>0</v>
      </c>
      <c r="H7" s="43">
        <f t="shared" si="2"/>
        <v>0</v>
      </c>
      <c r="I7" s="43">
        <f t="shared" si="2"/>
        <v>0</v>
      </c>
      <c r="J7" s="43">
        <f t="shared" si="2"/>
        <v>0</v>
      </c>
      <c r="K7" s="43">
        <f t="shared" si="2"/>
        <v>0</v>
      </c>
      <c r="L7" s="43" t="str">
        <f t="shared" si="2"/>
        <v>0</v>
      </c>
      <c r="M7" s="43" t="str">
        <f t="shared" si="2"/>
        <v>0</v>
      </c>
      <c r="N7" s="43" t="str">
        <f t="shared" si="2"/>
        <v>0</v>
      </c>
      <c r="O7" s="43" t="str">
        <f t="shared" si="2"/>
        <v>0</v>
      </c>
      <c r="P7" s="175"/>
      <c r="Q7" s="181" t="s">
        <v>58</v>
      </c>
      <c r="R7" s="152"/>
      <c r="S7" s="152"/>
      <c r="T7" s="152"/>
      <c r="U7" s="153"/>
      <c r="V7" s="174"/>
      <c r="W7" s="174"/>
      <c r="X7" s="174"/>
      <c r="Y7" s="174"/>
      <c r="Z7" s="174"/>
    </row>
    <row r="8" ht="34.5" customHeight="1">
      <c r="A8" s="175"/>
      <c r="B8" s="42" t="s">
        <v>17</v>
      </c>
      <c r="C8" s="179">
        <f>C7-C5-C6</f>
        <v>0</v>
      </c>
      <c r="D8" s="23"/>
      <c r="E8" s="40" t="s">
        <v>18</v>
      </c>
      <c r="F8" s="43">
        <f t="shared" ref="F8:O8" si="3">IF(F5="A - Rozdělit",(F3-F4)/F6,IF(F5="B - Na hlavu",F3-F4,"0"))</f>
        <v>-400</v>
      </c>
      <c r="G8" s="43">
        <f t="shared" si="3"/>
        <v>0</v>
      </c>
      <c r="H8" s="43" t="str">
        <f t="shared" si="3"/>
        <v>#DIV/0!</v>
      </c>
      <c r="I8" s="43">
        <f t="shared" si="3"/>
        <v>0</v>
      </c>
      <c r="J8" s="43">
        <f t="shared" si="3"/>
        <v>0</v>
      </c>
      <c r="K8" s="43" t="str">
        <f t="shared" si="3"/>
        <v>#DIV/0!</v>
      </c>
      <c r="L8" s="43" t="str">
        <f t="shared" si="3"/>
        <v>0</v>
      </c>
      <c r="M8" s="43" t="str">
        <f t="shared" si="3"/>
        <v>0</v>
      </c>
      <c r="N8" s="43" t="str">
        <f t="shared" si="3"/>
        <v>0</v>
      </c>
      <c r="O8" s="43" t="str">
        <f t="shared" si="3"/>
        <v>0</v>
      </c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ht="36.75" customHeight="1">
      <c r="A9" s="175"/>
      <c r="B9" s="182" t="s">
        <v>19</v>
      </c>
      <c r="C9" s="182" t="s">
        <v>20</v>
      </c>
      <c r="D9" s="183" t="s">
        <v>66</v>
      </c>
      <c r="E9" s="183" t="s">
        <v>67</v>
      </c>
      <c r="F9" s="184" t="s">
        <v>27</v>
      </c>
      <c r="G9" s="152"/>
      <c r="H9" s="152"/>
      <c r="I9" s="152"/>
      <c r="J9" s="152"/>
      <c r="K9" s="152"/>
      <c r="L9" s="152"/>
      <c r="M9" s="152"/>
      <c r="N9" s="152"/>
      <c r="O9" s="153"/>
      <c r="P9" s="174"/>
      <c r="Q9" s="175"/>
      <c r="R9" s="175"/>
      <c r="S9" s="175"/>
      <c r="T9" s="175"/>
      <c r="U9" s="175"/>
      <c r="V9" s="174"/>
      <c r="W9" s="174"/>
      <c r="X9" s="174"/>
      <c r="Y9" s="174"/>
      <c r="Z9" s="174"/>
    </row>
    <row r="10" ht="15.0" customHeight="1">
      <c r="A10" s="175"/>
      <c r="B10" s="157">
        <v>1.0</v>
      </c>
      <c r="C10" s="185" t="s">
        <v>68</v>
      </c>
      <c r="D10" s="159">
        <f t="shared" ref="D10:D59" si="4">SUMIFS($F$8:$O$8,F10:O10,"&lt;&gt;",F10:O10,"&lt;&gt;-")</f>
        <v>-400</v>
      </c>
      <c r="E10" s="160">
        <f t="shared" ref="E10:E59" si="5">ROUNDUP(D10,0)</f>
        <v>-400</v>
      </c>
      <c r="F10" s="158" t="s">
        <v>69</v>
      </c>
      <c r="G10" s="158"/>
      <c r="H10" s="158"/>
      <c r="I10" s="158"/>
      <c r="J10" s="157"/>
      <c r="K10" s="158"/>
      <c r="L10" s="157"/>
      <c r="M10" s="157"/>
      <c r="N10" s="157"/>
      <c r="O10" s="157"/>
      <c r="P10" s="175"/>
      <c r="Q10" s="186" t="s">
        <v>70</v>
      </c>
      <c r="R10" s="129"/>
      <c r="S10" s="129"/>
      <c r="T10" s="129"/>
      <c r="U10" s="130"/>
      <c r="V10" s="174"/>
      <c r="W10" s="174"/>
      <c r="X10" s="174"/>
      <c r="Y10" s="174"/>
      <c r="Z10" s="174"/>
    </row>
    <row r="11">
      <c r="A11" s="175"/>
      <c r="B11" s="163">
        <v>2.0</v>
      </c>
      <c r="C11" s="185" t="s">
        <v>71</v>
      </c>
      <c r="D11" s="165">
        <f t="shared" si="4"/>
        <v>-400</v>
      </c>
      <c r="E11" s="166">
        <f t="shared" si="5"/>
        <v>-400</v>
      </c>
      <c r="F11" s="164" t="s">
        <v>69</v>
      </c>
      <c r="G11" s="164"/>
      <c r="H11" s="164"/>
      <c r="I11" s="164"/>
      <c r="J11" s="164"/>
      <c r="K11" s="164"/>
      <c r="L11" s="163"/>
      <c r="M11" s="163"/>
      <c r="N11" s="163"/>
      <c r="O11" s="163"/>
      <c r="P11" s="175"/>
      <c r="Q11" s="132"/>
      <c r="U11" s="168"/>
      <c r="V11" s="174"/>
      <c r="W11" s="174"/>
      <c r="X11" s="174"/>
      <c r="Y11" s="174"/>
      <c r="Z11" s="174"/>
    </row>
    <row r="12">
      <c r="A12" s="175"/>
      <c r="B12" s="157">
        <v>3.0</v>
      </c>
      <c r="C12" s="185" t="s">
        <v>72</v>
      </c>
      <c r="D12" s="159">
        <f t="shared" si="4"/>
        <v>-400</v>
      </c>
      <c r="E12" s="160">
        <f t="shared" si="5"/>
        <v>-400</v>
      </c>
      <c r="F12" s="158" t="s">
        <v>69</v>
      </c>
      <c r="G12" s="158" t="s">
        <v>69</v>
      </c>
      <c r="H12" s="170"/>
      <c r="I12" s="158"/>
      <c r="J12" s="158"/>
      <c r="K12" s="158"/>
      <c r="L12" s="157"/>
      <c r="M12" s="157"/>
      <c r="N12" s="157"/>
      <c r="O12" s="157"/>
      <c r="P12" s="175"/>
      <c r="Q12" s="132"/>
      <c r="U12" s="168"/>
      <c r="V12" s="174"/>
      <c r="W12" s="174"/>
      <c r="X12" s="174"/>
      <c r="Y12" s="174"/>
      <c r="Z12" s="174"/>
    </row>
    <row r="13">
      <c r="A13" s="175"/>
      <c r="B13" s="163">
        <v>4.0</v>
      </c>
      <c r="C13" s="185" t="s">
        <v>73</v>
      </c>
      <c r="D13" s="165">
        <f t="shared" si="4"/>
        <v>0</v>
      </c>
      <c r="E13" s="166">
        <f t="shared" si="5"/>
        <v>0</v>
      </c>
      <c r="F13" s="164" t="s">
        <v>74</v>
      </c>
      <c r="G13" s="164" t="s">
        <v>69</v>
      </c>
      <c r="H13" s="164"/>
      <c r="I13" s="164"/>
      <c r="J13" s="164"/>
      <c r="K13" s="158"/>
      <c r="L13" s="163"/>
      <c r="M13" s="163"/>
      <c r="N13" s="163"/>
      <c r="O13" s="163"/>
      <c r="P13" s="175"/>
      <c r="Q13" s="132"/>
      <c r="U13" s="168"/>
      <c r="V13" s="174"/>
      <c r="W13" s="174"/>
      <c r="X13" s="174"/>
      <c r="Y13" s="174"/>
      <c r="Z13" s="174"/>
    </row>
    <row r="14">
      <c r="A14" s="175"/>
      <c r="B14" s="157">
        <v>5.0</v>
      </c>
      <c r="C14" s="158" t="s">
        <v>75</v>
      </c>
      <c r="D14" s="159">
        <f t="shared" si="4"/>
        <v>-400</v>
      </c>
      <c r="E14" s="160">
        <f t="shared" si="5"/>
        <v>-400</v>
      </c>
      <c r="F14" s="158" t="s">
        <v>69</v>
      </c>
      <c r="G14" s="158" t="s">
        <v>74</v>
      </c>
      <c r="H14" s="158"/>
      <c r="I14" s="158"/>
      <c r="J14" s="158"/>
      <c r="K14" s="158"/>
      <c r="L14" s="157"/>
      <c r="M14" s="157"/>
      <c r="N14" s="157"/>
      <c r="O14" s="157"/>
      <c r="P14" s="175"/>
      <c r="Q14" s="132"/>
      <c r="U14" s="168"/>
      <c r="V14" s="174"/>
      <c r="W14" s="174"/>
      <c r="X14" s="174"/>
      <c r="Y14" s="174"/>
      <c r="Z14" s="174"/>
    </row>
    <row r="15">
      <c r="A15" s="175"/>
      <c r="B15" s="163">
        <v>6.0</v>
      </c>
      <c r="C15" s="164" t="s">
        <v>45</v>
      </c>
      <c r="D15" s="165">
        <f t="shared" si="4"/>
        <v>0</v>
      </c>
      <c r="E15" s="166">
        <f t="shared" si="5"/>
        <v>0</v>
      </c>
      <c r="F15" s="164" t="s">
        <v>74</v>
      </c>
      <c r="G15" s="164"/>
      <c r="H15" s="164"/>
      <c r="I15" s="164"/>
      <c r="J15" s="164"/>
      <c r="K15" s="158"/>
      <c r="L15" s="163"/>
      <c r="M15" s="163"/>
      <c r="N15" s="163"/>
      <c r="O15" s="163"/>
      <c r="P15" s="175"/>
      <c r="Q15" s="132"/>
      <c r="U15" s="168"/>
      <c r="V15" s="174"/>
      <c r="W15" s="174"/>
      <c r="X15" s="174"/>
      <c r="Y15" s="174"/>
      <c r="Z15" s="174"/>
    </row>
    <row r="16">
      <c r="A16" s="175"/>
      <c r="B16" s="157">
        <v>7.0</v>
      </c>
      <c r="C16" s="158" t="s">
        <v>76</v>
      </c>
      <c r="D16" s="159">
        <f t="shared" si="4"/>
        <v>0</v>
      </c>
      <c r="E16" s="160">
        <f t="shared" si="5"/>
        <v>0</v>
      </c>
      <c r="F16" s="158" t="s">
        <v>74</v>
      </c>
      <c r="G16" s="158"/>
      <c r="H16" s="158"/>
      <c r="I16" s="158"/>
      <c r="J16" s="158"/>
      <c r="K16" s="158"/>
      <c r="L16" s="157"/>
      <c r="M16" s="157"/>
      <c r="N16" s="157"/>
      <c r="O16" s="157"/>
      <c r="P16" s="175"/>
      <c r="Q16" s="132"/>
      <c r="U16" s="168"/>
      <c r="V16" s="174"/>
      <c r="W16" s="174"/>
      <c r="X16" s="174"/>
      <c r="Y16" s="174"/>
      <c r="Z16" s="174"/>
    </row>
    <row r="17">
      <c r="A17" s="175"/>
      <c r="B17" s="163">
        <v>8.0</v>
      </c>
      <c r="C17" s="164" t="s">
        <v>77</v>
      </c>
      <c r="D17" s="165">
        <f t="shared" si="4"/>
        <v>-400</v>
      </c>
      <c r="E17" s="166">
        <f t="shared" si="5"/>
        <v>-400</v>
      </c>
      <c r="F17" s="164" t="s">
        <v>69</v>
      </c>
      <c r="G17" s="164"/>
      <c r="H17" s="164"/>
      <c r="I17" s="164"/>
      <c r="J17" s="164"/>
      <c r="K17" s="158"/>
      <c r="L17" s="163"/>
      <c r="M17" s="163"/>
      <c r="N17" s="163"/>
      <c r="O17" s="163"/>
      <c r="P17" s="175"/>
      <c r="Q17" s="135"/>
      <c r="R17" s="136"/>
      <c r="S17" s="136"/>
      <c r="T17" s="136"/>
      <c r="U17" s="137"/>
      <c r="V17" s="174"/>
      <c r="W17" s="174"/>
      <c r="X17" s="174"/>
      <c r="Y17" s="174"/>
      <c r="Z17" s="174"/>
    </row>
    <row r="18">
      <c r="A18" s="175"/>
      <c r="B18" s="157">
        <v>9.0</v>
      </c>
      <c r="C18" s="158" t="s">
        <v>78</v>
      </c>
      <c r="D18" s="159">
        <f t="shared" si="4"/>
        <v>0</v>
      </c>
      <c r="E18" s="160">
        <f t="shared" si="5"/>
        <v>0</v>
      </c>
      <c r="F18" s="158"/>
      <c r="G18" s="164"/>
      <c r="H18" s="158"/>
      <c r="I18" s="158"/>
      <c r="J18" s="158"/>
      <c r="K18" s="158"/>
      <c r="L18" s="157"/>
      <c r="M18" s="157"/>
      <c r="N18" s="157"/>
      <c r="O18" s="157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>
      <c r="A19" s="175"/>
      <c r="B19" s="163">
        <v>10.0</v>
      </c>
      <c r="C19" s="185" t="s">
        <v>79</v>
      </c>
      <c r="D19" s="165">
        <f t="shared" si="4"/>
        <v>0</v>
      </c>
      <c r="E19" s="166">
        <f t="shared" si="5"/>
        <v>0</v>
      </c>
      <c r="F19" s="172"/>
      <c r="G19" s="158"/>
      <c r="H19" s="172"/>
      <c r="I19" s="172"/>
      <c r="J19" s="164"/>
      <c r="K19" s="158"/>
      <c r="L19" s="163"/>
      <c r="M19" s="163"/>
      <c r="N19" s="163"/>
      <c r="O19" s="163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>
      <c r="A20" s="175"/>
      <c r="B20" s="157">
        <v>11.0</v>
      </c>
      <c r="C20" s="185" t="s">
        <v>80</v>
      </c>
      <c r="D20" s="159">
        <f t="shared" si="4"/>
        <v>0</v>
      </c>
      <c r="E20" s="160">
        <f t="shared" si="5"/>
        <v>0</v>
      </c>
      <c r="F20" s="157"/>
      <c r="G20" s="170"/>
      <c r="H20" s="157"/>
      <c r="I20" s="157"/>
      <c r="J20" s="158"/>
      <c r="K20" s="158"/>
      <c r="L20" s="157"/>
      <c r="M20" s="157"/>
      <c r="N20" s="157"/>
      <c r="O20" s="157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ht="15.75" customHeight="1">
      <c r="A21" s="175"/>
      <c r="B21" s="163">
        <v>12.0</v>
      </c>
      <c r="C21" s="185" t="s">
        <v>81</v>
      </c>
      <c r="D21" s="165">
        <f t="shared" si="4"/>
        <v>0</v>
      </c>
      <c r="E21" s="166">
        <f t="shared" si="5"/>
        <v>0</v>
      </c>
      <c r="F21" s="163"/>
      <c r="G21" s="172"/>
      <c r="H21" s="163"/>
      <c r="I21" s="163"/>
      <c r="J21" s="163"/>
      <c r="K21" s="172"/>
      <c r="L21" s="163"/>
      <c r="M21" s="163"/>
      <c r="N21" s="163"/>
      <c r="O21" s="163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ht="15.75" customHeight="1">
      <c r="A22" s="175"/>
      <c r="B22" s="157">
        <v>13.0</v>
      </c>
      <c r="C22" s="185" t="s">
        <v>82</v>
      </c>
      <c r="D22" s="159">
        <f t="shared" si="4"/>
        <v>0</v>
      </c>
      <c r="E22" s="160">
        <f t="shared" si="5"/>
        <v>0</v>
      </c>
      <c r="F22" s="157"/>
      <c r="G22" s="157"/>
      <c r="H22" s="157"/>
      <c r="I22" s="157"/>
      <c r="J22" s="157"/>
      <c r="K22" s="170"/>
      <c r="L22" s="157"/>
      <c r="M22" s="157"/>
      <c r="N22" s="157"/>
      <c r="O22" s="157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 ht="15.75" customHeight="1">
      <c r="A23" s="175"/>
      <c r="B23" s="163">
        <v>14.0</v>
      </c>
      <c r="C23" s="163"/>
      <c r="D23" s="165">
        <f t="shared" si="4"/>
        <v>0</v>
      </c>
      <c r="E23" s="166">
        <f t="shared" si="5"/>
        <v>0</v>
      </c>
      <c r="F23" s="163"/>
      <c r="G23" s="163"/>
      <c r="H23" s="163"/>
      <c r="I23" s="163"/>
      <c r="J23" s="163"/>
      <c r="K23" s="172"/>
      <c r="L23" s="163"/>
      <c r="M23" s="163"/>
      <c r="N23" s="163"/>
      <c r="O23" s="163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ht="15.75" customHeight="1">
      <c r="A24" s="175"/>
      <c r="B24" s="157">
        <v>15.0</v>
      </c>
      <c r="C24" s="157"/>
      <c r="D24" s="159">
        <f t="shared" si="4"/>
        <v>0</v>
      </c>
      <c r="E24" s="160">
        <f t="shared" si="5"/>
        <v>0</v>
      </c>
      <c r="F24" s="157"/>
      <c r="G24" s="157"/>
      <c r="H24" s="157"/>
      <c r="I24" s="157"/>
      <c r="J24" s="157"/>
      <c r="K24" s="170"/>
      <c r="L24" s="157"/>
      <c r="M24" s="157"/>
      <c r="N24" s="157"/>
      <c r="O24" s="157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 ht="15.75" customHeight="1">
      <c r="A25" s="175"/>
      <c r="B25" s="163">
        <v>16.0</v>
      </c>
      <c r="C25" s="163"/>
      <c r="D25" s="165">
        <f t="shared" si="4"/>
        <v>0</v>
      </c>
      <c r="E25" s="166">
        <f t="shared" si="5"/>
        <v>0</v>
      </c>
      <c r="F25" s="163"/>
      <c r="G25" s="163"/>
      <c r="H25" s="163"/>
      <c r="I25" s="163"/>
      <c r="J25" s="163"/>
      <c r="K25" s="172"/>
      <c r="L25" s="163"/>
      <c r="M25" s="163"/>
      <c r="N25" s="163"/>
      <c r="O25" s="163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ht="15.75" customHeight="1">
      <c r="A26" s="175"/>
      <c r="B26" s="157">
        <v>17.0</v>
      </c>
      <c r="C26" s="157"/>
      <c r="D26" s="159">
        <f t="shared" si="4"/>
        <v>0</v>
      </c>
      <c r="E26" s="160">
        <f t="shared" si="5"/>
        <v>0</v>
      </c>
      <c r="F26" s="157"/>
      <c r="G26" s="157"/>
      <c r="H26" s="157"/>
      <c r="I26" s="157"/>
      <c r="J26" s="157"/>
      <c r="K26" s="170"/>
      <c r="L26" s="157"/>
      <c r="M26" s="157"/>
      <c r="N26" s="157"/>
      <c r="O26" s="157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ht="15.75" customHeight="1">
      <c r="A27" s="175"/>
      <c r="B27" s="163">
        <v>18.0</v>
      </c>
      <c r="C27" s="163"/>
      <c r="D27" s="165">
        <f t="shared" si="4"/>
        <v>0</v>
      </c>
      <c r="E27" s="166">
        <f t="shared" si="5"/>
        <v>0</v>
      </c>
      <c r="F27" s="163"/>
      <c r="G27" s="163"/>
      <c r="H27" s="163"/>
      <c r="I27" s="163"/>
      <c r="J27" s="163"/>
      <c r="K27" s="172"/>
      <c r="L27" s="163"/>
      <c r="M27" s="163"/>
      <c r="N27" s="163"/>
      <c r="O27" s="163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 ht="15.75" customHeight="1">
      <c r="A28" s="175"/>
      <c r="B28" s="157">
        <v>19.0</v>
      </c>
      <c r="C28" s="157"/>
      <c r="D28" s="159">
        <f t="shared" si="4"/>
        <v>0</v>
      </c>
      <c r="E28" s="160">
        <f t="shared" si="5"/>
        <v>0</v>
      </c>
      <c r="F28" s="157"/>
      <c r="G28" s="157"/>
      <c r="H28" s="157"/>
      <c r="I28" s="157"/>
      <c r="J28" s="157"/>
      <c r="K28" s="170"/>
      <c r="L28" s="157"/>
      <c r="M28" s="157"/>
      <c r="N28" s="157"/>
      <c r="O28" s="157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ht="15.75" customHeight="1">
      <c r="A29" s="175"/>
      <c r="B29" s="163">
        <v>20.0</v>
      </c>
      <c r="C29" s="163"/>
      <c r="D29" s="165">
        <f t="shared" si="4"/>
        <v>0</v>
      </c>
      <c r="E29" s="166">
        <f t="shared" si="5"/>
        <v>0</v>
      </c>
      <c r="F29" s="163"/>
      <c r="G29" s="163"/>
      <c r="H29" s="163"/>
      <c r="I29" s="163"/>
      <c r="J29" s="163"/>
      <c r="K29" s="172"/>
      <c r="L29" s="163"/>
      <c r="M29" s="163"/>
      <c r="N29" s="163"/>
      <c r="O29" s="163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 ht="15.75" customHeight="1">
      <c r="A30" s="175"/>
      <c r="B30" s="157">
        <v>21.0</v>
      </c>
      <c r="C30" s="157"/>
      <c r="D30" s="159">
        <f t="shared" si="4"/>
        <v>0</v>
      </c>
      <c r="E30" s="160">
        <f t="shared" si="5"/>
        <v>0</v>
      </c>
      <c r="F30" s="157"/>
      <c r="G30" s="157"/>
      <c r="H30" s="157"/>
      <c r="I30" s="157"/>
      <c r="J30" s="157"/>
      <c r="K30" s="170"/>
      <c r="L30" s="157"/>
      <c r="M30" s="157"/>
      <c r="N30" s="157"/>
      <c r="O30" s="157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ht="15.75" customHeight="1">
      <c r="A31" s="175"/>
      <c r="B31" s="163">
        <v>22.0</v>
      </c>
      <c r="C31" s="163"/>
      <c r="D31" s="165">
        <f t="shared" si="4"/>
        <v>0</v>
      </c>
      <c r="E31" s="166">
        <f t="shared" si="5"/>
        <v>0</v>
      </c>
      <c r="F31" s="163"/>
      <c r="G31" s="163"/>
      <c r="H31" s="163"/>
      <c r="I31" s="163"/>
      <c r="J31" s="163"/>
      <c r="K31" s="172"/>
      <c r="L31" s="163"/>
      <c r="M31" s="163"/>
      <c r="N31" s="163"/>
      <c r="O31" s="163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 ht="15.75" customHeight="1">
      <c r="A32" s="175"/>
      <c r="B32" s="157">
        <v>23.0</v>
      </c>
      <c r="C32" s="157"/>
      <c r="D32" s="159">
        <f t="shared" si="4"/>
        <v>0</v>
      </c>
      <c r="E32" s="160">
        <f t="shared" si="5"/>
        <v>0</v>
      </c>
      <c r="F32" s="157"/>
      <c r="G32" s="157"/>
      <c r="H32" s="157"/>
      <c r="I32" s="157"/>
      <c r="J32" s="157"/>
      <c r="K32" s="170"/>
      <c r="L32" s="157"/>
      <c r="M32" s="157"/>
      <c r="N32" s="157"/>
      <c r="O32" s="157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 ht="15.75" customHeight="1">
      <c r="A33" s="175"/>
      <c r="B33" s="163">
        <v>24.0</v>
      </c>
      <c r="C33" s="163"/>
      <c r="D33" s="165">
        <f t="shared" si="4"/>
        <v>0</v>
      </c>
      <c r="E33" s="166">
        <f t="shared" si="5"/>
        <v>0</v>
      </c>
      <c r="F33" s="163"/>
      <c r="G33" s="163"/>
      <c r="H33" s="163"/>
      <c r="I33" s="163"/>
      <c r="J33" s="163"/>
      <c r="K33" s="172"/>
      <c r="L33" s="163"/>
      <c r="M33" s="163"/>
      <c r="N33" s="163"/>
      <c r="O33" s="163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 ht="15.75" customHeight="1">
      <c r="A34" s="175"/>
      <c r="B34" s="157">
        <v>25.0</v>
      </c>
      <c r="C34" s="157"/>
      <c r="D34" s="159">
        <f t="shared" si="4"/>
        <v>0</v>
      </c>
      <c r="E34" s="160">
        <f t="shared" si="5"/>
        <v>0</v>
      </c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 ht="15.75" customHeight="1">
      <c r="A35" s="175"/>
      <c r="B35" s="163">
        <v>26.0</v>
      </c>
      <c r="C35" s="163"/>
      <c r="D35" s="165">
        <f t="shared" si="4"/>
        <v>0</v>
      </c>
      <c r="E35" s="166">
        <f t="shared" si="5"/>
        <v>0</v>
      </c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ht="15.75" customHeight="1">
      <c r="A36" s="175"/>
      <c r="B36" s="157">
        <v>27.0</v>
      </c>
      <c r="C36" s="157"/>
      <c r="D36" s="159">
        <f t="shared" si="4"/>
        <v>0</v>
      </c>
      <c r="E36" s="160">
        <f t="shared" si="5"/>
        <v>0</v>
      </c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ht="15.75" customHeight="1">
      <c r="A37" s="175"/>
      <c r="B37" s="163">
        <v>28.0</v>
      </c>
      <c r="C37" s="163"/>
      <c r="D37" s="165">
        <f t="shared" si="4"/>
        <v>0</v>
      </c>
      <c r="E37" s="166">
        <f t="shared" si="5"/>
        <v>0</v>
      </c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 ht="15.75" customHeight="1">
      <c r="A38" s="175"/>
      <c r="B38" s="157">
        <v>29.0</v>
      </c>
      <c r="C38" s="157"/>
      <c r="D38" s="159">
        <f t="shared" si="4"/>
        <v>0</v>
      </c>
      <c r="E38" s="160">
        <f t="shared" si="5"/>
        <v>0</v>
      </c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 ht="15.75" customHeight="1">
      <c r="A39" s="175"/>
      <c r="B39" s="163">
        <v>30.0</v>
      </c>
      <c r="C39" s="163"/>
      <c r="D39" s="165">
        <f t="shared" si="4"/>
        <v>0</v>
      </c>
      <c r="E39" s="166">
        <f t="shared" si="5"/>
        <v>0</v>
      </c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 ht="15.75" customHeight="1">
      <c r="A40" s="175"/>
      <c r="B40" s="157">
        <v>31.0</v>
      </c>
      <c r="C40" s="157"/>
      <c r="D40" s="159">
        <f t="shared" si="4"/>
        <v>0</v>
      </c>
      <c r="E40" s="160">
        <f t="shared" si="5"/>
        <v>0</v>
      </c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ht="15.75" customHeight="1">
      <c r="A41" s="175"/>
      <c r="B41" s="163">
        <v>32.0</v>
      </c>
      <c r="C41" s="163"/>
      <c r="D41" s="165">
        <f t="shared" si="4"/>
        <v>0</v>
      </c>
      <c r="E41" s="166">
        <f t="shared" si="5"/>
        <v>0</v>
      </c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 ht="15.75" customHeight="1">
      <c r="A42" s="175"/>
      <c r="B42" s="157">
        <v>33.0</v>
      </c>
      <c r="C42" s="157"/>
      <c r="D42" s="159">
        <f t="shared" si="4"/>
        <v>0</v>
      </c>
      <c r="E42" s="160">
        <f t="shared" si="5"/>
        <v>0</v>
      </c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ht="15.75" customHeight="1">
      <c r="A43" s="175"/>
      <c r="B43" s="163">
        <v>34.0</v>
      </c>
      <c r="C43" s="163"/>
      <c r="D43" s="165">
        <f t="shared" si="4"/>
        <v>0</v>
      </c>
      <c r="E43" s="166">
        <f t="shared" si="5"/>
        <v>0</v>
      </c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 ht="15.75" customHeight="1">
      <c r="A44" s="175"/>
      <c r="B44" s="157">
        <v>35.0</v>
      </c>
      <c r="C44" s="157"/>
      <c r="D44" s="159">
        <f t="shared" si="4"/>
        <v>0</v>
      </c>
      <c r="E44" s="160">
        <f t="shared" si="5"/>
        <v>0</v>
      </c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 ht="15.75" customHeight="1">
      <c r="A45" s="175"/>
      <c r="B45" s="163">
        <v>36.0</v>
      </c>
      <c r="C45" s="163"/>
      <c r="D45" s="165">
        <f t="shared" si="4"/>
        <v>0</v>
      </c>
      <c r="E45" s="166">
        <f t="shared" si="5"/>
        <v>0</v>
      </c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ht="15.75" customHeight="1">
      <c r="A46" s="175"/>
      <c r="B46" s="157">
        <v>37.0</v>
      </c>
      <c r="C46" s="157"/>
      <c r="D46" s="159">
        <f t="shared" si="4"/>
        <v>0</v>
      </c>
      <c r="E46" s="160">
        <f t="shared" si="5"/>
        <v>0</v>
      </c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ht="15.75" customHeight="1">
      <c r="A47" s="175"/>
      <c r="B47" s="163">
        <v>38.0</v>
      </c>
      <c r="C47" s="163"/>
      <c r="D47" s="165">
        <f t="shared" si="4"/>
        <v>0</v>
      </c>
      <c r="E47" s="166">
        <f t="shared" si="5"/>
        <v>0</v>
      </c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 ht="15.75" customHeight="1">
      <c r="A48" s="175"/>
      <c r="B48" s="157">
        <v>39.0</v>
      </c>
      <c r="C48" s="157"/>
      <c r="D48" s="159">
        <f t="shared" si="4"/>
        <v>0</v>
      </c>
      <c r="E48" s="160">
        <f t="shared" si="5"/>
        <v>0</v>
      </c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 ht="15.75" customHeight="1">
      <c r="A49" s="175"/>
      <c r="B49" s="163">
        <v>40.0</v>
      </c>
      <c r="C49" s="163"/>
      <c r="D49" s="165">
        <f t="shared" si="4"/>
        <v>0</v>
      </c>
      <c r="E49" s="166">
        <f t="shared" si="5"/>
        <v>0</v>
      </c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ht="15.75" customHeight="1">
      <c r="A50" s="175"/>
      <c r="B50" s="157">
        <v>41.0</v>
      </c>
      <c r="C50" s="157"/>
      <c r="D50" s="159">
        <f t="shared" si="4"/>
        <v>0</v>
      </c>
      <c r="E50" s="160">
        <f t="shared" si="5"/>
        <v>0</v>
      </c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 ht="15.75" customHeight="1">
      <c r="A51" s="175"/>
      <c r="B51" s="163">
        <v>42.0</v>
      </c>
      <c r="C51" s="163"/>
      <c r="D51" s="165">
        <f t="shared" si="4"/>
        <v>0</v>
      </c>
      <c r="E51" s="166">
        <f t="shared" si="5"/>
        <v>0</v>
      </c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 ht="15.75" customHeight="1">
      <c r="A52" s="175"/>
      <c r="B52" s="157">
        <v>43.0</v>
      </c>
      <c r="C52" s="157"/>
      <c r="D52" s="159">
        <f t="shared" si="4"/>
        <v>0</v>
      </c>
      <c r="E52" s="160">
        <f t="shared" si="5"/>
        <v>0</v>
      </c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ht="15.75" customHeight="1">
      <c r="A53" s="175"/>
      <c r="B53" s="163">
        <v>44.0</v>
      </c>
      <c r="C53" s="163"/>
      <c r="D53" s="165">
        <f t="shared" si="4"/>
        <v>0</v>
      </c>
      <c r="E53" s="166">
        <f t="shared" si="5"/>
        <v>0</v>
      </c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ht="15.75" customHeight="1">
      <c r="A54" s="175"/>
      <c r="B54" s="157">
        <v>45.0</v>
      </c>
      <c r="C54" s="157"/>
      <c r="D54" s="159">
        <f t="shared" si="4"/>
        <v>0</v>
      </c>
      <c r="E54" s="160">
        <f t="shared" si="5"/>
        <v>0</v>
      </c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 ht="15.75" customHeight="1">
      <c r="A55" s="175"/>
      <c r="B55" s="163">
        <v>46.0</v>
      </c>
      <c r="C55" s="163"/>
      <c r="D55" s="165">
        <f t="shared" si="4"/>
        <v>0</v>
      </c>
      <c r="E55" s="166">
        <f t="shared" si="5"/>
        <v>0</v>
      </c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 ht="15.75" customHeight="1">
      <c r="A56" s="175"/>
      <c r="B56" s="157">
        <v>47.0</v>
      </c>
      <c r="C56" s="157"/>
      <c r="D56" s="159">
        <f t="shared" si="4"/>
        <v>0</v>
      </c>
      <c r="E56" s="160">
        <f t="shared" si="5"/>
        <v>0</v>
      </c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ht="15.75" customHeight="1">
      <c r="A57" s="175"/>
      <c r="B57" s="163">
        <v>48.0</v>
      </c>
      <c r="C57" s="163"/>
      <c r="D57" s="165">
        <f t="shared" si="4"/>
        <v>0</v>
      </c>
      <c r="E57" s="166">
        <f t="shared" si="5"/>
        <v>0</v>
      </c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ht="15.75" customHeight="1">
      <c r="A58" s="175"/>
      <c r="B58" s="157">
        <v>49.0</v>
      </c>
      <c r="C58" s="157"/>
      <c r="D58" s="159">
        <f t="shared" si="4"/>
        <v>0</v>
      </c>
      <c r="E58" s="160">
        <f t="shared" si="5"/>
        <v>0</v>
      </c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ht="15.75" customHeight="1">
      <c r="A59" s="175"/>
      <c r="B59" s="163">
        <v>50.0</v>
      </c>
      <c r="C59" s="163"/>
      <c r="D59" s="165">
        <f t="shared" si="4"/>
        <v>0</v>
      </c>
      <c r="E59" s="166">
        <f t="shared" si="5"/>
        <v>0</v>
      </c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ht="15.75" customHeight="1">
      <c r="A60" s="174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ht="15.75" customHeight="1">
      <c r="A61" s="174"/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ht="15.75" customHeight="1">
      <c r="A62" s="174"/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ht="15.75" customHeight="1">
      <c r="A63" s="174"/>
      <c r="B63" s="174"/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ht="15.75" customHeight="1">
      <c r="A64" s="174"/>
      <c r="B64" s="174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ht="15.75" customHeight="1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ht="15.75" customHeight="1">
      <c r="A66" s="174"/>
      <c r="B66" s="174"/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ht="15.75" customHeight="1">
      <c r="A67" s="174"/>
      <c r="B67" s="17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ht="15.75" customHeight="1">
      <c r="A68" s="174"/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 ht="15.75" customHeight="1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ht="15.75" customHeight="1">
      <c r="A70" s="174"/>
      <c r="B70" s="174"/>
      <c r="C70" s="174"/>
      <c r="D70" s="174"/>
      <c r="E70" s="174"/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ht="15.75" customHeight="1">
      <c r="A71" s="174"/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ht="15.75" customHeight="1">
      <c r="A72" s="174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ht="15.75" customHeight="1">
      <c r="A73" s="174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ht="15.75" customHeight="1">
      <c r="A74" s="174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ht="15.75" customHeight="1">
      <c r="A75" s="174"/>
      <c r="B75" s="174"/>
      <c r="C75" s="174"/>
      <c r="D75" s="174"/>
      <c r="E75" s="174"/>
      <c r="F75" s="174"/>
      <c r="G75" s="174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ht="15.75" customHeight="1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ht="15.75" customHeight="1">
      <c r="A77" s="174"/>
      <c r="B77" s="174"/>
      <c r="C77" s="174"/>
      <c r="D77" s="174"/>
      <c r="E77" s="174"/>
      <c r="F77" s="174"/>
      <c r="G77" s="174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ht="15.75" customHeight="1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ht="15.75" customHeight="1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ht="15.75" customHeight="1">
      <c r="A80" s="174"/>
      <c r="B80" s="174"/>
      <c r="C80" s="174"/>
      <c r="D80" s="174"/>
      <c r="E80" s="174"/>
      <c r="F80" s="174"/>
      <c r="G80" s="174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ht="15.75" customHeight="1">
      <c r="A81" s="174"/>
      <c r="B81" s="174"/>
      <c r="C81" s="174"/>
      <c r="D81" s="174"/>
      <c r="E81" s="174"/>
      <c r="F81" s="174"/>
      <c r="G81" s="174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ht="15.75" customHeight="1">
      <c r="A82" s="174"/>
      <c r="B82" s="174"/>
      <c r="C82" s="174"/>
      <c r="D82" s="174"/>
      <c r="E82" s="174"/>
      <c r="F82" s="174"/>
      <c r="G82" s="174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ht="15.75" customHeight="1">
      <c r="A83" s="174"/>
      <c r="B83" s="174"/>
      <c r="C83" s="174"/>
      <c r="D83" s="174"/>
      <c r="E83" s="174"/>
      <c r="F83" s="174"/>
      <c r="G83" s="174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ht="15.75" customHeight="1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ht="15.75" customHeight="1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ht="15.75" customHeight="1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ht="15.75" customHeight="1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ht="15.75" customHeight="1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ht="15.75" customHeight="1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ht="15.75" customHeight="1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ht="15.75" customHeight="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ht="15.75" customHeight="1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ht="15.75" customHeight="1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ht="15.75" customHeight="1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ht="15.75" customHeight="1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ht="15.75" customHeight="1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ht="15.75" customHeight="1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ht="15.75" customHeight="1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ht="15.75" customHeight="1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ht="15.75" customHeight="1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ht="15.75" customHeight="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ht="15.75" customHeight="1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ht="15.75" customHeight="1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ht="15.75" customHeight="1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ht="15.75" customHeight="1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ht="15.75" customHeight="1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ht="15.75" customHeight="1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ht="15.75" customHeight="1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ht="15.75" customHeight="1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ht="15.75" customHeight="1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ht="15.75" customHeight="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ht="15.75" customHeight="1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ht="15.75" customHeight="1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ht="15.75" customHeight="1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ht="15.75" customHeight="1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ht="15.75" customHeight="1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ht="15.75" customHeight="1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ht="15.75" customHeight="1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ht="15.75" customHeight="1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ht="15.75" customHeight="1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ht="15.75" customHeight="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ht="15.75" customHeight="1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ht="15.75" customHeight="1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ht="15.75" customHeight="1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ht="15.75" customHeight="1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ht="15.75" customHeight="1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ht="15.75" customHeight="1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ht="15.75" customHeight="1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ht="15.75" customHeight="1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ht="15.75" customHeight="1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ht="15.75" customHeight="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ht="15.75" customHeight="1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ht="15.75" customHeight="1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ht="15.75" customHeight="1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ht="15.75" customHeight="1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ht="15.75" customHeight="1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ht="15.75" customHeight="1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ht="15.75" customHeight="1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ht="15.75" customHeight="1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ht="15.75" customHeight="1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ht="15.75" customHeight="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ht="15.75" customHeight="1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ht="15.75" customHeight="1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ht="15.75" customHeight="1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ht="15.75" customHeight="1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ht="15.75" customHeight="1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ht="15.75" customHeight="1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ht="15.75" customHeight="1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ht="15.75" customHeight="1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ht="15.75" customHeight="1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ht="15.75" customHeight="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ht="15.75" customHeight="1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ht="15.75" customHeight="1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ht="15.75" customHeight="1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ht="15.75" customHeight="1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ht="15.75" customHeight="1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ht="15.75" customHeight="1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ht="15.75" customHeight="1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ht="15.75" customHeight="1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ht="15.75" customHeight="1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ht="15.75" customHeight="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ht="15.75" customHeight="1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ht="15.75" customHeight="1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ht="15.75" customHeight="1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ht="15.75" customHeight="1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ht="15.75" customHeight="1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ht="15.75" customHeight="1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ht="15.75" customHeight="1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ht="15.75" customHeight="1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ht="15.75" customHeight="1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ht="15.75" customHeight="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ht="15.75" customHeight="1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ht="15.75" customHeight="1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ht="15.75" customHeight="1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ht="15.75" customHeight="1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ht="15.75" customHeight="1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ht="15.75" customHeight="1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ht="15.75" customHeight="1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ht="15.75" customHeight="1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ht="15.75" customHeight="1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ht="15.75" customHeight="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ht="15.75" customHeight="1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ht="15.75" customHeight="1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ht="15.75" customHeight="1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ht="15.75" customHeight="1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ht="15.75" customHeight="1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ht="15.75" customHeight="1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ht="15.75" customHeight="1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ht="15.75" customHeight="1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ht="15.75" customHeight="1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ht="15.75" customHeight="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ht="15.75" customHeight="1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ht="15.75" customHeight="1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ht="15.75" customHeight="1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ht="15.75" customHeight="1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ht="15.75" customHeight="1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ht="15.75" customHeight="1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ht="15.75" customHeight="1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ht="15.75" customHeight="1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ht="15.75" customHeight="1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 ht="15.75" customHeight="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 ht="15.75" customHeight="1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 ht="15.75" customHeight="1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 ht="15.75" customHeight="1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 ht="15.75" customHeight="1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 ht="15.75" customHeight="1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ht="15.75" customHeight="1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 ht="15.75" customHeight="1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 ht="15.75" customHeight="1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 ht="15.75" customHeight="1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 ht="15.75" customHeight="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 ht="15.75" customHeight="1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 ht="15.75" customHeight="1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 ht="15.75" customHeight="1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 ht="15.75" customHeight="1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 ht="15.75" customHeight="1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 ht="15.75" customHeight="1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 ht="15.75" customHeight="1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 ht="15.75" customHeight="1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 ht="15.75" customHeight="1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 ht="15.75" customHeight="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 ht="15.75" customHeight="1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 ht="15.75" customHeight="1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 ht="15.75" customHeight="1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 ht="15.75" customHeight="1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 ht="15.75" customHeight="1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 ht="15.75" customHeight="1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 ht="15.75" customHeight="1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 ht="15.75" customHeight="1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 ht="15.75" customHeight="1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 ht="15.75" customHeight="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 ht="15.75" customHeight="1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 ht="15.75" customHeight="1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 ht="15.75" customHeight="1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 ht="15.75" customHeight="1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 ht="15.75" customHeight="1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 ht="15.75" customHeight="1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 ht="15.75" customHeight="1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 ht="15.75" customHeight="1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 ht="15.75" customHeight="1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 ht="15.75" customHeight="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 ht="15.75" customHeight="1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 ht="15.75" customHeight="1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 ht="15.75" customHeight="1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 ht="15.75" customHeight="1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 ht="15.75" customHeight="1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 ht="15.75" customHeight="1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 ht="15.75" customHeight="1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 ht="15.75" customHeight="1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 ht="15.75" customHeight="1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 ht="15.75" customHeight="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 ht="15.75" customHeight="1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 ht="15.75" customHeight="1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 ht="15.75" customHeight="1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 ht="15.75" customHeight="1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 ht="15.75" customHeight="1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 ht="15.75" customHeight="1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 ht="15.75" customHeight="1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 ht="15.75" customHeight="1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 ht="15.75" customHeight="1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 ht="15.75" customHeight="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 ht="15.75" customHeight="1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 ht="15.75" customHeight="1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ht="15.75" customHeight="1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 ht="15.75" customHeight="1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 ht="15.75" customHeight="1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 ht="15.75" customHeight="1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 ht="15.75" customHeight="1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 ht="15.75" customHeight="1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 ht="15.75" customHeight="1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 ht="15.75" customHeight="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 ht="15.75" customHeight="1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 ht="15.75" customHeight="1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 ht="15.75" customHeight="1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 ht="15.75" customHeight="1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 ht="15.75" customHeight="1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 ht="15.75" customHeight="1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 ht="15.75" customHeight="1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 ht="15.75" customHeight="1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 ht="15.75" customHeight="1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 ht="15.75" customHeight="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 ht="15.75" customHeight="1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 ht="15.75" customHeight="1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 ht="15.75" customHeight="1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 ht="15.75" customHeight="1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ht="15.75" customHeight="1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 ht="15.75" customHeight="1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 ht="15.75" customHeight="1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 ht="15.75" customHeight="1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 ht="15.75" customHeight="1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 ht="15.75" customHeight="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 ht="15.75" customHeight="1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 ht="15.75" customHeight="1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 ht="15.75" customHeight="1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 ht="15.75" customHeight="1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 ht="15.75" customHeight="1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 ht="15.75" customHeight="1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 ht="15.75" customHeight="1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 ht="15.75" customHeight="1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 ht="15.75" customHeight="1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 ht="15.75" customHeight="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 ht="15.75" customHeight="1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 ht="15.75" customHeight="1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 ht="15.75" customHeight="1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ht="15.75" customHeight="1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 ht="15.75" customHeight="1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 ht="15.75" customHeight="1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 ht="15.75" customHeight="1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 ht="15.75" customHeight="1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 ht="15.75" customHeight="1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 ht="15.75" customHeight="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 ht="15.75" customHeight="1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 ht="15.75" customHeight="1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 ht="15.75" customHeight="1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 ht="15.75" customHeight="1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 ht="15.75" customHeight="1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 ht="15.75" customHeight="1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 ht="15.75" customHeight="1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 ht="15.75" customHeight="1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 ht="15.75" customHeight="1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 ht="15.75" customHeight="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 ht="15.75" customHeight="1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 ht="15.75" customHeight="1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 ht="15.75" customHeight="1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 ht="15.75" customHeight="1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 ht="15.75" customHeight="1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 ht="15.75" customHeight="1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 ht="15.75" customHeight="1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 ht="15.75" customHeight="1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 ht="15.75" customHeight="1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 ht="15.75" customHeight="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 ht="15.75" customHeight="1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 ht="15.75" customHeight="1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 ht="15.75" customHeight="1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 ht="15.75" customHeight="1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 ht="15.75" customHeight="1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 ht="15.75" customHeight="1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 ht="15.75" customHeight="1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 ht="15.75" customHeight="1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 ht="15.75" customHeight="1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 ht="15.75" customHeight="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 ht="15.75" customHeight="1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 ht="15.75" customHeight="1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 ht="15.75" customHeight="1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 ht="15.75" customHeight="1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ht="15.75" customHeight="1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ht="15.75" customHeight="1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 ht="15.75" customHeight="1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 ht="15.75" customHeight="1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 ht="15.75" customHeight="1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 ht="15.75" customHeight="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 ht="15.75" customHeight="1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 ht="15.75" customHeight="1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 ht="15.75" customHeight="1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 ht="15.75" customHeight="1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 ht="15.75" customHeight="1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 ht="15.75" customHeight="1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 ht="15.75" customHeight="1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 ht="15.75" customHeight="1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 ht="15.75" customHeight="1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 ht="15.75" customHeight="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 ht="15.75" customHeight="1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 ht="15.75" customHeight="1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 ht="15.75" customHeight="1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 ht="15.75" customHeight="1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 ht="15.75" customHeight="1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 ht="15.75" customHeight="1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 ht="15.75" customHeight="1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 ht="15.75" customHeight="1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 ht="15.75" customHeight="1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 ht="15.75" customHeight="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 ht="15.75" customHeight="1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 ht="15.75" customHeight="1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 ht="15.75" customHeight="1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 ht="15.75" customHeight="1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 ht="15.75" customHeight="1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 ht="15.75" customHeight="1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 ht="15.75" customHeight="1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 ht="15.75" customHeight="1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 ht="15.75" customHeight="1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 ht="15.75" customHeight="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 ht="15.75" customHeight="1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 ht="15.75" customHeight="1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 ht="15.75" customHeight="1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 ht="15.75" customHeight="1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 ht="15.75" customHeight="1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 ht="15.75" customHeight="1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 ht="15.75" customHeight="1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 ht="15.75" customHeight="1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 ht="15.75" customHeight="1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 ht="15.75" customHeight="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 ht="15.75" customHeight="1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 ht="15.75" customHeight="1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 ht="15.75" customHeight="1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 ht="15.75" customHeight="1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 ht="15.75" customHeight="1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 ht="15.75" customHeight="1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 ht="15.75" customHeight="1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 ht="15.75" customHeight="1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 ht="15.75" customHeight="1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 ht="15.75" customHeight="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 ht="15.75" customHeight="1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 ht="15.75" customHeight="1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ht="15.75" customHeight="1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 ht="15.75" customHeight="1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 ht="15.75" customHeight="1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 ht="15.75" customHeight="1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 ht="15.75" customHeight="1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 ht="15.75" customHeight="1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 ht="15.75" customHeight="1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 ht="15.75" customHeight="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 ht="15.75" customHeight="1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 ht="15.75" customHeight="1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 ht="15.75" customHeight="1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 ht="15.75" customHeight="1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 ht="15.75" customHeight="1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 ht="15.75" customHeight="1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 ht="15.75" customHeight="1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 ht="15.75" customHeight="1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 ht="15.75" customHeight="1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 ht="15.75" customHeight="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 ht="15.75" customHeight="1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 ht="15.75" customHeight="1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 ht="15.75" customHeight="1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 ht="15.75" customHeight="1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 ht="15.75" customHeight="1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 ht="15.75" customHeight="1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 ht="15.75" customHeight="1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 ht="15.75" customHeight="1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 ht="15.75" customHeight="1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 ht="15.75" customHeight="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 ht="15.75" customHeight="1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 ht="15.75" customHeight="1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 ht="15.75" customHeight="1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 ht="15.75" customHeight="1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 ht="15.75" customHeight="1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 ht="15.75" customHeight="1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 ht="15.75" customHeight="1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 ht="15.75" customHeight="1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 ht="15.75" customHeight="1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 ht="15.75" customHeight="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 ht="15.75" customHeight="1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 ht="15.75" customHeight="1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 ht="15.75" customHeight="1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ht="15.75" customHeight="1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 ht="15.75" customHeight="1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 ht="15.75" customHeight="1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 ht="15.75" customHeight="1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 ht="15.75" customHeight="1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 ht="15.75" customHeight="1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 ht="15.75" customHeight="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 ht="15.75" customHeight="1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 ht="15.75" customHeight="1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 ht="15.75" customHeight="1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 ht="15.75" customHeight="1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 ht="15.75" customHeight="1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 ht="15.75" customHeight="1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 ht="15.75" customHeight="1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 ht="15.75" customHeight="1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 ht="15.75" customHeight="1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 ht="15.75" customHeight="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 ht="15.75" customHeight="1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 ht="15.75" customHeight="1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 ht="15.75" customHeight="1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 ht="15.75" customHeight="1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 ht="15.75" customHeight="1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 ht="15.75" customHeight="1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 ht="15.75" customHeight="1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 ht="15.75" customHeight="1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 ht="15.75" customHeight="1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 ht="15.75" customHeight="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 ht="15.75" customHeight="1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 ht="15.75" customHeight="1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 ht="15.75" customHeight="1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 ht="15.75" customHeight="1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 ht="15.75" customHeight="1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 ht="15.75" customHeight="1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 ht="15.75" customHeight="1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 ht="15.75" customHeight="1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 ht="15.75" customHeight="1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 ht="15.75" customHeight="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 ht="15.75" customHeight="1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 ht="15.75" customHeight="1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 ht="15.75" customHeight="1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 ht="15.75" customHeight="1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ht="15.75" customHeight="1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 ht="15.75" customHeight="1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 ht="15.75" customHeight="1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 ht="15.75" customHeight="1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 ht="15.75" customHeight="1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 ht="15.75" customHeight="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 ht="15.75" customHeight="1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 ht="15.75" customHeight="1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 ht="15.75" customHeight="1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 ht="15.75" customHeight="1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 ht="15.75" customHeight="1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 ht="15.75" customHeight="1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 ht="15.75" customHeight="1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 ht="15.75" customHeight="1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 ht="15.75" customHeight="1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 ht="15.75" customHeight="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 ht="15.75" customHeight="1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 ht="15.75" customHeight="1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 ht="15.75" customHeight="1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 ht="15.75" customHeight="1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 ht="15.75" customHeight="1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 ht="15.75" customHeight="1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 ht="15.75" customHeight="1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 ht="15.75" customHeight="1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 ht="15.75" customHeight="1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 ht="15.75" customHeight="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 ht="15.75" customHeight="1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 ht="15.75" customHeight="1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 ht="15.75" customHeight="1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 ht="15.75" customHeight="1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 ht="15.75" customHeight="1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 ht="15.75" customHeight="1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 ht="15.75" customHeight="1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 ht="15.75" customHeight="1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 ht="15.75" customHeight="1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 ht="15.75" customHeight="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 ht="15.75" customHeight="1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 ht="15.75" customHeight="1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 ht="15.75" customHeight="1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 ht="15.75" customHeight="1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 ht="15.75" customHeight="1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 ht="15.75" customHeight="1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 ht="15.75" customHeight="1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 ht="15.75" customHeight="1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 ht="15.75" customHeight="1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 ht="15.75" customHeight="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 ht="15.75" customHeight="1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 ht="15.75" customHeight="1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 ht="15.75" customHeight="1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 ht="15.75" customHeight="1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 ht="15.75" customHeight="1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 ht="15.75" customHeight="1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 ht="15.75" customHeight="1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 ht="15.75" customHeight="1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 ht="15.75" customHeight="1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 ht="15.75" customHeight="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 ht="15.75" customHeight="1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 ht="15.75" customHeight="1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 ht="15.75" customHeight="1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 ht="15.75" customHeight="1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 ht="15.75" customHeight="1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 ht="15.75" customHeight="1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 ht="15.75" customHeight="1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 ht="15.75" customHeight="1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 ht="15.75" customHeight="1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 ht="15.75" customHeight="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 ht="15.75" customHeight="1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 ht="15.75" customHeight="1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 ht="15.75" customHeight="1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 ht="15.75" customHeight="1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 ht="15.75" customHeight="1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 ht="15.75" customHeight="1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 ht="15.75" customHeight="1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 ht="15.75" customHeight="1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 ht="15.75" customHeight="1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 ht="15.75" customHeight="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 ht="15.75" customHeight="1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 ht="15.75" customHeight="1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 ht="15.75" customHeight="1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 ht="15.75" customHeight="1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 ht="15.75" customHeight="1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 ht="15.75" customHeight="1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 ht="15.75" customHeight="1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 ht="15.75" customHeight="1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 ht="15.75" customHeight="1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 ht="15.75" customHeight="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 ht="15.75" customHeight="1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 ht="15.75" customHeight="1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 ht="15.75" customHeight="1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 ht="15.75" customHeight="1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 ht="15.75" customHeight="1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 ht="15.75" customHeight="1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 ht="15.75" customHeight="1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 ht="15.75" customHeight="1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 ht="15.75" customHeight="1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 ht="15.75" customHeight="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 ht="15.75" customHeight="1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 ht="15.75" customHeight="1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 ht="15.75" customHeight="1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 ht="15.75" customHeight="1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 ht="15.75" customHeight="1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 ht="15.75" customHeight="1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 ht="15.75" customHeight="1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 ht="15.75" customHeight="1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 ht="15.75" customHeight="1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 ht="15.75" customHeight="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 ht="15.75" customHeight="1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 ht="15.75" customHeight="1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 ht="15.75" customHeight="1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 ht="15.75" customHeight="1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 ht="15.75" customHeight="1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 ht="15.75" customHeight="1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 ht="15.75" customHeight="1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 ht="15.75" customHeight="1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 ht="15.75" customHeight="1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 ht="15.75" customHeight="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 ht="15.75" customHeight="1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 ht="15.75" customHeight="1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 ht="15.75" customHeight="1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 ht="15.75" customHeight="1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 ht="15.75" customHeight="1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 ht="15.75" customHeight="1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 ht="15.75" customHeight="1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 ht="15.75" customHeight="1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 ht="15.75" customHeight="1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 ht="15.75" customHeight="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 ht="15.75" customHeight="1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 ht="15.75" customHeight="1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 ht="15.75" customHeight="1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 ht="15.75" customHeight="1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 ht="15.75" customHeight="1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 ht="15.75" customHeight="1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 ht="15.75" customHeight="1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 ht="15.75" customHeight="1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 ht="15.75" customHeight="1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 ht="15.75" customHeight="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 ht="15.75" customHeight="1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 ht="15.75" customHeight="1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 ht="15.75" customHeight="1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 ht="15.75" customHeight="1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 ht="15.75" customHeight="1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 ht="15.75" customHeight="1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 ht="15.75" customHeight="1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 ht="15.75" customHeight="1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 ht="15.75" customHeight="1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 ht="15.75" customHeight="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 ht="15.75" customHeight="1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 ht="15.75" customHeight="1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 ht="15.75" customHeight="1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 ht="15.75" customHeight="1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 ht="15.75" customHeight="1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 ht="15.75" customHeight="1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 ht="15.75" customHeight="1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 ht="15.75" customHeight="1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 ht="15.75" customHeight="1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 ht="15.75" customHeight="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 ht="15.75" customHeight="1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 ht="15.75" customHeight="1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 ht="15.75" customHeight="1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 ht="15.75" customHeight="1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 ht="15.75" customHeight="1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 ht="15.75" customHeight="1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 ht="15.75" customHeight="1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 ht="15.75" customHeight="1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 ht="15.75" customHeight="1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 ht="15.75" customHeight="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 ht="15.75" customHeight="1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 ht="15.75" customHeight="1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 ht="15.75" customHeight="1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 ht="15.75" customHeight="1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 ht="15.75" customHeight="1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 ht="15.75" customHeight="1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 ht="15.75" customHeight="1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 ht="15.75" customHeight="1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 ht="15.75" customHeight="1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 ht="15.75" customHeight="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 ht="15.75" customHeight="1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 ht="15.75" customHeight="1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 ht="15.75" customHeight="1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 ht="15.75" customHeight="1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 ht="15.75" customHeight="1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 ht="15.75" customHeight="1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 ht="15.75" customHeight="1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 ht="15.75" customHeight="1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 ht="15.75" customHeight="1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 ht="15.75" customHeight="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 ht="15.75" customHeight="1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 ht="15.75" customHeight="1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 ht="15.75" customHeight="1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 ht="15.75" customHeight="1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 ht="15.75" customHeight="1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 ht="15.75" customHeight="1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 ht="15.75" customHeight="1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 ht="15.75" customHeight="1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 ht="15.75" customHeight="1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 ht="15.75" customHeight="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 ht="15.75" customHeight="1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 ht="15.75" customHeight="1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 ht="15.75" customHeight="1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 ht="15.75" customHeight="1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 ht="15.75" customHeight="1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 ht="15.75" customHeight="1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 ht="15.75" customHeight="1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 ht="15.75" customHeight="1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 ht="15.75" customHeight="1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 ht="15.75" customHeight="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 ht="15.75" customHeight="1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 ht="15.75" customHeight="1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 ht="15.75" customHeight="1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 ht="15.75" customHeight="1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 ht="15.75" customHeight="1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 ht="15.75" customHeight="1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 ht="15.75" customHeight="1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 ht="15.75" customHeight="1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 ht="15.75" customHeight="1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 ht="15.75" customHeight="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 ht="15.75" customHeight="1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 ht="15.75" customHeight="1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 ht="15.75" customHeight="1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 ht="15.75" customHeight="1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 ht="15.75" customHeight="1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 ht="15.75" customHeight="1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 ht="15.75" customHeight="1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 ht="15.75" customHeight="1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 ht="15.75" customHeight="1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 ht="15.75" customHeight="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 ht="15.75" customHeight="1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 ht="15.75" customHeight="1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 ht="15.75" customHeight="1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 ht="15.75" customHeight="1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 ht="15.75" customHeight="1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 ht="15.75" customHeight="1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 ht="15.75" customHeight="1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 ht="15.75" customHeight="1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 ht="15.75" customHeight="1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 ht="15.75" customHeight="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 ht="15.75" customHeight="1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 ht="15.75" customHeight="1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 ht="15.75" customHeight="1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 ht="15.75" customHeight="1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 ht="15.75" customHeight="1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 ht="15.75" customHeight="1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 ht="15.75" customHeight="1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 ht="15.75" customHeight="1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 ht="15.75" customHeight="1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 ht="15.75" customHeight="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 ht="15.75" customHeight="1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 ht="15.75" customHeight="1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 ht="15.75" customHeight="1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 ht="15.75" customHeight="1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 ht="15.75" customHeight="1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 ht="15.75" customHeight="1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 ht="15.75" customHeight="1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 ht="15.75" customHeight="1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 ht="15.75" customHeight="1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 ht="15.75" customHeight="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 ht="15.75" customHeight="1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 ht="15.75" customHeight="1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 ht="15.75" customHeight="1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 ht="15.75" customHeight="1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 ht="15.75" customHeight="1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 ht="15.75" customHeight="1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 ht="15.75" customHeight="1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 ht="15.75" customHeight="1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 ht="15.75" customHeight="1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 ht="15.75" customHeight="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 ht="15.75" customHeight="1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 ht="15.75" customHeight="1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 ht="15.75" customHeight="1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 ht="15.75" customHeight="1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 ht="15.75" customHeight="1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 ht="15.75" customHeight="1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 ht="15.75" customHeight="1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 ht="15.75" customHeight="1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 ht="15.75" customHeight="1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 ht="15.75" customHeight="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 ht="15.75" customHeight="1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 ht="15.75" customHeight="1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 ht="15.75" customHeight="1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 ht="15.75" customHeight="1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 ht="15.75" customHeight="1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 ht="15.75" customHeight="1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 ht="15.75" customHeight="1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 ht="15.75" customHeight="1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 ht="15.75" customHeight="1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 ht="15.75" customHeight="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 ht="15.75" customHeight="1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 ht="15.75" customHeight="1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 ht="15.75" customHeight="1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 ht="15.75" customHeight="1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 ht="15.75" customHeight="1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 ht="15.75" customHeight="1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 ht="15.75" customHeight="1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 ht="15.75" customHeight="1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 ht="15.75" customHeight="1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 ht="15.75" customHeight="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 ht="15.75" customHeight="1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 ht="15.75" customHeight="1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 ht="15.75" customHeight="1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 ht="15.75" customHeight="1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 ht="15.75" customHeight="1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 ht="15.75" customHeight="1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 ht="15.75" customHeight="1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 ht="15.75" customHeight="1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 ht="15.75" customHeight="1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 ht="15.75" customHeight="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 ht="15.75" customHeight="1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 ht="15.75" customHeight="1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 ht="15.75" customHeight="1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 ht="15.75" customHeight="1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 ht="15.75" customHeight="1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 ht="15.75" customHeight="1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 ht="15.75" customHeight="1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 ht="15.75" customHeight="1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 ht="15.75" customHeight="1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 ht="15.75" customHeight="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 ht="15.75" customHeight="1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 ht="15.75" customHeight="1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 ht="15.75" customHeight="1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 ht="15.75" customHeight="1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 ht="15.75" customHeight="1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 ht="15.75" customHeight="1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 ht="15.75" customHeight="1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 ht="15.75" customHeight="1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 ht="15.75" customHeight="1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 ht="15.75" customHeight="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 ht="15.75" customHeight="1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 ht="15.75" customHeight="1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 ht="15.75" customHeight="1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 ht="15.75" customHeight="1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 ht="15.75" customHeight="1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 ht="15.75" customHeight="1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 ht="15.75" customHeight="1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 ht="15.75" customHeight="1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 ht="15.75" customHeight="1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 ht="15.75" customHeight="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 ht="15.75" customHeight="1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 ht="15.75" customHeight="1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 ht="15.75" customHeight="1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 ht="15.75" customHeight="1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 ht="15.75" customHeight="1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 ht="15.75" customHeight="1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 ht="15.75" customHeight="1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 ht="15.75" customHeight="1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 ht="15.75" customHeight="1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 ht="15.75" customHeight="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 ht="15.75" customHeight="1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 ht="15.75" customHeight="1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 ht="15.75" customHeight="1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 ht="15.75" customHeight="1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 ht="15.75" customHeight="1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 ht="15.75" customHeight="1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 ht="15.75" customHeight="1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 ht="15.75" customHeight="1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 ht="15.75" customHeight="1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 ht="15.75" customHeight="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 ht="15.75" customHeight="1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 ht="15.75" customHeight="1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 ht="15.75" customHeight="1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 ht="15.75" customHeight="1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 ht="15.75" customHeight="1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 ht="15.75" customHeight="1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 ht="15.75" customHeight="1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 ht="15.75" customHeight="1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 ht="15.75" customHeight="1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 ht="15.75" customHeight="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 ht="15.75" customHeight="1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 ht="15.75" customHeight="1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 ht="15.75" customHeight="1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 ht="15.75" customHeight="1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 ht="15.75" customHeight="1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 ht="15.75" customHeight="1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 ht="15.75" customHeight="1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 ht="15.75" customHeight="1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 ht="15.75" customHeight="1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 ht="15.75" customHeight="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 ht="15.75" customHeight="1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 ht="15.75" customHeight="1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 ht="15.75" customHeight="1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 ht="15.75" customHeight="1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 ht="15.75" customHeight="1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 ht="15.75" customHeight="1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 ht="15.75" customHeight="1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 ht="15.75" customHeight="1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 ht="15.75" customHeight="1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 ht="15.75" customHeight="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 ht="15.75" customHeight="1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 ht="15.75" customHeight="1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 ht="15.75" customHeight="1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 ht="15.75" customHeight="1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 ht="15.75" customHeight="1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 ht="15.75" customHeight="1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 ht="15.75" customHeight="1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 ht="15.75" customHeight="1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 ht="15.75" customHeight="1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 ht="15.75" customHeight="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 ht="15.75" customHeight="1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 ht="15.75" customHeight="1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 ht="15.75" customHeight="1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 ht="15.75" customHeight="1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 ht="15.75" customHeight="1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 ht="15.75" customHeight="1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 ht="15.75" customHeight="1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 ht="15.75" customHeight="1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 ht="15.75" customHeight="1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 ht="15.75" customHeight="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 ht="15.75" customHeight="1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 ht="15.75" customHeight="1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 ht="15.75" customHeight="1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 ht="15.75" customHeight="1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 ht="15.75" customHeight="1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 ht="15.75" customHeight="1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 ht="15.75" customHeight="1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 ht="15.75" customHeight="1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 ht="15.75" customHeight="1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 ht="15.75" customHeight="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 ht="15.75" customHeight="1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 ht="15.75" customHeight="1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 ht="15.75" customHeight="1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 ht="15.75" customHeight="1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 ht="15.75" customHeight="1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 ht="15.75" customHeight="1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 ht="15.75" customHeight="1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 ht="15.75" customHeight="1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 ht="15.75" customHeight="1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 ht="15.75" customHeight="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 ht="15.75" customHeight="1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 ht="15.75" customHeight="1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 ht="15.75" customHeight="1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 ht="15.75" customHeight="1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 ht="15.75" customHeight="1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 ht="15.75" customHeight="1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 ht="15.75" customHeight="1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 ht="15.75" customHeight="1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 ht="15.75" customHeight="1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 ht="15.75" customHeight="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 ht="15.75" customHeight="1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 ht="15.75" customHeight="1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 ht="15.75" customHeight="1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 ht="15.75" customHeight="1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 ht="15.75" customHeight="1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 ht="15.75" customHeight="1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 ht="15.75" customHeight="1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 ht="15.75" customHeight="1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 ht="15.75" customHeight="1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 ht="15.75" customHeight="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 ht="15.75" customHeight="1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 ht="15.75" customHeight="1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 ht="15.75" customHeight="1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 ht="15.75" customHeight="1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 ht="15.75" customHeight="1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 ht="15.75" customHeight="1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 ht="15.75" customHeight="1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 ht="15.75" customHeight="1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 ht="15.75" customHeight="1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 ht="15.75" customHeight="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 ht="15.75" customHeight="1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 ht="15.75" customHeight="1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 ht="15.75" customHeight="1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 ht="15.75" customHeight="1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 ht="15.75" customHeight="1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 ht="15.75" customHeight="1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 ht="15.75" customHeight="1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 ht="15.75" customHeight="1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 ht="15.75" customHeight="1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 ht="15.75" customHeight="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 ht="15.75" customHeight="1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 ht="15.75" customHeight="1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 ht="15.75" customHeight="1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 ht="15.75" customHeight="1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 ht="15.75" customHeight="1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 ht="15.75" customHeight="1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 ht="15.75" customHeight="1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 ht="15.75" customHeight="1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 ht="15.75" customHeight="1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 ht="15.75" customHeight="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 ht="15.75" customHeight="1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 ht="15.75" customHeight="1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 ht="15.75" customHeight="1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 ht="15.75" customHeight="1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 ht="15.75" customHeight="1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 ht="15.75" customHeight="1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 ht="15.75" customHeight="1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 ht="15.75" customHeight="1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 ht="15.75" customHeight="1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 ht="15.75" customHeight="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 ht="15.75" customHeight="1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 ht="15.75" customHeight="1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 ht="15.75" customHeight="1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 ht="15.75" customHeight="1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 ht="15.75" customHeight="1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 ht="15.75" customHeight="1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 ht="15.75" customHeight="1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 ht="15.75" customHeight="1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 ht="15.75" customHeight="1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 ht="15.75" customHeight="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 ht="15.75" customHeight="1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 ht="15.75" customHeight="1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 ht="15.75" customHeight="1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 ht="15.75" customHeight="1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 ht="15.75" customHeight="1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 ht="15.75" customHeight="1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 ht="15.75" customHeight="1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 ht="15.75" customHeight="1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 ht="15.75" customHeight="1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 ht="15.75" customHeight="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 ht="15.75" customHeight="1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 ht="15.75" customHeight="1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 ht="15.75" customHeight="1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 ht="15.75" customHeight="1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 ht="15.75" customHeight="1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 ht="15.75" customHeight="1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 ht="15.75" customHeight="1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 ht="15.75" customHeight="1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 ht="15.75" customHeight="1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</sheetData>
  <mergeCells count="6">
    <mergeCell ref="B2:C4"/>
    <mergeCell ref="Q2:U3"/>
    <mergeCell ref="Q4:U5"/>
    <mergeCell ref="Q7:U7"/>
    <mergeCell ref="F9:O9"/>
    <mergeCell ref="Q10:U17"/>
  </mergeCells>
  <dataValidations>
    <dataValidation type="list" allowBlank="1" sqref="C10:C59">
      <formula1>seznam_clenu_OVT!$A$2:$A$100</formula1>
    </dataValidation>
    <dataValidation type="list" allowBlank="1" showErrorMessage="1" sqref="F5:O5">
      <formula1>pomocna_tabulka!$A$2:$A$3</formula1>
    </dataValidation>
    <dataValidation type="list" allowBlank="1" sqref="F10:O59">
      <formula1>pomocna_tabulka!$B$2:$B$3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20.57"/>
    <col customWidth="1" min="3" max="3" width="21.57"/>
    <col customWidth="1" hidden="1" min="4" max="4" width="21.57"/>
    <col customWidth="1" min="5" max="5" width="20.86"/>
    <col customWidth="1" min="6" max="10" width="14.29"/>
    <col customWidth="1" min="11" max="11" width="16.43"/>
    <col customWidth="1" min="12" max="15" width="14.29"/>
    <col customWidth="1" min="16" max="16" width="5.43"/>
    <col customWidth="1" min="17" max="21" width="9.14"/>
    <col customWidth="1" min="22" max="26" width="8.71"/>
  </cols>
  <sheetData>
    <row r="1" ht="7.5" customHeight="1">
      <c r="A1" s="187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</row>
    <row r="2" ht="29.25" customHeight="1">
      <c r="A2" s="187"/>
      <c r="B2" s="188" t="s">
        <v>83</v>
      </c>
      <c r="C2" s="189"/>
      <c r="D2" s="190"/>
      <c r="E2" s="191" t="s">
        <v>3</v>
      </c>
      <c r="F2" s="192" t="s">
        <v>84</v>
      </c>
      <c r="G2" s="193" t="s">
        <v>85</v>
      </c>
      <c r="H2" s="193" t="s">
        <v>86</v>
      </c>
      <c r="I2" s="193" t="s">
        <v>87</v>
      </c>
      <c r="J2" s="193" t="s">
        <v>88</v>
      </c>
      <c r="K2" s="193" t="s">
        <v>89</v>
      </c>
      <c r="L2" s="193" t="s">
        <v>90</v>
      </c>
      <c r="M2" s="194"/>
      <c r="N2" s="194"/>
      <c r="O2" s="195"/>
      <c r="P2" s="187"/>
      <c r="Q2" s="196" t="s">
        <v>91</v>
      </c>
      <c r="R2" s="197"/>
      <c r="S2" s="197"/>
      <c r="T2" s="197"/>
      <c r="U2" s="198"/>
      <c r="V2" s="187"/>
      <c r="W2" s="187"/>
      <c r="X2" s="187"/>
      <c r="Y2" s="187"/>
      <c r="Z2" s="187"/>
    </row>
    <row r="3" ht="29.25" customHeight="1">
      <c r="A3" s="187"/>
      <c r="B3" s="199"/>
      <c r="C3" s="133"/>
      <c r="D3" s="200"/>
      <c r="E3" s="201" t="s">
        <v>5</v>
      </c>
      <c r="F3" s="202"/>
      <c r="G3" s="203">
        <v>900.0</v>
      </c>
      <c r="H3" s="203">
        <v>828.0</v>
      </c>
      <c r="I3" s="203">
        <v>1564.0</v>
      </c>
      <c r="J3" s="203">
        <v>968.0</v>
      </c>
      <c r="K3" s="203">
        <v>135.0</v>
      </c>
      <c r="L3" s="203">
        <v>2280.0</v>
      </c>
      <c r="M3" s="204"/>
      <c r="N3" s="204"/>
      <c r="O3" s="205"/>
      <c r="P3" s="187"/>
      <c r="Q3" s="206"/>
      <c r="R3" s="136"/>
      <c r="S3" s="136"/>
      <c r="T3" s="136"/>
      <c r="U3" s="137"/>
      <c r="V3" s="187"/>
      <c r="W3" s="187"/>
      <c r="X3" s="187"/>
      <c r="Y3" s="187"/>
      <c r="Z3" s="187"/>
    </row>
    <row r="4" ht="29.25" customHeight="1">
      <c r="A4" s="187"/>
      <c r="B4" s="207"/>
      <c r="C4" s="139"/>
      <c r="D4" s="200"/>
      <c r="E4" s="208" t="s">
        <v>7</v>
      </c>
      <c r="F4" s="209">
        <v>2000.0</v>
      </c>
      <c r="G4" s="210"/>
      <c r="H4" s="210"/>
      <c r="I4" s="210"/>
      <c r="J4" s="210"/>
      <c r="K4" s="211"/>
      <c r="L4" s="210"/>
      <c r="M4" s="210"/>
      <c r="N4" s="210"/>
      <c r="O4" s="212"/>
      <c r="P4" s="187"/>
      <c r="Q4" s="213" t="s">
        <v>92</v>
      </c>
      <c r="R4" s="197"/>
      <c r="S4" s="197"/>
      <c r="T4" s="197"/>
      <c r="U4" s="198"/>
      <c r="V4" s="187"/>
      <c r="W4" s="187"/>
      <c r="X4" s="187"/>
      <c r="Y4" s="187"/>
      <c r="Z4" s="187"/>
    </row>
    <row r="5" ht="22.5" customHeight="1">
      <c r="A5" s="187"/>
      <c r="B5" s="214" t="s">
        <v>8</v>
      </c>
      <c r="C5" s="215">
        <f>SUMIFS(F7:O7,F7:O7,"&gt;0")</f>
        <v>6675</v>
      </c>
      <c r="D5" s="200"/>
      <c r="E5" s="216" t="s">
        <v>9</v>
      </c>
      <c r="F5" s="217" t="s">
        <v>10</v>
      </c>
      <c r="G5" s="218" t="s">
        <v>10</v>
      </c>
      <c r="H5" s="219" t="s">
        <v>10</v>
      </c>
      <c r="I5" s="218" t="s">
        <v>10</v>
      </c>
      <c r="J5" s="218" t="s">
        <v>10</v>
      </c>
      <c r="K5" s="218" t="s">
        <v>10</v>
      </c>
      <c r="L5" s="218" t="s">
        <v>11</v>
      </c>
      <c r="M5" s="219"/>
      <c r="N5" s="219"/>
      <c r="O5" s="220"/>
      <c r="P5" s="187"/>
      <c r="Q5" s="206"/>
      <c r="R5" s="136"/>
      <c r="S5" s="136"/>
      <c r="T5" s="136"/>
      <c r="U5" s="137"/>
      <c r="V5" s="187"/>
      <c r="W5" s="187"/>
      <c r="X5" s="187"/>
      <c r="Y5" s="187"/>
      <c r="Z5" s="187"/>
    </row>
    <row r="6" ht="31.5" customHeight="1">
      <c r="A6" s="187"/>
      <c r="B6" s="221" t="s">
        <v>12</v>
      </c>
      <c r="C6" s="222">
        <f>SUMIFS(F7:O7,F7:O7,"&lt;0")</f>
        <v>-2000</v>
      </c>
      <c r="D6" s="200"/>
      <c r="E6" s="223" t="s">
        <v>14</v>
      </c>
      <c r="F6" s="224">
        <v>9.0</v>
      </c>
      <c r="G6" s="225">
        <v>17.0</v>
      </c>
      <c r="H6" s="225">
        <v>17.0</v>
      </c>
      <c r="I6" s="225">
        <v>17.0</v>
      </c>
      <c r="J6" s="225">
        <v>17.0</v>
      </c>
      <c r="K6" s="225">
        <v>17.0</v>
      </c>
      <c r="L6" s="225">
        <v>19.0</v>
      </c>
      <c r="M6" s="226">
        <f t="shared" ref="M6:O6" si="1">COUNTIFS(M10:M200,"&lt;&gt;",M10:M200,"&lt;&gt;-")</f>
        <v>0</v>
      </c>
      <c r="N6" s="226">
        <f t="shared" si="1"/>
        <v>0</v>
      </c>
      <c r="O6" s="227">
        <f t="shared" si="1"/>
        <v>0</v>
      </c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</row>
    <row r="7" ht="34.5" customHeight="1">
      <c r="A7" s="187"/>
      <c r="B7" s="228" t="s">
        <v>15</v>
      </c>
      <c r="C7" s="229">
        <f>SUM(E10:E200)</f>
        <v>4685</v>
      </c>
      <c r="D7" s="200"/>
      <c r="E7" s="230" t="s">
        <v>16</v>
      </c>
      <c r="F7" s="231">
        <f t="shared" ref="F7:K7" si="2">IF(F5="A - Rozdělit",F3-F4,IF(F5="B - Na hlavu",(F3-F4)*F6,"0"))</f>
        <v>-2000</v>
      </c>
      <c r="G7" s="150">
        <f t="shared" si="2"/>
        <v>900</v>
      </c>
      <c r="H7" s="150">
        <f t="shared" si="2"/>
        <v>828</v>
      </c>
      <c r="I7" s="150">
        <f t="shared" si="2"/>
        <v>1564</v>
      </c>
      <c r="J7" s="150">
        <f t="shared" si="2"/>
        <v>968</v>
      </c>
      <c r="K7" s="150">
        <f t="shared" si="2"/>
        <v>135</v>
      </c>
      <c r="L7" s="232">
        <v>2280.0</v>
      </c>
      <c r="M7" s="150" t="str">
        <f t="shared" ref="M7:O7" si="3">IF(M5="A - Rozdělit",M3-M4,IF(M5="B - Na hlavu",(M3-M4)*M6,"0"))</f>
        <v>0</v>
      </c>
      <c r="N7" s="150" t="str">
        <f t="shared" si="3"/>
        <v>0</v>
      </c>
      <c r="O7" s="233" t="str">
        <f t="shared" si="3"/>
        <v>0</v>
      </c>
      <c r="P7" s="187"/>
      <c r="Q7" s="234" t="s">
        <v>58</v>
      </c>
      <c r="R7" s="235"/>
      <c r="S7" s="235"/>
      <c r="T7" s="235"/>
      <c r="U7" s="236"/>
      <c r="V7" s="187"/>
      <c r="W7" s="187"/>
      <c r="X7" s="187"/>
      <c r="Y7" s="187"/>
      <c r="Z7" s="187"/>
    </row>
    <row r="8" ht="34.5" customHeight="1">
      <c r="A8" s="187"/>
      <c r="B8" s="228" t="s">
        <v>17</v>
      </c>
      <c r="C8" s="229">
        <f>C7-C5-C6</f>
        <v>10</v>
      </c>
      <c r="D8" s="237"/>
      <c r="E8" s="238" t="s">
        <v>18</v>
      </c>
      <c r="F8" s="239">
        <f t="shared" ref="F8:K8" si="4">IF(F5="A - Rozdělit",(F3-F4)/F6,IF(F5="B - Na hlavu",F3-F4,"0"))</f>
        <v>-222.2222222</v>
      </c>
      <c r="G8" s="240">
        <f t="shared" si="4"/>
        <v>52.94117647</v>
      </c>
      <c r="H8" s="240">
        <f t="shared" si="4"/>
        <v>48.70588235</v>
      </c>
      <c r="I8" s="240">
        <f t="shared" si="4"/>
        <v>92</v>
      </c>
      <c r="J8" s="240">
        <f t="shared" si="4"/>
        <v>56.94117647</v>
      </c>
      <c r="K8" s="240">
        <f t="shared" si="4"/>
        <v>7.941176471</v>
      </c>
      <c r="L8" s="241">
        <v>120.0</v>
      </c>
      <c r="M8" s="240" t="str">
        <f t="shared" ref="M8:O8" si="5">IF(M5="A - Rozdělit",(M3-M4)/M6,IF(M5="B - Na hlavu",M3-M4,"0"))</f>
        <v>0</v>
      </c>
      <c r="N8" s="240" t="str">
        <f t="shared" si="5"/>
        <v>0</v>
      </c>
      <c r="O8" s="242" t="str">
        <f t="shared" si="5"/>
        <v>0</v>
      </c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</row>
    <row r="9" ht="36.75" customHeight="1">
      <c r="A9" s="187"/>
      <c r="B9" s="243" t="s">
        <v>19</v>
      </c>
      <c r="C9" s="244" t="s">
        <v>20</v>
      </c>
      <c r="D9" s="245" t="s">
        <v>93</v>
      </c>
      <c r="E9" s="245" t="s">
        <v>94</v>
      </c>
      <c r="F9" s="246" t="s">
        <v>27</v>
      </c>
      <c r="G9" s="247"/>
      <c r="H9" s="247"/>
      <c r="I9" s="247"/>
      <c r="J9" s="247"/>
      <c r="K9" s="247"/>
      <c r="L9" s="247"/>
      <c r="M9" s="247"/>
      <c r="N9" s="247"/>
      <c r="O9" s="139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</row>
    <row r="10" ht="15.0" customHeight="1">
      <c r="A10" s="187"/>
      <c r="B10" s="248">
        <v>1.0</v>
      </c>
      <c r="C10" s="249" t="s">
        <v>68</v>
      </c>
      <c r="D10" s="250">
        <f t="shared" ref="D10:D59" si="6">SUMIFS($F$8:$O$8,F10:O10,"&lt;&gt;",F10:O10,"&lt;&gt;-")</f>
        <v>156.3071895</v>
      </c>
      <c r="E10" s="251">
        <f t="shared" ref="E10:E59" si="7">ROUNDUP(D10,0)</f>
        <v>157</v>
      </c>
      <c r="F10" s="252" t="s">
        <v>69</v>
      </c>
      <c r="G10" s="252" t="s">
        <v>69</v>
      </c>
      <c r="H10" s="252" t="s">
        <v>69</v>
      </c>
      <c r="I10" s="252" t="s">
        <v>69</v>
      </c>
      <c r="J10" s="252" t="s">
        <v>69</v>
      </c>
      <c r="K10" s="252" t="s">
        <v>69</v>
      </c>
      <c r="L10" s="252" t="s">
        <v>69</v>
      </c>
      <c r="M10" s="253"/>
      <c r="N10" s="253"/>
      <c r="O10" s="254"/>
      <c r="P10" s="187"/>
      <c r="Q10" s="255" t="s">
        <v>95</v>
      </c>
      <c r="R10" s="197"/>
      <c r="S10" s="197"/>
      <c r="T10" s="197"/>
      <c r="U10" s="198"/>
      <c r="V10" s="187"/>
      <c r="W10" s="187"/>
      <c r="X10" s="187"/>
      <c r="Y10" s="187"/>
      <c r="Z10" s="187"/>
    </row>
    <row r="11">
      <c r="A11" s="187"/>
      <c r="B11" s="256">
        <v>2.0</v>
      </c>
      <c r="C11" s="257" t="s">
        <v>71</v>
      </c>
      <c r="D11" s="250">
        <f t="shared" si="6"/>
        <v>156.3071895</v>
      </c>
      <c r="E11" s="251">
        <f t="shared" si="7"/>
        <v>157</v>
      </c>
      <c r="F11" s="252" t="s">
        <v>69</v>
      </c>
      <c r="G11" s="252" t="s">
        <v>69</v>
      </c>
      <c r="H11" s="252" t="s">
        <v>69</v>
      </c>
      <c r="I11" s="252" t="s">
        <v>69</v>
      </c>
      <c r="J11" s="252" t="s">
        <v>69</v>
      </c>
      <c r="K11" s="252" t="s">
        <v>69</v>
      </c>
      <c r="L11" s="252" t="s">
        <v>69</v>
      </c>
      <c r="M11" s="258"/>
      <c r="N11" s="258"/>
      <c r="O11" s="259"/>
      <c r="P11" s="187"/>
      <c r="Q11" s="260"/>
      <c r="U11" s="168"/>
      <c r="V11" s="187"/>
      <c r="W11" s="187"/>
      <c r="X11" s="187"/>
      <c r="Y11" s="187"/>
      <c r="Z11" s="187"/>
    </row>
    <row r="12">
      <c r="A12" s="187"/>
      <c r="B12" s="256">
        <v>3.0</v>
      </c>
      <c r="C12" s="257" t="s">
        <v>96</v>
      </c>
      <c r="D12" s="250">
        <f t="shared" si="6"/>
        <v>156.3071895</v>
      </c>
      <c r="E12" s="251">
        <f t="shared" si="7"/>
        <v>157</v>
      </c>
      <c r="F12" s="252" t="s">
        <v>69</v>
      </c>
      <c r="G12" s="252" t="s">
        <v>69</v>
      </c>
      <c r="H12" s="252" t="s">
        <v>69</v>
      </c>
      <c r="I12" s="252" t="s">
        <v>69</v>
      </c>
      <c r="J12" s="252" t="s">
        <v>69</v>
      </c>
      <c r="K12" s="252" t="s">
        <v>69</v>
      </c>
      <c r="L12" s="252" t="s">
        <v>69</v>
      </c>
      <c r="M12" s="258"/>
      <c r="N12" s="258"/>
      <c r="O12" s="259"/>
      <c r="P12" s="187"/>
      <c r="Q12" s="260"/>
      <c r="U12" s="168"/>
      <c r="V12" s="187"/>
      <c r="W12" s="187"/>
      <c r="X12" s="187"/>
      <c r="Y12" s="187"/>
      <c r="Z12" s="187"/>
    </row>
    <row r="13">
      <c r="A13" s="187"/>
      <c r="B13" s="256">
        <v>4.0</v>
      </c>
      <c r="C13" s="257" t="s">
        <v>97</v>
      </c>
      <c r="D13" s="250">
        <f t="shared" si="6"/>
        <v>156.3071895</v>
      </c>
      <c r="E13" s="251">
        <f t="shared" si="7"/>
        <v>157</v>
      </c>
      <c r="F13" s="252" t="s">
        <v>69</v>
      </c>
      <c r="G13" s="252" t="s">
        <v>69</v>
      </c>
      <c r="H13" s="252" t="s">
        <v>69</v>
      </c>
      <c r="I13" s="252" t="s">
        <v>69</v>
      </c>
      <c r="J13" s="252" t="s">
        <v>69</v>
      </c>
      <c r="K13" s="252" t="s">
        <v>69</v>
      </c>
      <c r="L13" s="252" t="s">
        <v>69</v>
      </c>
      <c r="M13" s="258"/>
      <c r="N13" s="258"/>
      <c r="O13" s="259"/>
      <c r="P13" s="187"/>
      <c r="Q13" s="260"/>
      <c r="U13" s="168"/>
      <c r="V13" s="187"/>
      <c r="W13" s="187"/>
      <c r="X13" s="187"/>
      <c r="Y13" s="187"/>
      <c r="Z13" s="187"/>
    </row>
    <row r="14">
      <c r="A14" s="187"/>
      <c r="B14" s="256">
        <v>5.0</v>
      </c>
      <c r="C14" s="257" t="s">
        <v>98</v>
      </c>
      <c r="D14" s="250">
        <f t="shared" si="6"/>
        <v>156.3071895</v>
      </c>
      <c r="E14" s="251">
        <f t="shared" si="7"/>
        <v>157</v>
      </c>
      <c r="F14" s="252" t="s">
        <v>69</v>
      </c>
      <c r="G14" s="252" t="s">
        <v>69</v>
      </c>
      <c r="H14" s="252" t="s">
        <v>69</v>
      </c>
      <c r="I14" s="252" t="s">
        <v>69</v>
      </c>
      <c r="J14" s="252" t="s">
        <v>69</v>
      </c>
      <c r="K14" s="252" t="s">
        <v>69</v>
      </c>
      <c r="L14" s="252" t="s">
        <v>69</v>
      </c>
      <c r="M14" s="258"/>
      <c r="N14" s="258"/>
      <c r="O14" s="259"/>
      <c r="P14" s="187"/>
      <c r="Q14" s="260"/>
      <c r="U14" s="168"/>
      <c r="V14" s="187"/>
      <c r="W14" s="187"/>
      <c r="X14" s="187"/>
      <c r="Y14" s="187"/>
      <c r="Z14" s="187"/>
    </row>
    <row r="15">
      <c r="A15" s="187"/>
      <c r="B15" s="256">
        <v>6.0</v>
      </c>
      <c r="C15" s="257" t="s">
        <v>99</v>
      </c>
      <c r="D15" s="250">
        <f t="shared" si="6"/>
        <v>156.3071895</v>
      </c>
      <c r="E15" s="251">
        <f t="shared" si="7"/>
        <v>157</v>
      </c>
      <c r="F15" s="252" t="s">
        <v>69</v>
      </c>
      <c r="G15" s="252" t="s">
        <v>69</v>
      </c>
      <c r="H15" s="252" t="s">
        <v>69</v>
      </c>
      <c r="I15" s="252" t="s">
        <v>69</v>
      </c>
      <c r="J15" s="252" t="s">
        <v>69</v>
      </c>
      <c r="K15" s="252" t="s">
        <v>69</v>
      </c>
      <c r="L15" s="252" t="s">
        <v>69</v>
      </c>
      <c r="M15" s="258"/>
      <c r="N15" s="258"/>
      <c r="O15" s="259"/>
      <c r="P15" s="187"/>
      <c r="Q15" s="260"/>
      <c r="U15" s="168"/>
      <c r="V15" s="187"/>
      <c r="W15" s="187"/>
      <c r="X15" s="187"/>
      <c r="Y15" s="187"/>
      <c r="Z15" s="187"/>
    </row>
    <row r="16">
      <c r="A16" s="187"/>
      <c r="B16" s="256">
        <v>7.0</v>
      </c>
      <c r="C16" s="257" t="s">
        <v>100</v>
      </c>
      <c r="D16" s="250">
        <f t="shared" si="6"/>
        <v>156.3071895</v>
      </c>
      <c r="E16" s="251">
        <f t="shared" si="7"/>
        <v>157</v>
      </c>
      <c r="F16" s="252" t="s">
        <v>69</v>
      </c>
      <c r="G16" s="252" t="s">
        <v>69</v>
      </c>
      <c r="H16" s="252" t="s">
        <v>69</v>
      </c>
      <c r="I16" s="252" t="s">
        <v>69</v>
      </c>
      <c r="J16" s="252" t="s">
        <v>69</v>
      </c>
      <c r="K16" s="252" t="s">
        <v>69</v>
      </c>
      <c r="L16" s="252" t="s">
        <v>69</v>
      </c>
      <c r="M16" s="258"/>
      <c r="N16" s="258"/>
      <c r="O16" s="259"/>
      <c r="P16" s="187"/>
      <c r="Q16" s="260"/>
      <c r="U16" s="168"/>
      <c r="V16" s="187"/>
      <c r="W16" s="187"/>
      <c r="X16" s="187"/>
      <c r="Y16" s="187"/>
      <c r="Z16" s="187"/>
    </row>
    <row r="17">
      <c r="A17" s="187"/>
      <c r="B17" s="256">
        <v>8.0</v>
      </c>
      <c r="C17" s="257" t="s">
        <v>101</v>
      </c>
      <c r="D17" s="250">
        <f t="shared" si="6"/>
        <v>36.30718954</v>
      </c>
      <c r="E17" s="251">
        <f t="shared" si="7"/>
        <v>37</v>
      </c>
      <c r="F17" s="252" t="s">
        <v>69</v>
      </c>
      <c r="G17" s="252" t="s">
        <v>69</v>
      </c>
      <c r="H17" s="252" t="s">
        <v>69</v>
      </c>
      <c r="I17" s="252" t="s">
        <v>69</v>
      </c>
      <c r="J17" s="252" t="s">
        <v>69</v>
      </c>
      <c r="K17" s="252" t="s">
        <v>69</v>
      </c>
      <c r="L17" s="261" t="s">
        <v>74</v>
      </c>
      <c r="M17" s="258"/>
      <c r="N17" s="258"/>
      <c r="O17" s="259"/>
      <c r="P17" s="187"/>
      <c r="Q17" s="206"/>
      <c r="R17" s="136"/>
      <c r="S17" s="136"/>
      <c r="T17" s="136"/>
      <c r="U17" s="137"/>
      <c r="V17" s="187"/>
      <c r="W17" s="187"/>
      <c r="X17" s="187"/>
      <c r="Y17" s="187"/>
      <c r="Z17" s="187"/>
    </row>
    <row r="18">
      <c r="A18" s="187"/>
      <c r="B18" s="256">
        <v>9.0</v>
      </c>
      <c r="C18" s="257" t="s">
        <v>102</v>
      </c>
      <c r="D18" s="250">
        <f t="shared" si="6"/>
        <v>36.30718954</v>
      </c>
      <c r="E18" s="251">
        <f t="shared" si="7"/>
        <v>37</v>
      </c>
      <c r="F18" s="252" t="s">
        <v>69</v>
      </c>
      <c r="G18" s="252" t="s">
        <v>69</v>
      </c>
      <c r="H18" s="252" t="s">
        <v>69</v>
      </c>
      <c r="I18" s="252" t="s">
        <v>69</v>
      </c>
      <c r="J18" s="252" t="s">
        <v>69</v>
      </c>
      <c r="K18" s="252" t="s">
        <v>69</v>
      </c>
      <c r="L18" s="261" t="s">
        <v>74</v>
      </c>
      <c r="M18" s="258"/>
      <c r="N18" s="258"/>
      <c r="O18" s="259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</row>
    <row r="19">
      <c r="A19" s="187"/>
      <c r="B19" s="256">
        <v>10.0</v>
      </c>
      <c r="C19" s="257" t="s">
        <v>103</v>
      </c>
      <c r="D19" s="250">
        <f t="shared" si="6"/>
        <v>0</v>
      </c>
      <c r="E19" s="251">
        <f t="shared" si="7"/>
        <v>0</v>
      </c>
      <c r="F19" s="252" t="s">
        <v>74</v>
      </c>
      <c r="G19" s="252" t="s">
        <v>74</v>
      </c>
      <c r="H19" s="252" t="s">
        <v>74</v>
      </c>
      <c r="I19" s="252" t="s">
        <v>74</v>
      </c>
      <c r="J19" s="252" t="s">
        <v>74</v>
      </c>
      <c r="K19" s="252" t="s">
        <v>74</v>
      </c>
      <c r="L19" s="252" t="s">
        <v>74</v>
      </c>
      <c r="M19" s="258"/>
      <c r="N19" s="258"/>
      <c r="O19" s="259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</row>
    <row r="20">
      <c r="A20" s="187"/>
      <c r="B20" s="256">
        <v>11.0</v>
      </c>
      <c r="C20" s="257" t="s">
        <v>104</v>
      </c>
      <c r="D20" s="250">
        <f t="shared" si="6"/>
        <v>0</v>
      </c>
      <c r="E20" s="251">
        <f t="shared" si="7"/>
        <v>0</v>
      </c>
      <c r="F20" s="252" t="s">
        <v>74</v>
      </c>
      <c r="G20" s="252" t="s">
        <v>74</v>
      </c>
      <c r="H20" s="252" t="s">
        <v>74</v>
      </c>
      <c r="I20" s="252" t="s">
        <v>74</v>
      </c>
      <c r="J20" s="252" t="s">
        <v>74</v>
      </c>
      <c r="K20" s="252" t="s">
        <v>74</v>
      </c>
      <c r="L20" s="252" t="s">
        <v>74</v>
      </c>
      <c r="M20" s="258"/>
      <c r="N20" s="258"/>
      <c r="O20" s="259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</row>
    <row r="21" ht="15.75" customHeight="1">
      <c r="A21" s="187"/>
      <c r="B21" s="256">
        <v>12.0</v>
      </c>
      <c r="C21" s="257" t="s">
        <v>105</v>
      </c>
      <c r="D21" s="250">
        <f t="shared" si="6"/>
        <v>120</v>
      </c>
      <c r="E21" s="251">
        <f t="shared" si="7"/>
        <v>120</v>
      </c>
      <c r="F21" s="252" t="s">
        <v>74</v>
      </c>
      <c r="G21" s="252" t="s">
        <v>74</v>
      </c>
      <c r="H21" s="252" t="s">
        <v>74</v>
      </c>
      <c r="I21" s="252" t="s">
        <v>74</v>
      </c>
      <c r="J21" s="252" t="s">
        <v>74</v>
      </c>
      <c r="K21" s="252" t="s">
        <v>74</v>
      </c>
      <c r="L21" s="261" t="s">
        <v>69</v>
      </c>
      <c r="M21" s="258"/>
      <c r="N21" s="258"/>
      <c r="O21" s="259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</row>
    <row r="22" ht="15.75" customHeight="1">
      <c r="A22" s="187"/>
      <c r="B22" s="256">
        <v>13.0</v>
      </c>
      <c r="C22" s="257" t="s">
        <v>106</v>
      </c>
      <c r="D22" s="250">
        <f t="shared" si="6"/>
        <v>120</v>
      </c>
      <c r="E22" s="251">
        <f t="shared" si="7"/>
        <v>120</v>
      </c>
      <c r="F22" s="252" t="s">
        <v>74</v>
      </c>
      <c r="G22" s="252" t="s">
        <v>74</v>
      </c>
      <c r="H22" s="252" t="s">
        <v>74</v>
      </c>
      <c r="I22" s="252" t="s">
        <v>74</v>
      </c>
      <c r="J22" s="252" t="s">
        <v>74</v>
      </c>
      <c r="K22" s="252" t="s">
        <v>74</v>
      </c>
      <c r="L22" s="261" t="s">
        <v>69</v>
      </c>
      <c r="M22" s="258"/>
      <c r="N22" s="258"/>
      <c r="O22" s="259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</row>
    <row r="23" ht="15.75" customHeight="1">
      <c r="A23" s="187"/>
      <c r="B23" s="256">
        <v>14.0</v>
      </c>
      <c r="C23" s="257" t="s">
        <v>107</v>
      </c>
      <c r="D23" s="250">
        <f t="shared" si="6"/>
        <v>120</v>
      </c>
      <c r="E23" s="251">
        <f t="shared" si="7"/>
        <v>120</v>
      </c>
      <c r="F23" s="252" t="s">
        <v>74</v>
      </c>
      <c r="G23" s="252" t="s">
        <v>74</v>
      </c>
      <c r="H23" s="252" t="s">
        <v>74</v>
      </c>
      <c r="I23" s="252" t="s">
        <v>74</v>
      </c>
      <c r="J23" s="252" t="s">
        <v>74</v>
      </c>
      <c r="K23" s="252" t="s">
        <v>74</v>
      </c>
      <c r="L23" s="261" t="s">
        <v>69</v>
      </c>
      <c r="M23" s="258"/>
      <c r="N23" s="258"/>
      <c r="O23" s="259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15.75" customHeight="1">
      <c r="A24" s="187"/>
      <c r="B24" s="256">
        <v>15.0</v>
      </c>
      <c r="C24" s="257" t="s">
        <v>108</v>
      </c>
      <c r="D24" s="250">
        <f t="shared" si="6"/>
        <v>120</v>
      </c>
      <c r="E24" s="251">
        <f t="shared" si="7"/>
        <v>120</v>
      </c>
      <c r="F24" s="252" t="s">
        <v>74</v>
      </c>
      <c r="G24" s="252" t="s">
        <v>74</v>
      </c>
      <c r="H24" s="252" t="s">
        <v>74</v>
      </c>
      <c r="I24" s="252" t="s">
        <v>74</v>
      </c>
      <c r="J24" s="252" t="s">
        <v>74</v>
      </c>
      <c r="K24" s="252" t="s">
        <v>74</v>
      </c>
      <c r="L24" s="261" t="s">
        <v>69</v>
      </c>
      <c r="M24" s="258"/>
      <c r="N24" s="258"/>
      <c r="O24" s="259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5.75" customHeight="1">
      <c r="A25" s="187"/>
      <c r="B25" s="256">
        <v>16.0</v>
      </c>
      <c r="C25" s="257" t="s">
        <v>109</v>
      </c>
      <c r="D25" s="250">
        <f t="shared" si="6"/>
        <v>378.5294118</v>
      </c>
      <c r="E25" s="251">
        <f t="shared" si="7"/>
        <v>379</v>
      </c>
      <c r="F25" s="252" t="s">
        <v>74</v>
      </c>
      <c r="G25" s="252" t="s">
        <v>69</v>
      </c>
      <c r="H25" s="252" t="s">
        <v>69</v>
      </c>
      <c r="I25" s="252" t="s">
        <v>69</v>
      </c>
      <c r="J25" s="252" t="s">
        <v>69</v>
      </c>
      <c r="K25" s="252" t="s">
        <v>69</v>
      </c>
      <c r="L25" s="252" t="s">
        <v>69</v>
      </c>
      <c r="M25" s="258"/>
      <c r="N25" s="258"/>
      <c r="O25" s="259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15.75" customHeight="1">
      <c r="A26" s="187"/>
      <c r="B26" s="256">
        <v>17.0</v>
      </c>
      <c r="C26" s="257" t="s">
        <v>110</v>
      </c>
      <c r="D26" s="250">
        <f t="shared" si="6"/>
        <v>378.5294118</v>
      </c>
      <c r="E26" s="251">
        <f t="shared" si="7"/>
        <v>379</v>
      </c>
      <c r="F26" s="252" t="s">
        <v>74</v>
      </c>
      <c r="G26" s="252" t="s">
        <v>69</v>
      </c>
      <c r="H26" s="252" t="s">
        <v>69</v>
      </c>
      <c r="I26" s="252" t="s">
        <v>69</v>
      </c>
      <c r="J26" s="252" t="s">
        <v>69</v>
      </c>
      <c r="K26" s="252" t="s">
        <v>69</v>
      </c>
      <c r="L26" s="252" t="s">
        <v>69</v>
      </c>
      <c r="M26" s="258"/>
      <c r="N26" s="258"/>
      <c r="O26" s="259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5.75" customHeight="1">
      <c r="A27" s="187"/>
      <c r="B27" s="256">
        <v>18.0</v>
      </c>
      <c r="C27" s="257" t="s">
        <v>111</v>
      </c>
      <c r="D27" s="250">
        <f t="shared" si="6"/>
        <v>378.5294118</v>
      </c>
      <c r="E27" s="251">
        <f t="shared" si="7"/>
        <v>379</v>
      </c>
      <c r="F27" s="252" t="s">
        <v>74</v>
      </c>
      <c r="G27" s="252" t="s">
        <v>69</v>
      </c>
      <c r="H27" s="252" t="s">
        <v>69</v>
      </c>
      <c r="I27" s="252" t="s">
        <v>69</v>
      </c>
      <c r="J27" s="252" t="s">
        <v>69</v>
      </c>
      <c r="K27" s="252" t="s">
        <v>69</v>
      </c>
      <c r="L27" s="252" t="s">
        <v>69</v>
      </c>
      <c r="M27" s="258"/>
      <c r="N27" s="258"/>
      <c r="O27" s="259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5.75" customHeight="1">
      <c r="A28" s="187"/>
      <c r="B28" s="256">
        <v>19.0</v>
      </c>
      <c r="C28" s="257" t="s">
        <v>112</v>
      </c>
      <c r="D28" s="250">
        <f t="shared" si="6"/>
        <v>378.5294118</v>
      </c>
      <c r="E28" s="251">
        <f t="shared" si="7"/>
        <v>379</v>
      </c>
      <c r="F28" s="252" t="s">
        <v>74</v>
      </c>
      <c r="G28" s="252" t="s">
        <v>69</v>
      </c>
      <c r="H28" s="252" t="s">
        <v>69</v>
      </c>
      <c r="I28" s="252" t="s">
        <v>69</v>
      </c>
      <c r="J28" s="252" t="s">
        <v>69</v>
      </c>
      <c r="K28" s="252" t="s">
        <v>69</v>
      </c>
      <c r="L28" s="252" t="s">
        <v>69</v>
      </c>
      <c r="M28" s="258"/>
      <c r="N28" s="258"/>
      <c r="O28" s="259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</row>
    <row r="29" ht="15.75" customHeight="1">
      <c r="A29" s="187"/>
      <c r="B29" s="256">
        <v>20.0</v>
      </c>
      <c r="C29" s="257" t="s">
        <v>113</v>
      </c>
      <c r="D29" s="250">
        <f t="shared" si="6"/>
        <v>378.5294118</v>
      </c>
      <c r="E29" s="251">
        <f t="shared" si="7"/>
        <v>379</v>
      </c>
      <c r="F29" s="252" t="s">
        <v>74</v>
      </c>
      <c r="G29" s="252" t="s">
        <v>69</v>
      </c>
      <c r="H29" s="252" t="s">
        <v>69</v>
      </c>
      <c r="I29" s="252" t="s">
        <v>69</v>
      </c>
      <c r="J29" s="252" t="s">
        <v>69</v>
      </c>
      <c r="K29" s="252" t="s">
        <v>69</v>
      </c>
      <c r="L29" s="252" t="s">
        <v>69</v>
      </c>
      <c r="M29" s="258"/>
      <c r="N29" s="258"/>
      <c r="O29" s="259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</row>
    <row r="30" ht="15.75" customHeight="1">
      <c r="A30" s="187"/>
      <c r="B30" s="256">
        <v>21.0</v>
      </c>
      <c r="C30" s="257" t="s">
        <v>114</v>
      </c>
      <c r="D30" s="250">
        <f t="shared" si="6"/>
        <v>378.5294118</v>
      </c>
      <c r="E30" s="251">
        <f t="shared" si="7"/>
        <v>379</v>
      </c>
      <c r="F30" s="252" t="s">
        <v>74</v>
      </c>
      <c r="G30" s="252" t="s">
        <v>69</v>
      </c>
      <c r="H30" s="252" t="s">
        <v>69</v>
      </c>
      <c r="I30" s="252" t="s">
        <v>69</v>
      </c>
      <c r="J30" s="252" t="s">
        <v>69</v>
      </c>
      <c r="K30" s="252" t="s">
        <v>69</v>
      </c>
      <c r="L30" s="252" t="s">
        <v>69</v>
      </c>
      <c r="M30" s="258"/>
      <c r="N30" s="258"/>
      <c r="O30" s="259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</row>
    <row r="31" ht="15.75" customHeight="1">
      <c r="A31" s="187"/>
      <c r="B31" s="256">
        <v>22.0</v>
      </c>
      <c r="C31" s="257" t="s">
        <v>115</v>
      </c>
      <c r="D31" s="250">
        <f t="shared" si="6"/>
        <v>378.5294118</v>
      </c>
      <c r="E31" s="251">
        <f t="shared" si="7"/>
        <v>379</v>
      </c>
      <c r="F31" s="252" t="s">
        <v>74</v>
      </c>
      <c r="G31" s="252" t="s">
        <v>69</v>
      </c>
      <c r="H31" s="252" t="s">
        <v>69</v>
      </c>
      <c r="I31" s="252" t="s">
        <v>69</v>
      </c>
      <c r="J31" s="252" t="s">
        <v>69</v>
      </c>
      <c r="K31" s="252" t="s">
        <v>69</v>
      </c>
      <c r="L31" s="252" t="s">
        <v>69</v>
      </c>
      <c r="M31" s="258"/>
      <c r="N31" s="258"/>
      <c r="O31" s="259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</row>
    <row r="32" ht="15.75" customHeight="1">
      <c r="A32" s="187"/>
      <c r="B32" s="256">
        <v>23.0</v>
      </c>
      <c r="C32" s="257" t="s">
        <v>116</v>
      </c>
      <c r="D32" s="250">
        <f t="shared" si="6"/>
        <v>378.5294118</v>
      </c>
      <c r="E32" s="251">
        <f t="shared" si="7"/>
        <v>379</v>
      </c>
      <c r="F32" s="252" t="s">
        <v>74</v>
      </c>
      <c r="G32" s="252" t="s">
        <v>69</v>
      </c>
      <c r="H32" s="252" t="s">
        <v>69</v>
      </c>
      <c r="I32" s="252" t="s">
        <v>69</v>
      </c>
      <c r="J32" s="252" t="s">
        <v>69</v>
      </c>
      <c r="K32" s="252" t="s">
        <v>69</v>
      </c>
      <c r="L32" s="252" t="s">
        <v>69</v>
      </c>
      <c r="M32" s="258"/>
      <c r="N32" s="258"/>
      <c r="O32" s="259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</row>
    <row r="33" ht="15.75" customHeight="1">
      <c r="A33" s="187"/>
      <c r="B33" s="256">
        <v>24.0</v>
      </c>
      <c r="C33" s="257"/>
      <c r="D33" s="250">
        <f t="shared" si="6"/>
        <v>0</v>
      </c>
      <c r="E33" s="251">
        <f t="shared" si="7"/>
        <v>0</v>
      </c>
      <c r="F33" s="252"/>
      <c r="G33" s="252"/>
      <c r="H33" s="258"/>
      <c r="I33" s="258"/>
      <c r="J33" s="253"/>
      <c r="K33" s="261"/>
      <c r="L33" s="258"/>
      <c r="M33" s="258"/>
      <c r="N33" s="258"/>
      <c r="O33" s="259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</row>
    <row r="34" ht="15.75" customHeight="1">
      <c r="A34" s="187"/>
      <c r="B34" s="256">
        <v>25.0</v>
      </c>
      <c r="C34" s="257"/>
      <c r="D34" s="250">
        <f t="shared" si="6"/>
        <v>0</v>
      </c>
      <c r="E34" s="251">
        <f t="shared" si="7"/>
        <v>0</v>
      </c>
      <c r="F34" s="252" t="s">
        <v>74</v>
      </c>
      <c r="G34" s="252" t="s">
        <v>74</v>
      </c>
      <c r="H34" s="258"/>
      <c r="I34" s="258"/>
      <c r="J34" s="258"/>
      <c r="K34" s="258"/>
      <c r="L34" s="258"/>
      <c r="M34" s="258"/>
      <c r="N34" s="258"/>
      <c r="O34" s="259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</row>
    <row r="35" ht="15.75" customHeight="1">
      <c r="A35" s="187"/>
      <c r="B35" s="256">
        <v>26.0</v>
      </c>
      <c r="C35" s="257"/>
      <c r="D35" s="250">
        <f t="shared" si="6"/>
        <v>0</v>
      </c>
      <c r="E35" s="251">
        <f t="shared" si="7"/>
        <v>0</v>
      </c>
      <c r="F35" s="252" t="s">
        <v>74</v>
      </c>
      <c r="G35" s="252" t="s">
        <v>74</v>
      </c>
      <c r="H35" s="258"/>
      <c r="I35" s="258"/>
      <c r="J35" s="258"/>
      <c r="K35" s="258"/>
      <c r="L35" s="258"/>
      <c r="M35" s="258"/>
      <c r="N35" s="258"/>
      <c r="O35" s="259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</row>
    <row r="36" ht="15.75" customHeight="1">
      <c r="A36" s="187"/>
      <c r="B36" s="256">
        <v>27.0</v>
      </c>
      <c r="C36" s="262"/>
      <c r="D36" s="250">
        <f t="shared" si="6"/>
        <v>0</v>
      </c>
      <c r="E36" s="251">
        <f t="shared" si="7"/>
        <v>0</v>
      </c>
      <c r="F36" s="263"/>
      <c r="G36" s="258"/>
      <c r="H36" s="258"/>
      <c r="I36" s="258"/>
      <c r="J36" s="258"/>
      <c r="K36" s="258"/>
      <c r="L36" s="258"/>
      <c r="M36" s="258"/>
      <c r="N36" s="258"/>
      <c r="O36" s="259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</row>
    <row r="37" ht="15.75" customHeight="1">
      <c r="A37" s="187"/>
      <c r="B37" s="256">
        <v>28.0</v>
      </c>
      <c r="C37" s="262"/>
      <c r="D37" s="250">
        <f t="shared" si="6"/>
        <v>0</v>
      </c>
      <c r="E37" s="251">
        <f t="shared" si="7"/>
        <v>0</v>
      </c>
      <c r="F37" s="263"/>
      <c r="G37" s="258"/>
      <c r="H37" s="258"/>
      <c r="I37" s="258"/>
      <c r="J37" s="258"/>
      <c r="K37" s="258"/>
      <c r="L37" s="258"/>
      <c r="M37" s="258"/>
      <c r="N37" s="258"/>
      <c r="O37" s="259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</row>
    <row r="38" ht="15.75" customHeight="1">
      <c r="A38" s="187"/>
      <c r="B38" s="256">
        <v>29.0</v>
      </c>
      <c r="C38" s="262"/>
      <c r="D38" s="250">
        <f t="shared" si="6"/>
        <v>0</v>
      </c>
      <c r="E38" s="251">
        <f t="shared" si="7"/>
        <v>0</v>
      </c>
      <c r="F38" s="263"/>
      <c r="G38" s="258"/>
      <c r="H38" s="258"/>
      <c r="I38" s="258"/>
      <c r="J38" s="258"/>
      <c r="K38" s="258"/>
      <c r="L38" s="258"/>
      <c r="M38" s="258"/>
      <c r="N38" s="258"/>
      <c r="O38" s="259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</row>
    <row r="39" ht="15.75" customHeight="1">
      <c r="A39" s="187"/>
      <c r="B39" s="256">
        <v>30.0</v>
      </c>
      <c r="C39" s="262"/>
      <c r="D39" s="250">
        <f t="shared" si="6"/>
        <v>0</v>
      </c>
      <c r="E39" s="251">
        <f t="shared" si="7"/>
        <v>0</v>
      </c>
      <c r="F39" s="263"/>
      <c r="G39" s="258"/>
      <c r="H39" s="258"/>
      <c r="I39" s="258"/>
      <c r="J39" s="258"/>
      <c r="K39" s="258"/>
      <c r="L39" s="258"/>
      <c r="M39" s="258"/>
      <c r="N39" s="258"/>
      <c r="O39" s="259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</row>
    <row r="40" ht="15.75" customHeight="1">
      <c r="A40" s="187"/>
      <c r="B40" s="256">
        <v>31.0</v>
      </c>
      <c r="C40" s="262"/>
      <c r="D40" s="250">
        <f t="shared" si="6"/>
        <v>0</v>
      </c>
      <c r="E40" s="251">
        <f t="shared" si="7"/>
        <v>0</v>
      </c>
      <c r="F40" s="263"/>
      <c r="G40" s="258"/>
      <c r="H40" s="258"/>
      <c r="I40" s="258"/>
      <c r="J40" s="258"/>
      <c r="K40" s="258"/>
      <c r="L40" s="258"/>
      <c r="M40" s="258"/>
      <c r="N40" s="258"/>
      <c r="O40" s="259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</row>
    <row r="41" ht="15.75" customHeight="1">
      <c r="A41" s="187"/>
      <c r="B41" s="256">
        <v>32.0</v>
      </c>
      <c r="C41" s="262"/>
      <c r="D41" s="250">
        <f t="shared" si="6"/>
        <v>0</v>
      </c>
      <c r="E41" s="251">
        <f t="shared" si="7"/>
        <v>0</v>
      </c>
      <c r="F41" s="263"/>
      <c r="G41" s="258"/>
      <c r="H41" s="258"/>
      <c r="I41" s="258"/>
      <c r="J41" s="258"/>
      <c r="K41" s="258"/>
      <c r="L41" s="258"/>
      <c r="M41" s="258"/>
      <c r="N41" s="258"/>
      <c r="O41" s="259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</row>
    <row r="42" ht="15.75" customHeight="1">
      <c r="A42" s="187"/>
      <c r="B42" s="256">
        <v>33.0</v>
      </c>
      <c r="C42" s="262"/>
      <c r="D42" s="250">
        <f t="shared" si="6"/>
        <v>0</v>
      </c>
      <c r="E42" s="251">
        <f t="shared" si="7"/>
        <v>0</v>
      </c>
      <c r="F42" s="263"/>
      <c r="G42" s="258"/>
      <c r="H42" s="258"/>
      <c r="I42" s="258"/>
      <c r="J42" s="258"/>
      <c r="K42" s="258"/>
      <c r="L42" s="258"/>
      <c r="M42" s="258"/>
      <c r="N42" s="258"/>
      <c r="O42" s="259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</row>
    <row r="43" ht="15.75" customHeight="1">
      <c r="A43" s="187"/>
      <c r="B43" s="256">
        <v>34.0</v>
      </c>
      <c r="C43" s="262"/>
      <c r="D43" s="250">
        <f t="shared" si="6"/>
        <v>0</v>
      </c>
      <c r="E43" s="251">
        <f t="shared" si="7"/>
        <v>0</v>
      </c>
      <c r="F43" s="263"/>
      <c r="G43" s="258"/>
      <c r="H43" s="258"/>
      <c r="I43" s="258"/>
      <c r="J43" s="258"/>
      <c r="K43" s="258"/>
      <c r="L43" s="258"/>
      <c r="M43" s="258"/>
      <c r="N43" s="258"/>
      <c r="O43" s="259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</row>
    <row r="44" ht="15.75" customHeight="1">
      <c r="A44" s="187"/>
      <c r="B44" s="256">
        <v>35.0</v>
      </c>
      <c r="C44" s="262"/>
      <c r="D44" s="250">
        <f t="shared" si="6"/>
        <v>0</v>
      </c>
      <c r="E44" s="251">
        <f t="shared" si="7"/>
        <v>0</v>
      </c>
      <c r="F44" s="263"/>
      <c r="G44" s="258"/>
      <c r="H44" s="258"/>
      <c r="I44" s="258"/>
      <c r="J44" s="258"/>
      <c r="K44" s="258"/>
      <c r="L44" s="258"/>
      <c r="M44" s="258"/>
      <c r="N44" s="258"/>
      <c r="O44" s="259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</row>
    <row r="45" ht="15.75" customHeight="1">
      <c r="A45" s="187"/>
      <c r="B45" s="256">
        <v>36.0</v>
      </c>
      <c r="C45" s="262"/>
      <c r="D45" s="250">
        <f t="shared" si="6"/>
        <v>0</v>
      </c>
      <c r="E45" s="251">
        <f t="shared" si="7"/>
        <v>0</v>
      </c>
      <c r="F45" s="263"/>
      <c r="G45" s="258"/>
      <c r="H45" s="258"/>
      <c r="I45" s="258"/>
      <c r="J45" s="258"/>
      <c r="K45" s="258"/>
      <c r="L45" s="258"/>
      <c r="M45" s="258"/>
      <c r="N45" s="258"/>
      <c r="O45" s="259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</row>
    <row r="46" ht="15.75" customHeight="1">
      <c r="A46" s="187"/>
      <c r="B46" s="256">
        <v>37.0</v>
      </c>
      <c r="C46" s="262"/>
      <c r="D46" s="250">
        <f t="shared" si="6"/>
        <v>0</v>
      </c>
      <c r="E46" s="251">
        <f t="shared" si="7"/>
        <v>0</v>
      </c>
      <c r="F46" s="263"/>
      <c r="G46" s="258"/>
      <c r="H46" s="258"/>
      <c r="I46" s="258"/>
      <c r="J46" s="258"/>
      <c r="K46" s="258"/>
      <c r="L46" s="258"/>
      <c r="M46" s="258"/>
      <c r="N46" s="258"/>
      <c r="O46" s="259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</row>
    <row r="47" ht="15.75" customHeight="1">
      <c r="A47" s="187"/>
      <c r="B47" s="256">
        <v>38.0</v>
      </c>
      <c r="C47" s="262"/>
      <c r="D47" s="250">
        <f t="shared" si="6"/>
        <v>0</v>
      </c>
      <c r="E47" s="251">
        <f t="shared" si="7"/>
        <v>0</v>
      </c>
      <c r="F47" s="263"/>
      <c r="G47" s="258"/>
      <c r="H47" s="258"/>
      <c r="I47" s="258"/>
      <c r="J47" s="258"/>
      <c r="K47" s="258"/>
      <c r="L47" s="258"/>
      <c r="M47" s="258"/>
      <c r="N47" s="258"/>
      <c r="O47" s="259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</row>
    <row r="48" ht="15.75" customHeight="1">
      <c r="A48" s="187"/>
      <c r="B48" s="256">
        <v>39.0</v>
      </c>
      <c r="C48" s="262"/>
      <c r="D48" s="250">
        <f t="shared" si="6"/>
        <v>0</v>
      </c>
      <c r="E48" s="251">
        <f t="shared" si="7"/>
        <v>0</v>
      </c>
      <c r="F48" s="263"/>
      <c r="G48" s="258"/>
      <c r="H48" s="258"/>
      <c r="I48" s="258"/>
      <c r="J48" s="258"/>
      <c r="K48" s="258"/>
      <c r="L48" s="258"/>
      <c r="M48" s="258"/>
      <c r="N48" s="258"/>
      <c r="O48" s="259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</row>
    <row r="49" ht="15.75" customHeight="1">
      <c r="A49" s="187"/>
      <c r="B49" s="256">
        <v>40.0</v>
      </c>
      <c r="C49" s="262"/>
      <c r="D49" s="250">
        <f t="shared" si="6"/>
        <v>0</v>
      </c>
      <c r="E49" s="251">
        <f t="shared" si="7"/>
        <v>0</v>
      </c>
      <c r="F49" s="263"/>
      <c r="G49" s="258"/>
      <c r="H49" s="258"/>
      <c r="I49" s="258"/>
      <c r="J49" s="258"/>
      <c r="K49" s="258"/>
      <c r="L49" s="258"/>
      <c r="M49" s="258"/>
      <c r="N49" s="258"/>
      <c r="O49" s="259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ht="15.75" customHeight="1">
      <c r="A50" s="187"/>
      <c r="B50" s="256">
        <v>41.0</v>
      </c>
      <c r="C50" s="262"/>
      <c r="D50" s="250">
        <f t="shared" si="6"/>
        <v>0</v>
      </c>
      <c r="E50" s="251">
        <f t="shared" si="7"/>
        <v>0</v>
      </c>
      <c r="F50" s="263"/>
      <c r="G50" s="258"/>
      <c r="H50" s="258"/>
      <c r="I50" s="258"/>
      <c r="J50" s="258"/>
      <c r="K50" s="258"/>
      <c r="L50" s="258"/>
      <c r="M50" s="258"/>
      <c r="N50" s="258"/>
      <c r="O50" s="259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ht="15.75" customHeight="1">
      <c r="A51" s="187"/>
      <c r="B51" s="256">
        <v>42.0</v>
      </c>
      <c r="C51" s="262"/>
      <c r="D51" s="250">
        <f t="shared" si="6"/>
        <v>0</v>
      </c>
      <c r="E51" s="251">
        <f t="shared" si="7"/>
        <v>0</v>
      </c>
      <c r="F51" s="263"/>
      <c r="G51" s="258"/>
      <c r="H51" s="258"/>
      <c r="I51" s="258"/>
      <c r="J51" s="258"/>
      <c r="K51" s="258"/>
      <c r="L51" s="258"/>
      <c r="M51" s="258"/>
      <c r="N51" s="258"/>
      <c r="O51" s="259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ht="15.75" customHeight="1">
      <c r="A52" s="187"/>
      <c r="B52" s="256">
        <v>43.0</v>
      </c>
      <c r="C52" s="262"/>
      <c r="D52" s="250">
        <f t="shared" si="6"/>
        <v>0</v>
      </c>
      <c r="E52" s="251">
        <f t="shared" si="7"/>
        <v>0</v>
      </c>
      <c r="F52" s="263"/>
      <c r="G52" s="258"/>
      <c r="H52" s="258"/>
      <c r="I52" s="258"/>
      <c r="J52" s="258"/>
      <c r="K52" s="258"/>
      <c r="L52" s="258"/>
      <c r="M52" s="258"/>
      <c r="N52" s="258"/>
      <c r="O52" s="259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ht="15.75" customHeight="1">
      <c r="A53" s="187"/>
      <c r="B53" s="256">
        <v>44.0</v>
      </c>
      <c r="C53" s="262"/>
      <c r="D53" s="250">
        <f t="shared" si="6"/>
        <v>0</v>
      </c>
      <c r="E53" s="251">
        <f t="shared" si="7"/>
        <v>0</v>
      </c>
      <c r="F53" s="263"/>
      <c r="G53" s="258"/>
      <c r="H53" s="258"/>
      <c r="I53" s="258"/>
      <c r="J53" s="258"/>
      <c r="K53" s="258"/>
      <c r="L53" s="258"/>
      <c r="M53" s="258"/>
      <c r="N53" s="258"/>
      <c r="O53" s="259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  <row r="54" ht="15.75" customHeight="1">
      <c r="A54" s="187"/>
      <c r="B54" s="256">
        <v>45.0</v>
      </c>
      <c r="C54" s="262"/>
      <c r="D54" s="250">
        <f t="shared" si="6"/>
        <v>0</v>
      </c>
      <c r="E54" s="251">
        <f t="shared" si="7"/>
        <v>0</v>
      </c>
      <c r="F54" s="263"/>
      <c r="G54" s="258"/>
      <c r="H54" s="258"/>
      <c r="I54" s="258"/>
      <c r="J54" s="258"/>
      <c r="K54" s="258"/>
      <c r="L54" s="258"/>
      <c r="M54" s="258"/>
      <c r="N54" s="258"/>
      <c r="O54" s="259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</row>
    <row r="55" ht="15.75" customHeight="1">
      <c r="A55" s="187"/>
      <c r="B55" s="256">
        <v>46.0</v>
      </c>
      <c r="C55" s="262"/>
      <c r="D55" s="250">
        <f t="shared" si="6"/>
        <v>0</v>
      </c>
      <c r="E55" s="251">
        <f t="shared" si="7"/>
        <v>0</v>
      </c>
      <c r="F55" s="263"/>
      <c r="G55" s="258"/>
      <c r="H55" s="258"/>
      <c r="I55" s="258"/>
      <c r="J55" s="258"/>
      <c r="K55" s="258"/>
      <c r="L55" s="258"/>
      <c r="M55" s="258"/>
      <c r="N55" s="258"/>
      <c r="O55" s="259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</row>
    <row r="56" ht="15.75" customHeight="1">
      <c r="A56" s="187"/>
      <c r="B56" s="256">
        <v>47.0</v>
      </c>
      <c r="C56" s="262"/>
      <c r="D56" s="250">
        <f t="shared" si="6"/>
        <v>0</v>
      </c>
      <c r="E56" s="251">
        <f t="shared" si="7"/>
        <v>0</v>
      </c>
      <c r="F56" s="263"/>
      <c r="G56" s="258"/>
      <c r="H56" s="258"/>
      <c r="I56" s="258"/>
      <c r="J56" s="258"/>
      <c r="K56" s="258"/>
      <c r="L56" s="258"/>
      <c r="M56" s="258"/>
      <c r="N56" s="258"/>
      <c r="O56" s="259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</row>
    <row r="57" ht="15.75" customHeight="1">
      <c r="A57" s="187"/>
      <c r="B57" s="256">
        <v>48.0</v>
      </c>
      <c r="C57" s="262"/>
      <c r="D57" s="250">
        <f t="shared" si="6"/>
        <v>0</v>
      </c>
      <c r="E57" s="251">
        <f t="shared" si="7"/>
        <v>0</v>
      </c>
      <c r="F57" s="263"/>
      <c r="G57" s="258"/>
      <c r="H57" s="258"/>
      <c r="I57" s="258"/>
      <c r="J57" s="258"/>
      <c r="K57" s="258"/>
      <c r="L57" s="258"/>
      <c r="M57" s="258"/>
      <c r="N57" s="258"/>
      <c r="O57" s="259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</row>
    <row r="58" ht="15.75" customHeight="1">
      <c r="A58" s="187"/>
      <c r="B58" s="256">
        <v>49.0</v>
      </c>
      <c r="C58" s="262"/>
      <c r="D58" s="250">
        <f t="shared" si="6"/>
        <v>0</v>
      </c>
      <c r="E58" s="251">
        <f t="shared" si="7"/>
        <v>0</v>
      </c>
      <c r="F58" s="263"/>
      <c r="G58" s="258"/>
      <c r="H58" s="258"/>
      <c r="I58" s="258"/>
      <c r="J58" s="258"/>
      <c r="K58" s="258"/>
      <c r="L58" s="258"/>
      <c r="M58" s="258"/>
      <c r="N58" s="258"/>
      <c r="O58" s="259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</row>
    <row r="59" ht="15.75" customHeight="1">
      <c r="A59" s="187"/>
      <c r="B59" s="264">
        <v>50.0</v>
      </c>
      <c r="C59" s="265"/>
      <c r="D59" s="250">
        <f t="shared" si="6"/>
        <v>0</v>
      </c>
      <c r="E59" s="266">
        <f t="shared" si="7"/>
        <v>0</v>
      </c>
      <c r="F59" s="267"/>
      <c r="G59" s="268"/>
      <c r="H59" s="268"/>
      <c r="I59" s="268"/>
      <c r="J59" s="268"/>
      <c r="K59" s="268"/>
      <c r="L59" s="268"/>
      <c r="M59" s="268"/>
      <c r="N59" s="268"/>
      <c r="O59" s="269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</row>
    <row r="60" ht="15.75" customHeight="1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</row>
    <row r="61" ht="15.75" customHeight="1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</row>
    <row r="62" ht="15.75" customHeight="1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</row>
    <row r="63" ht="15.75" customHeight="1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</row>
    <row r="64" ht="15.75" customHeight="1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</row>
    <row r="65" ht="15.75" customHeight="1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</row>
    <row r="66" ht="15.75" customHeight="1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</row>
    <row r="67" ht="15.75" customHeight="1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</row>
    <row r="68" ht="15.75" customHeight="1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</row>
    <row r="69" ht="15.75" customHeight="1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</row>
    <row r="70" ht="15.75" customHeight="1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</row>
    <row r="71" ht="15.75" customHeight="1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</row>
    <row r="72" ht="15.75" customHeight="1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</row>
    <row r="73" ht="15.75" customHeight="1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</row>
    <row r="74" ht="15.75" customHeight="1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</row>
    <row r="75" ht="15.75" customHeight="1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</row>
    <row r="76" ht="15.75" customHeight="1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</row>
    <row r="77" ht="15.75" customHeight="1">
      <c r="A77" s="18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</row>
    <row r="78" ht="15.75" customHeight="1">
      <c r="A78" s="18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</row>
    <row r="79" ht="15.75" customHeight="1">
      <c r="A79" s="18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</row>
    <row r="80" ht="15.75" customHeight="1">
      <c r="A80" s="18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</row>
    <row r="81" ht="15.75" customHeight="1">
      <c r="A81" s="18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</row>
    <row r="82" ht="15.75" customHeight="1">
      <c r="A82" s="18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</row>
    <row r="83" ht="15.75" customHeight="1">
      <c r="A83" s="18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</row>
    <row r="84" ht="15.75" customHeight="1">
      <c r="A84" s="18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</row>
    <row r="85" ht="15.75" customHeight="1">
      <c r="A85" s="18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</row>
    <row r="86" ht="15.75" customHeight="1">
      <c r="A86" s="18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</row>
    <row r="87" ht="15.75" customHeight="1">
      <c r="A87" s="18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</row>
    <row r="88" ht="15.75" customHeight="1">
      <c r="A88" s="18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</row>
    <row r="89" ht="15.75" customHeight="1">
      <c r="A89" s="18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</row>
    <row r="90" ht="15.75" customHeight="1">
      <c r="A90" s="18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</row>
    <row r="91" ht="15.75" customHeight="1">
      <c r="A91" s="18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</row>
    <row r="92" ht="15.75" customHeight="1">
      <c r="A92" s="18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</row>
    <row r="93" ht="15.75" customHeight="1">
      <c r="A93" s="18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</row>
    <row r="94" ht="15.75" customHeight="1">
      <c r="A94" s="18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</row>
    <row r="95" ht="15.75" customHeight="1">
      <c r="A95" s="18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</row>
    <row r="96" ht="15.75" customHeight="1">
      <c r="A96" s="18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</row>
    <row r="97" ht="15.75" customHeight="1">
      <c r="A97" s="18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</row>
    <row r="98" ht="15.75" customHeight="1">
      <c r="A98" s="18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</row>
    <row r="99" ht="15.75" customHeight="1">
      <c r="A99" s="18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</row>
    <row r="100" ht="15.75" customHeight="1">
      <c r="A100" s="18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ht="15.75" customHeight="1">
      <c r="A101" s="18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ht="15.75" customHeight="1">
      <c r="A102" s="18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ht="15.75" customHeight="1">
      <c r="A103" s="18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ht="15.75" customHeight="1">
      <c r="A104" s="18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ht="15.75" customHeight="1">
      <c r="A105" s="18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ht="15.75" customHeight="1">
      <c r="A106" s="18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ht="15.75" customHeight="1">
      <c r="A107" s="18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ht="15.75" customHeight="1">
      <c r="A108" s="18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ht="15.75" customHeight="1">
      <c r="A109" s="18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ht="15.75" customHeight="1">
      <c r="A110" s="18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ht="15.75" customHeight="1">
      <c r="A111" s="18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ht="15.75" customHeight="1">
      <c r="A112" s="18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ht="15.75" customHeight="1">
      <c r="A113" s="18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ht="15.75" customHeight="1">
      <c r="A114" s="18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ht="15.75" customHeight="1">
      <c r="A115" s="18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ht="15.75" customHeight="1">
      <c r="A116" s="18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ht="15.75" customHeight="1">
      <c r="A117" s="18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ht="15.75" customHeight="1">
      <c r="A118" s="18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ht="15.75" customHeight="1">
      <c r="A119" s="18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ht="15.75" customHeight="1">
      <c r="A120" s="18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ht="15.75" customHeight="1">
      <c r="A121" s="18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ht="15.75" customHeight="1">
      <c r="A122" s="18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ht="15.75" customHeight="1">
      <c r="A123" s="18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ht="15.75" customHeight="1">
      <c r="A124" s="18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ht="15.75" customHeight="1">
      <c r="A125" s="18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ht="15.75" customHeight="1">
      <c r="A126" s="18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ht="15.75" customHeight="1">
      <c r="A127" s="18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ht="15.75" customHeight="1">
      <c r="A128" s="18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ht="15.75" customHeight="1">
      <c r="A129" s="18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ht="15.75" customHeight="1">
      <c r="A130" s="18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ht="15.75" customHeight="1">
      <c r="A131" s="18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ht="15.75" customHeight="1">
      <c r="A132" s="18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ht="15.75" customHeight="1">
      <c r="A133" s="18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ht="15.75" customHeight="1">
      <c r="A134" s="18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ht="15.75" customHeight="1">
      <c r="A135" s="18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ht="15.75" customHeight="1">
      <c r="A136" s="18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ht="15.75" customHeight="1">
      <c r="A137" s="18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ht="15.75" customHeight="1">
      <c r="A138" s="18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ht="15.75" customHeight="1">
      <c r="A139" s="18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ht="15.75" customHeight="1">
      <c r="A140" s="18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ht="15.75" customHeight="1">
      <c r="A141" s="18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ht="15.75" customHeight="1">
      <c r="A142" s="18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ht="15.75" customHeight="1">
      <c r="A143" s="18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ht="15.75" customHeight="1">
      <c r="A144" s="18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ht="15.75" customHeight="1">
      <c r="A145" s="18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ht="15.75" customHeight="1">
      <c r="A146" s="18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ht="15.75" customHeight="1">
      <c r="A147" s="18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ht="15.75" customHeight="1">
      <c r="A148" s="18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ht="15.75" customHeight="1">
      <c r="A149" s="18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</row>
    <row r="150" ht="15.75" customHeight="1">
      <c r="A150" s="18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</row>
    <row r="151" ht="15.75" customHeight="1">
      <c r="A151" s="18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</row>
    <row r="152" ht="15.75" customHeight="1">
      <c r="A152" s="18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</row>
    <row r="153" ht="15.75" customHeight="1">
      <c r="A153" s="18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</row>
    <row r="154" ht="15.75" customHeight="1">
      <c r="A154" s="18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</row>
    <row r="155" ht="15.75" customHeight="1">
      <c r="A155" s="18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</row>
    <row r="156" ht="15.75" customHeight="1">
      <c r="A156" s="18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</row>
    <row r="157" ht="15.75" customHeight="1">
      <c r="A157" s="18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</row>
    <row r="158" ht="15.75" customHeight="1">
      <c r="A158" s="18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</row>
    <row r="159" ht="15.75" customHeight="1">
      <c r="A159" s="18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</row>
    <row r="160" ht="15.75" customHeight="1">
      <c r="A160" s="18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</row>
    <row r="161" ht="15.75" customHeight="1">
      <c r="A161" s="18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</row>
    <row r="162" ht="15.75" customHeight="1">
      <c r="A162" s="18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</row>
    <row r="163" ht="15.75" customHeight="1">
      <c r="A163" s="18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</row>
    <row r="164" ht="15.75" customHeight="1">
      <c r="A164" s="18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</row>
    <row r="165" ht="15.75" customHeight="1">
      <c r="A165" s="18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</row>
    <row r="166" ht="15.75" customHeight="1">
      <c r="A166" s="18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</row>
    <row r="167" ht="15.75" customHeight="1">
      <c r="A167" s="18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</row>
    <row r="168" ht="15.75" customHeight="1">
      <c r="A168" s="18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</row>
    <row r="169" ht="15.75" customHeight="1">
      <c r="A169" s="18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</row>
    <row r="170" ht="15.75" customHeight="1">
      <c r="A170" s="18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</row>
    <row r="171" ht="15.75" customHeight="1">
      <c r="A171" s="18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</row>
    <row r="172" ht="15.75" customHeight="1">
      <c r="A172" s="18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</row>
    <row r="173" ht="15.75" customHeight="1">
      <c r="A173" s="18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</row>
    <row r="174" ht="15.75" customHeight="1">
      <c r="A174" s="18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</row>
    <row r="175" ht="15.75" customHeight="1">
      <c r="A175" s="18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</row>
    <row r="176" ht="15.75" customHeight="1">
      <c r="A176" s="18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</row>
    <row r="177" ht="15.75" customHeight="1">
      <c r="A177" s="18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</row>
    <row r="178" ht="15.75" customHeight="1">
      <c r="A178" s="18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</row>
    <row r="179" ht="15.75" customHeight="1">
      <c r="A179" s="18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</row>
    <row r="180" ht="15.75" customHeight="1">
      <c r="A180" s="18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</row>
    <row r="181" ht="15.75" customHeight="1">
      <c r="A181" s="18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</row>
    <row r="182" ht="15.75" customHeight="1">
      <c r="A182" s="187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</row>
    <row r="183" ht="15.75" customHeight="1">
      <c r="A183" s="187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</row>
    <row r="184" ht="15.75" customHeight="1">
      <c r="A184" s="187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</row>
    <row r="185" ht="15.75" customHeight="1">
      <c r="A185" s="187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</row>
    <row r="186" ht="15.75" customHeight="1">
      <c r="A186" s="187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</row>
    <row r="187" ht="15.75" customHeight="1">
      <c r="A187" s="187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</row>
    <row r="188" ht="15.75" customHeight="1">
      <c r="A188" s="187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</row>
    <row r="189" ht="15.75" customHeight="1">
      <c r="A189" s="187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</row>
    <row r="190" ht="15.75" customHeight="1">
      <c r="A190" s="187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</row>
    <row r="191" ht="15.75" customHeight="1">
      <c r="A191" s="187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</row>
    <row r="192" ht="15.75" customHeight="1">
      <c r="A192" s="187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</row>
    <row r="193" ht="15.75" customHeight="1">
      <c r="A193" s="187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</row>
    <row r="194" ht="15.75" customHeight="1">
      <c r="A194" s="187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</row>
    <row r="195" ht="15.75" customHeight="1">
      <c r="A195" s="187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</row>
    <row r="196" ht="15.75" customHeight="1">
      <c r="A196" s="187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</row>
    <row r="197" ht="15.75" customHeight="1">
      <c r="A197" s="187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</row>
    <row r="198" ht="15.75" customHeight="1">
      <c r="A198" s="187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</row>
    <row r="199" ht="15.75" customHeight="1">
      <c r="A199" s="187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</row>
    <row r="200" ht="15.75" customHeight="1">
      <c r="A200" s="187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</row>
    <row r="201" ht="15.75" customHeight="1">
      <c r="A201" s="187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</row>
    <row r="202" ht="15.75" customHeight="1">
      <c r="A202" s="187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</row>
    <row r="203" ht="15.75" customHeight="1">
      <c r="A203" s="187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</row>
    <row r="204" ht="15.75" customHeight="1">
      <c r="A204" s="187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</row>
    <row r="205" ht="15.75" customHeight="1">
      <c r="A205" s="187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</row>
    <row r="206" ht="15.75" customHeight="1">
      <c r="A206" s="187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</row>
    <row r="207" ht="15.75" customHeight="1">
      <c r="A207" s="187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</row>
    <row r="208" ht="15.75" customHeight="1">
      <c r="A208" s="187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</row>
    <row r="209" ht="15.75" customHeight="1">
      <c r="A209" s="187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</row>
    <row r="210" ht="15.75" customHeight="1">
      <c r="A210" s="187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</row>
    <row r="211" ht="15.75" customHeight="1">
      <c r="A211" s="187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</row>
    <row r="212" ht="15.75" customHeight="1">
      <c r="A212" s="187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</row>
    <row r="213" ht="15.75" customHeight="1">
      <c r="A213" s="187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</row>
    <row r="214" ht="15.75" customHeight="1">
      <c r="A214" s="187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</row>
    <row r="215" ht="15.75" customHeight="1">
      <c r="A215" s="187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</row>
    <row r="216" ht="15.75" customHeight="1">
      <c r="A216" s="187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</row>
    <row r="217" ht="15.75" customHeight="1">
      <c r="A217" s="187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</row>
    <row r="218" ht="15.75" customHeight="1">
      <c r="A218" s="187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</row>
    <row r="219" ht="15.75" customHeight="1">
      <c r="A219" s="187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</row>
    <row r="220" ht="15.75" customHeight="1">
      <c r="A220" s="187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</row>
    <row r="221" ht="15.75" customHeight="1">
      <c r="A221" s="187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</row>
    <row r="222" ht="15.75" customHeight="1">
      <c r="A222" s="187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</row>
    <row r="223" ht="15.75" customHeight="1">
      <c r="A223" s="187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</row>
    <row r="224" ht="15.75" customHeight="1">
      <c r="A224" s="187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</row>
    <row r="225" ht="15.75" customHeight="1">
      <c r="A225" s="187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</row>
    <row r="226" ht="15.75" customHeight="1">
      <c r="A226" s="187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</row>
    <row r="227" ht="15.75" customHeight="1">
      <c r="A227" s="187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</row>
    <row r="228" ht="15.75" customHeight="1">
      <c r="A228" s="187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</row>
    <row r="229" ht="15.75" customHeight="1">
      <c r="A229" s="187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</row>
    <row r="230" ht="15.75" customHeight="1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</row>
    <row r="231" ht="15.75" customHeight="1">
      <c r="A231" s="187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</row>
    <row r="232" ht="15.75" customHeight="1">
      <c r="A232" s="187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</row>
    <row r="233" ht="15.75" customHeight="1">
      <c r="A233" s="187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</row>
    <row r="234" ht="15.75" customHeight="1">
      <c r="A234" s="187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</row>
    <row r="235" ht="15.75" customHeight="1">
      <c r="A235" s="187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</row>
    <row r="236" ht="15.75" customHeight="1">
      <c r="A236" s="187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</row>
    <row r="237" ht="15.75" customHeight="1">
      <c r="A237" s="187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</row>
    <row r="238" ht="15.75" customHeight="1">
      <c r="A238" s="187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</row>
    <row r="239" ht="15.75" customHeight="1">
      <c r="A239" s="187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</row>
    <row r="240" ht="15.75" customHeight="1">
      <c r="A240" s="187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</row>
    <row r="241" ht="15.75" customHeight="1">
      <c r="A241" s="187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</row>
    <row r="242" ht="15.75" customHeight="1">
      <c r="A242" s="187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</row>
    <row r="243" ht="15.75" customHeight="1">
      <c r="A243" s="187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</row>
    <row r="244" ht="15.75" customHeight="1">
      <c r="A244" s="187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</row>
    <row r="245" ht="15.75" customHeight="1">
      <c r="A245" s="187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</row>
    <row r="246" ht="15.75" customHeight="1">
      <c r="A246" s="187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</row>
    <row r="247" ht="15.75" customHeight="1">
      <c r="A247" s="187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</row>
    <row r="248" ht="15.75" customHeight="1">
      <c r="A248" s="187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</row>
    <row r="249" ht="15.75" customHeight="1">
      <c r="A249" s="187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</row>
    <row r="250" ht="15.75" customHeight="1">
      <c r="A250" s="187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</row>
    <row r="251" ht="15.75" customHeight="1">
      <c r="A251" s="187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</row>
    <row r="252" ht="15.75" customHeight="1">
      <c r="A252" s="187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</row>
    <row r="253" ht="15.75" customHeight="1">
      <c r="A253" s="187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</row>
    <row r="254" ht="15.75" customHeight="1">
      <c r="A254" s="187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</row>
    <row r="255" ht="15.75" customHeight="1">
      <c r="A255" s="187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</row>
    <row r="256" ht="15.75" customHeight="1">
      <c r="A256" s="187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</row>
    <row r="257" ht="15.75" customHeight="1">
      <c r="A257" s="187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</row>
    <row r="258" ht="15.75" customHeight="1">
      <c r="A258" s="187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</row>
    <row r="259" ht="15.75" customHeight="1">
      <c r="A259" s="187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</row>
    <row r="260" ht="15.75" customHeight="1">
      <c r="A260" s="187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</row>
    <row r="261" ht="15.75" customHeight="1">
      <c r="A261" s="187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</row>
    <row r="262" ht="15.75" customHeight="1">
      <c r="A262" s="187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</row>
    <row r="263" ht="15.75" customHeight="1">
      <c r="A263" s="187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</row>
    <row r="264" ht="15.75" customHeight="1">
      <c r="A264" s="187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</row>
    <row r="265" ht="15.75" customHeight="1">
      <c r="A265" s="187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</row>
    <row r="266" ht="15.75" customHeight="1">
      <c r="A266" s="187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</row>
    <row r="267" ht="15.75" customHeight="1">
      <c r="A267" s="187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</row>
    <row r="268" ht="15.75" customHeight="1">
      <c r="A268" s="187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</row>
    <row r="269" ht="15.75" customHeight="1">
      <c r="A269" s="187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</row>
    <row r="270" ht="15.75" customHeight="1">
      <c r="A270" s="187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</row>
    <row r="271" ht="15.75" customHeight="1">
      <c r="A271" s="187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</row>
    <row r="272" ht="15.75" customHeight="1">
      <c r="A272" s="187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</row>
    <row r="273" ht="15.75" customHeight="1">
      <c r="A273" s="187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</row>
    <row r="274" ht="15.75" customHeight="1">
      <c r="A274" s="187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</row>
    <row r="275" ht="15.75" customHeight="1">
      <c r="A275" s="187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</row>
    <row r="276" ht="15.75" customHeight="1">
      <c r="A276" s="187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</row>
    <row r="277" ht="15.75" customHeight="1">
      <c r="A277" s="187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</row>
    <row r="278" ht="15.75" customHeight="1">
      <c r="A278" s="187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</row>
    <row r="279" ht="15.75" customHeight="1">
      <c r="A279" s="187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</row>
    <row r="280" ht="15.75" customHeight="1">
      <c r="A280" s="187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</row>
    <row r="281" ht="15.75" customHeight="1">
      <c r="A281" s="187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</row>
    <row r="282" ht="15.75" customHeight="1">
      <c r="A282" s="187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</row>
    <row r="283" ht="15.75" customHeight="1">
      <c r="A283" s="187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</row>
    <row r="284" ht="15.75" customHeight="1">
      <c r="A284" s="187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</row>
    <row r="285" ht="15.75" customHeight="1">
      <c r="A285" s="187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</row>
    <row r="286" ht="15.75" customHeight="1">
      <c r="A286" s="187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</row>
    <row r="287" ht="15.75" customHeight="1">
      <c r="A287" s="187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</row>
    <row r="288" ht="15.75" customHeight="1">
      <c r="A288" s="187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</row>
    <row r="289" ht="15.75" customHeight="1">
      <c r="A289" s="187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</row>
    <row r="290" ht="15.75" customHeight="1">
      <c r="A290" s="187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</row>
    <row r="291" ht="15.75" customHeight="1">
      <c r="A291" s="187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</row>
    <row r="292" ht="15.75" customHeight="1">
      <c r="A292" s="187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</row>
    <row r="293" ht="15.75" customHeight="1">
      <c r="A293" s="187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</row>
    <row r="294" ht="15.75" customHeight="1">
      <c r="A294" s="187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</row>
    <row r="295" ht="15.75" customHeight="1">
      <c r="A295" s="187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</row>
    <row r="296" ht="15.75" customHeight="1">
      <c r="A296" s="187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</row>
    <row r="297" ht="15.75" customHeight="1">
      <c r="A297" s="187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</row>
    <row r="298" ht="15.75" customHeight="1">
      <c r="A298" s="187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</row>
    <row r="299" ht="15.75" customHeight="1">
      <c r="A299" s="187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</row>
    <row r="300" ht="15.75" customHeight="1">
      <c r="A300" s="187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</row>
    <row r="301" ht="15.75" customHeight="1">
      <c r="A301" s="187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</row>
    <row r="302" ht="15.75" customHeight="1">
      <c r="A302" s="187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</row>
    <row r="303" ht="15.75" customHeight="1">
      <c r="A303" s="187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</row>
    <row r="304" ht="15.75" customHeight="1">
      <c r="A304" s="187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</row>
    <row r="305" ht="15.75" customHeight="1">
      <c r="A305" s="187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</row>
    <row r="306" ht="15.75" customHeight="1">
      <c r="A306" s="187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</row>
    <row r="307" ht="15.75" customHeight="1">
      <c r="A307" s="187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</row>
    <row r="308" ht="15.75" customHeight="1">
      <c r="A308" s="187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</row>
    <row r="309" ht="15.75" customHeight="1">
      <c r="A309" s="187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</row>
    <row r="310" ht="15.75" customHeight="1">
      <c r="A310" s="187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</row>
    <row r="311" ht="15.75" customHeight="1">
      <c r="A311" s="187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</row>
    <row r="312" ht="15.75" customHeight="1">
      <c r="A312" s="187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</row>
    <row r="313" ht="15.75" customHeight="1">
      <c r="A313" s="187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</row>
    <row r="314" ht="15.75" customHeight="1">
      <c r="A314" s="187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</row>
    <row r="315" ht="15.75" customHeight="1">
      <c r="A315" s="187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</row>
    <row r="316" ht="15.75" customHeight="1">
      <c r="A316" s="187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</row>
    <row r="317" ht="15.75" customHeight="1">
      <c r="A317" s="187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</row>
    <row r="318" ht="15.75" customHeight="1">
      <c r="A318" s="187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</row>
    <row r="319" ht="15.75" customHeight="1">
      <c r="A319" s="187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</row>
    <row r="320" ht="15.75" customHeight="1">
      <c r="A320" s="187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</row>
    <row r="321" ht="15.75" customHeight="1">
      <c r="A321" s="187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</row>
    <row r="322" ht="15.75" customHeight="1">
      <c r="A322" s="187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</row>
    <row r="323" ht="15.75" customHeight="1">
      <c r="A323" s="187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</row>
    <row r="324" ht="15.75" customHeight="1">
      <c r="A324" s="187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</row>
    <row r="325" ht="15.75" customHeight="1">
      <c r="A325" s="187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</row>
    <row r="326" ht="15.75" customHeight="1">
      <c r="A326" s="187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</row>
    <row r="327" ht="15.75" customHeight="1">
      <c r="A327" s="187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</row>
    <row r="328" ht="15.75" customHeight="1">
      <c r="A328" s="187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</row>
    <row r="329" ht="15.75" customHeight="1">
      <c r="A329" s="187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</row>
    <row r="330" ht="15.75" customHeight="1">
      <c r="A330" s="187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</row>
    <row r="331" ht="15.75" customHeight="1">
      <c r="A331" s="187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</row>
    <row r="332" ht="15.75" customHeight="1">
      <c r="A332" s="187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</row>
    <row r="333" ht="15.75" customHeight="1">
      <c r="A333" s="187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</row>
    <row r="334" ht="15.75" customHeight="1">
      <c r="A334" s="187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</row>
    <row r="335" ht="15.75" customHeight="1">
      <c r="A335" s="187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</row>
    <row r="336" ht="15.75" customHeight="1">
      <c r="A336" s="187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</row>
    <row r="337" ht="15.75" customHeight="1">
      <c r="A337" s="187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</row>
    <row r="338" ht="15.75" customHeight="1">
      <c r="A338" s="187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</row>
    <row r="339" ht="15.75" customHeight="1">
      <c r="A339" s="187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</row>
    <row r="340" ht="15.75" customHeight="1">
      <c r="A340" s="187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</row>
    <row r="341" ht="15.75" customHeight="1">
      <c r="A341" s="187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</row>
    <row r="342" ht="15.75" customHeight="1">
      <c r="A342" s="187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</row>
    <row r="343" ht="15.75" customHeight="1">
      <c r="A343" s="187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</row>
    <row r="344" ht="15.75" customHeight="1">
      <c r="A344" s="187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</row>
    <row r="345" ht="15.75" customHeight="1">
      <c r="A345" s="187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</row>
    <row r="346" ht="15.75" customHeight="1">
      <c r="A346" s="187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</row>
    <row r="347" ht="15.75" customHeight="1">
      <c r="A347" s="187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</row>
    <row r="348" ht="15.75" customHeight="1">
      <c r="A348" s="187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</row>
    <row r="349" ht="15.75" customHeight="1">
      <c r="A349" s="187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</row>
    <row r="350" ht="15.75" customHeight="1">
      <c r="A350" s="187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</row>
    <row r="351" ht="15.75" customHeight="1">
      <c r="A351" s="187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</row>
    <row r="352" ht="15.75" customHeight="1">
      <c r="A352" s="187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</row>
    <row r="353" ht="15.75" customHeight="1">
      <c r="A353" s="187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</row>
    <row r="354" ht="15.75" customHeight="1">
      <c r="A354" s="187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</row>
    <row r="355" ht="15.75" customHeight="1">
      <c r="A355" s="187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</row>
    <row r="356" ht="15.75" customHeight="1">
      <c r="A356" s="187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</row>
    <row r="357" ht="15.75" customHeight="1">
      <c r="A357" s="187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</row>
    <row r="358" ht="15.75" customHeight="1">
      <c r="A358" s="187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</row>
    <row r="359" ht="15.75" customHeight="1">
      <c r="A359" s="187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</row>
    <row r="360" ht="15.75" customHeight="1">
      <c r="A360" s="187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</row>
    <row r="361" ht="15.75" customHeight="1">
      <c r="A361" s="187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</row>
    <row r="362" ht="15.75" customHeight="1">
      <c r="A362" s="187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</row>
    <row r="363" ht="15.75" customHeight="1">
      <c r="A363" s="187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</row>
    <row r="364" ht="15.75" customHeight="1">
      <c r="A364" s="187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</row>
    <row r="365" ht="15.75" customHeight="1">
      <c r="A365" s="187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</row>
    <row r="366" ht="15.75" customHeight="1">
      <c r="A366" s="187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</row>
    <row r="367" ht="15.75" customHeight="1">
      <c r="A367" s="187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</row>
    <row r="368" ht="15.75" customHeight="1">
      <c r="A368" s="187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</row>
    <row r="369" ht="15.75" customHeight="1">
      <c r="A369" s="187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</row>
    <row r="370" ht="15.75" customHeight="1">
      <c r="A370" s="187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</row>
    <row r="371" ht="15.75" customHeight="1">
      <c r="A371" s="187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</row>
    <row r="372" ht="15.75" customHeight="1">
      <c r="A372" s="187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</row>
    <row r="373" ht="15.75" customHeight="1">
      <c r="A373" s="187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</row>
    <row r="374" ht="15.75" customHeight="1">
      <c r="A374" s="187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</row>
    <row r="375" ht="15.75" customHeight="1">
      <c r="A375" s="187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</row>
    <row r="376" ht="15.75" customHeight="1">
      <c r="A376" s="187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</row>
    <row r="377" ht="15.75" customHeight="1">
      <c r="A377" s="187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</row>
    <row r="378" ht="15.75" customHeight="1">
      <c r="A378" s="187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</row>
    <row r="379" ht="15.75" customHeight="1">
      <c r="A379" s="187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</row>
    <row r="380" ht="15.75" customHeight="1">
      <c r="A380" s="187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</row>
    <row r="381" ht="15.75" customHeight="1">
      <c r="A381" s="187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</row>
    <row r="382" ht="15.75" customHeight="1">
      <c r="A382" s="187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</row>
    <row r="383" ht="15.75" customHeight="1">
      <c r="A383" s="187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</row>
    <row r="384" ht="15.75" customHeight="1">
      <c r="A384" s="187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</row>
    <row r="385" ht="15.75" customHeight="1">
      <c r="A385" s="187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</row>
    <row r="386" ht="15.75" customHeight="1">
      <c r="A386" s="187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</row>
    <row r="387" ht="15.75" customHeight="1">
      <c r="A387" s="187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</row>
    <row r="388" ht="15.75" customHeight="1">
      <c r="A388" s="187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</row>
    <row r="389" ht="15.75" customHeight="1">
      <c r="A389" s="187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</row>
    <row r="390" ht="15.75" customHeight="1">
      <c r="A390" s="187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</row>
    <row r="391" ht="15.75" customHeight="1">
      <c r="A391" s="187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</row>
    <row r="392" ht="15.75" customHeight="1">
      <c r="A392" s="187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</row>
    <row r="393" ht="15.75" customHeight="1">
      <c r="A393" s="187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</row>
    <row r="394" ht="15.75" customHeight="1">
      <c r="A394" s="187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</row>
    <row r="395" ht="15.75" customHeight="1">
      <c r="A395" s="187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</row>
    <row r="396" ht="15.75" customHeight="1">
      <c r="A396" s="187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</row>
    <row r="397" ht="15.75" customHeight="1">
      <c r="A397" s="187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</row>
    <row r="398" ht="15.75" customHeight="1">
      <c r="A398" s="187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</row>
    <row r="399" ht="15.75" customHeight="1">
      <c r="A399" s="187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</row>
    <row r="400" ht="15.75" customHeight="1">
      <c r="A400" s="187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</row>
    <row r="401" ht="15.75" customHeight="1">
      <c r="A401" s="187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</row>
    <row r="402" ht="15.75" customHeight="1">
      <c r="A402" s="187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</row>
    <row r="403" ht="15.75" customHeight="1">
      <c r="A403" s="187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</row>
    <row r="404" ht="15.75" customHeight="1">
      <c r="A404" s="187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</row>
    <row r="405" ht="15.75" customHeight="1">
      <c r="A405" s="187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</row>
    <row r="406" ht="15.75" customHeight="1">
      <c r="A406" s="187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</row>
    <row r="407" ht="15.75" customHeight="1">
      <c r="A407" s="187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</row>
    <row r="408" ht="15.75" customHeight="1">
      <c r="A408" s="187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</row>
    <row r="409" ht="15.75" customHeight="1">
      <c r="A409" s="187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</row>
    <row r="410" ht="15.75" customHeight="1">
      <c r="A410" s="187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</row>
    <row r="411" ht="15.75" customHeight="1">
      <c r="A411" s="187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</row>
    <row r="412" ht="15.75" customHeight="1">
      <c r="A412" s="187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</row>
    <row r="413" ht="15.75" customHeight="1">
      <c r="A413" s="187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</row>
    <row r="414" ht="15.75" customHeight="1">
      <c r="A414" s="187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</row>
    <row r="415" ht="15.75" customHeight="1">
      <c r="A415" s="187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</row>
    <row r="416" ht="15.75" customHeight="1">
      <c r="A416" s="187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</row>
    <row r="417" ht="15.75" customHeight="1">
      <c r="A417" s="187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</row>
    <row r="418" ht="15.75" customHeight="1">
      <c r="A418" s="187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</row>
    <row r="419" ht="15.75" customHeight="1">
      <c r="A419" s="187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</row>
    <row r="420" ht="15.75" customHeight="1">
      <c r="A420" s="187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</row>
    <row r="421" ht="15.75" customHeight="1">
      <c r="A421" s="187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</row>
    <row r="422" ht="15.75" customHeight="1">
      <c r="A422" s="187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</row>
    <row r="423" ht="15.75" customHeight="1">
      <c r="A423" s="187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</row>
    <row r="424" ht="15.75" customHeight="1">
      <c r="A424" s="187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</row>
    <row r="425" ht="15.75" customHeight="1">
      <c r="A425" s="187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</row>
    <row r="426" ht="15.75" customHeight="1">
      <c r="A426" s="187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</row>
    <row r="427" ht="15.75" customHeight="1">
      <c r="A427" s="187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</row>
    <row r="428" ht="15.75" customHeight="1">
      <c r="A428" s="187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</row>
    <row r="429" ht="15.75" customHeight="1">
      <c r="A429" s="187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</row>
    <row r="430" ht="15.75" customHeight="1">
      <c r="A430" s="187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</row>
    <row r="431" ht="15.75" customHeight="1">
      <c r="A431" s="187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</row>
    <row r="432" ht="15.75" customHeight="1">
      <c r="A432" s="187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</row>
    <row r="433" ht="15.75" customHeight="1">
      <c r="A433" s="187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</row>
    <row r="434" ht="15.75" customHeight="1">
      <c r="A434" s="187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</row>
    <row r="435" ht="15.75" customHeight="1">
      <c r="A435" s="187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</row>
    <row r="436" ht="15.75" customHeight="1">
      <c r="A436" s="187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</row>
    <row r="437" ht="15.75" customHeight="1">
      <c r="A437" s="187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</row>
    <row r="438" ht="15.75" customHeight="1">
      <c r="A438" s="187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</row>
    <row r="439" ht="15.75" customHeight="1">
      <c r="A439" s="187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</row>
    <row r="440" ht="15.75" customHeight="1">
      <c r="A440" s="187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</row>
    <row r="441" ht="15.75" customHeight="1">
      <c r="A441" s="187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</row>
    <row r="442" ht="15.75" customHeight="1">
      <c r="A442" s="187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</row>
    <row r="443" ht="15.75" customHeight="1">
      <c r="A443" s="187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</row>
    <row r="444" ht="15.75" customHeight="1">
      <c r="A444" s="187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</row>
    <row r="445" ht="15.75" customHeight="1">
      <c r="A445" s="187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</row>
    <row r="446" ht="15.75" customHeight="1">
      <c r="A446" s="187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</row>
    <row r="447" ht="15.75" customHeight="1">
      <c r="A447" s="187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</row>
    <row r="448" ht="15.75" customHeight="1">
      <c r="A448" s="187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</row>
    <row r="449" ht="15.75" customHeight="1">
      <c r="A449" s="187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</row>
    <row r="450" ht="15.75" customHeight="1">
      <c r="A450" s="187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</row>
    <row r="451" ht="15.75" customHeight="1">
      <c r="A451" s="187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</row>
    <row r="452" ht="15.75" customHeight="1">
      <c r="A452" s="187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</row>
    <row r="453" ht="15.75" customHeight="1">
      <c r="A453" s="187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</row>
    <row r="454" ht="15.75" customHeight="1">
      <c r="A454" s="187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</row>
    <row r="455" ht="15.75" customHeight="1">
      <c r="A455" s="187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</row>
    <row r="456" ht="15.75" customHeight="1">
      <c r="A456" s="187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</row>
    <row r="457" ht="15.75" customHeight="1">
      <c r="A457" s="187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</row>
    <row r="458" ht="15.75" customHeight="1">
      <c r="A458" s="187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</row>
    <row r="459" ht="15.75" customHeight="1">
      <c r="A459" s="187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</row>
    <row r="460" ht="15.75" customHeight="1">
      <c r="A460" s="187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</row>
    <row r="461" ht="15.75" customHeight="1">
      <c r="A461" s="187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</row>
    <row r="462" ht="15.75" customHeight="1">
      <c r="A462" s="187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</row>
    <row r="463" ht="15.75" customHeight="1">
      <c r="A463" s="187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</row>
    <row r="464" ht="15.75" customHeight="1">
      <c r="A464" s="187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</row>
    <row r="465" ht="15.75" customHeight="1">
      <c r="A465" s="187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</row>
    <row r="466" ht="15.75" customHeight="1">
      <c r="A466" s="187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</row>
    <row r="467" ht="15.75" customHeight="1">
      <c r="A467" s="187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</row>
    <row r="468" ht="15.75" customHeight="1">
      <c r="A468" s="187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</row>
    <row r="469" ht="15.75" customHeight="1">
      <c r="A469" s="187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</row>
    <row r="470" ht="15.75" customHeight="1">
      <c r="A470" s="187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</row>
    <row r="471" ht="15.75" customHeight="1">
      <c r="A471" s="187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</row>
    <row r="472" ht="15.75" customHeight="1">
      <c r="A472" s="187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</row>
    <row r="473" ht="15.75" customHeight="1">
      <c r="A473" s="187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</row>
    <row r="474" ht="15.75" customHeight="1">
      <c r="A474" s="187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</row>
    <row r="475" ht="15.75" customHeight="1">
      <c r="A475" s="187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</row>
    <row r="476" ht="15.75" customHeight="1">
      <c r="A476" s="187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</row>
    <row r="477" ht="15.75" customHeight="1">
      <c r="A477" s="187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</row>
    <row r="478" ht="15.75" customHeight="1">
      <c r="A478" s="187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</row>
    <row r="479" ht="15.75" customHeight="1">
      <c r="A479" s="187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</row>
    <row r="480" ht="15.75" customHeight="1">
      <c r="A480" s="187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</row>
    <row r="481" ht="15.75" customHeight="1">
      <c r="A481" s="187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</row>
    <row r="482" ht="15.75" customHeight="1">
      <c r="A482" s="187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</row>
    <row r="483" ht="15.75" customHeight="1">
      <c r="A483" s="187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</row>
    <row r="484" ht="15.75" customHeight="1">
      <c r="A484" s="187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</row>
    <row r="485" ht="15.75" customHeight="1">
      <c r="A485" s="187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</row>
    <row r="486" ht="15.75" customHeight="1">
      <c r="A486" s="187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</row>
    <row r="487" ht="15.75" customHeight="1">
      <c r="A487" s="187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</row>
    <row r="488" ht="15.75" customHeight="1">
      <c r="A488" s="187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</row>
    <row r="489" ht="15.75" customHeight="1">
      <c r="A489" s="187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</row>
    <row r="490" ht="15.75" customHeight="1">
      <c r="A490" s="187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</row>
    <row r="491" ht="15.75" customHeight="1">
      <c r="A491" s="187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</row>
    <row r="492" ht="15.75" customHeight="1">
      <c r="A492" s="187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</row>
    <row r="493" ht="15.75" customHeight="1">
      <c r="A493" s="187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</row>
    <row r="494" ht="15.75" customHeight="1">
      <c r="A494" s="187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</row>
    <row r="495" ht="15.75" customHeight="1">
      <c r="A495" s="187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</row>
    <row r="496" ht="15.75" customHeight="1">
      <c r="A496" s="187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</row>
    <row r="497" ht="15.75" customHeight="1">
      <c r="A497" s="187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</row>
    <row r="498" ht="15.75" customHeight="1">
      <c r="A498" s="187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</row>
    <row r="499" ht="15.75" customHeight="1">
      <c r="A499" s="187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</row>
    <row r="500" ht="15.75" customHeight="1">
      <c r="A500" s="187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</row>
    <row r="501" ht="15.75" customHeight="1">
      <c r="A501" s="187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</row>
    <row r="502" ht="15.75" customHeight="1">
      <c r="A502" s="187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</row>
    <row r="503" ht="15.75" customHeight="1">
      <c r="A503" s="187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</row>
    <row r="504" ht="15.75" customHeight="1">
      <c r="A504" s="187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</row>
    <row r="505" ht="15.75" customHeight="1">
      <c r="A505" s="187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</row>
    <row r="506" ht="15.75" customHeight="1">
      <c r="A506" s="187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</row>
    <row r="507" ht="15.75" customHeight="1">
      <c r="A507" s="187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</row>
    <row r="508" ht="15.75" customHeight="1">
      <c r="A508" s="187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</row>
    <row r="509" ht="15.75" customHeight="1">
      <c r="A509" s="187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</row>
    <row r="510" ht="15.75" customHeight="1">
      <c r="A510" s="187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</row>
    <row r="511" ht="15.75" customHeight="1">
      <c r="A511" s="187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</row>
    <row r="512" ht="15.75" customHeight="1">
      <c r="A512" s="187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</row>
    <row r="513" ht="15.75" customHeight="1">
      <c r="A513" s="187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</row>
    <row r="514" ht="15.75" customHeight="1">
      <c r="A514" s="187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</row>
    <row r="515" ht="15.75" customHeight="1">
      <c r="A515" s="187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</row>
    <row r="516" ht="15.75" customHeight="1">
      <c r="A516" s="187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</row>
    <row r="517" ht="15.75" customHeight="1">
      <c r="A517" s="187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</row>
    <row r="518" ht="15.75" customHeight="1">
      <c r="A518" s="187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</row>
    <row r="519" ht="15.75" customHeight="1">
      <c r="A519" s="187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</row>
    <row r="520" ht="15.75" customHeight="1">
      <c r="A520" s="187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</row>
    <row r="521" ht="15.75" customHeight="1">
      <c r="A521" s="187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</row>
    <row r="522" ht="15.75" customHeight="1">
      <c r="A522" s="187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</row>
    <row r="523" ht="15.75" customHeight="1">
      <c r="A523" s="187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</row>
    <row r="524" ht="15.75" customHeight="1">
      <c r="A524" s="187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</row>
    <row r="525" ht="15.75" customHeight="1">
      <c r="A525" s="187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</row>
    <row r="526" ht="15.75" customHeight="1">
      <c r="A526" s="187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</row>
    <row r="527" ht="15.75" customHeight="1">
      <c r="A527" s="187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</row>
    <row r="528" ht="15.75" customHeight="1">
      <c r="A528" s="187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</row>
    <row r="529" ht="15.75" customHeight="1">
      <c r="A529" s="187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</row>
    <row r="530" ht="15.75" customHeight="1">
      <c r="A530" s="187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</row>
    <row r="531" ht="15.75" customHeight="1">
      <c r="A531" s="187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</row>
    <row r="532" ht="15.75" customHeight="1">
      <c r="A532" s="187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</row>
    <row r="533" ht="15.75" customHeight="1">
      <c r="A533" s="187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</row>
    <row r="534" ht="15.75" customHeight="1">
      <c r="A534" s="187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</row>
    <row r="535" ht="15.75" customHeight="1">
      <c r="A535" s="187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</row>
    <row r="536" ht="15.75" customHeight="1">
      <c r="A536" s="187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</row>
    <row r="537" ht="15.75" customHeight="1">
      <c r="A537" s="187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</row>
    <row r="538" ht="15.75" customHeight="1">
      <c r="A538" s="187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</row>
    <row r="539" ht="15.75" customHeight="1">
      <c r="A539" s="187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</row>
    <row r="540" ht="15.75" customHeight="1">
      <c r="A540" s="187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</row>
    <row r="541" ht="15.75" customHeight="1">
      <c r="A541" s="187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</row>
    <row r="542" ht="15.75" customHeight="1">
      <c r="A542" s="187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</row>
    <row r="543" ht="15.75" customHeight="1">
      <c r="A543" s="187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</row>
    <row r="544" ht="15.75" customHeight="1">
      <c r="A544" s="187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</row>
    <row r="545" ht="15.75" customHeight="1">
      <c r="A545" s="187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</row>
    <row r="546" ht="15.75" customHeight="1">
      <c r="A546" s="187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</row>
    <row r="547" ht="15.75" customHeight="1">
      <c r="A547" s="187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</row>
    <row r="548" ht="15.75" customHeight="1">
      <c r="A548" s="187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</row>
    <row r="549" ht="15.75" customHeight="1">
      <c r="A549" s="187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</row>
    <row r="550" ht="15.75" customHeight="1">
      <c r="A550" s="187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</row>
    <row r="551" ht="15.75" customHeight="1">
      <c r="A551" s="187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</row>
    <row r="552" ht="15.75" customHeight="1">
      <c r="A552" s="187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</row>
    <row r="553" ht="15.75" customHeight="1">
      <c r="A553" s="187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</row>
    <row r="554" ht="15.75" customHeight="1">
      <c r="A554" s="187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</row>
    <row r="555" ht="15.75" customHeight="1">
      <c r="A555" s="187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</row>
    <row r="556" ht="15.75" customHeight="1">
      <c r="A556" s="187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</row>
    <row r="557" ht="15.75" customHeight="1">
      <c r="A557" s="187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</row>
    <row r="558" ht="15.75" customHeight="1">
      <c r="A558" s="187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</row>
    <row r="559" ht="15.75" customHeight="1">
      <c r="A559" s="187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</row>
    <row r="560" ht="15.75" customHeight="1">
      <c r="A560" s="187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</row>
    <row r="561" ht="15.75" customHeight="1">
      <c r="A561" s="187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</row>
    <row r="562" ht="15.75" customHeight="1">
      <c r="A562" s="187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</row>
    <row r="563" ht="15.75" customHeight="1">
      <c r="A563" s="187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</row>
    <row r="564" ht="15.75" customHeight="1">
      <c r="A564" s="187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</row>
    <row r="565" ht="15.75" customHeight="1">
      <c r="A565" s="187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</row>
    <row r="566" ht="15.75" customHeight="1">
      <c r="A566" s="187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</row>
    <row r="567" ht="15.75" customHeight="1">
      <c r="A567" s="187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</row>
    <row r="568" ht="15.75" customHeight="1">
      <c r="A568" s="187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</row>
    <row r="569" ht="15.75" customHeight="1">
      <c r="A569" s="187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</row>
    <row r="570" ht="15.75" customHeight="1">
      <c r="A570" s="187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</row>
    <row r="571" ht="15.75" customHeight="1">
      <c r="A571" s="187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</row>
    <row r="572" ht="15.75" customHeight="1">
      <c r="A572" s="187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</row>
    <row r="573" ht="15.75" customHeight="1">
      <c r="A573" s="187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</row>
    <row r="574" ht="15.75" customHeight="1">
      <c r="A574" s="187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</row>
    <row r="575" ht="15.75" customHeight="1">
      <c r="A575" s="187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</row>
    <row r="576" ht="15.75" customHeight="1">
      <c r="A576" s="187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</row>
    <row r="577" ht="15.75" customHeight="1">
      <c r="A577" s="187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</row>
    <row r="578" ht="15.75" customHeight="1">
      <c r="A578" s="187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</row>
    <row r="579" ht="15.75" customHeight="1">
      <c r="A579" s="187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</row>
    <row r="580" ht="15.75" customHeight="1">
      <c r="A580" s="187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</row>
    <row r="581" ht="15.75" customHeight="1">
      <c r="A581" s="187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</row>
    <row r="582" ht="15.75" customHeight="1">
      <c r="A582" s="187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</row>
    <row r="583" ht="15.75" customHeight="1">
      <c r="A583" s="187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</row>
    <row r="584" ht="15.75" customHeight="1">
      <c r="A584" s="187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</row>
    <row r="585" ht="15.75" customHeight="1">
      <c r="A585" s="187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</row>
    <row r="586" ht="15.75" customHeight="1">
      <c r="A586" s="187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</row>
    <row r="587" ht="15.75" customHeight="1">
      <c r="A587" s="187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</row>
    <row r="588" ht="15.75" customHeight="1">
      <c r="A588" s="187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</row>
    <row r="589" ht="15.75" customHeight="1">
      <c r="A589" s="187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</row>
    <row r="590" ht="15.75" customHeight="1">
      <c r="A590" s="187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</row>
    <row r="591" ht="15.75" customHeight="1">
      <c r="A591" s="187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</row>
    <row r="592" ht="15.75" customHeight="1">
      <c r="A592" s="187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</row>
    <row r="593" ht="15.75" customHeight="1">
      <c r="A593" s="187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</row>
    <row r="594" ht="15.75" customHeight="1">
      <c r="A594" s="187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</row>
    <row r="595" ht="15.75" customHeight="1">
      <c r="A595" s="187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</row>
    <row r="596" ht="15.75" customHeight="1">
      <c r="A596" s="187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</row>
    <row r="597" ht="15.75" customHeight="1">
      <c r="A597" s="187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</row>
    <row r="598" ht="15.75" customHeight="1">
      <c r="A598" s="187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</row>
    <row r="599" ht="15.75" customHeight="1">
      <c r="A599" s="187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</row>
    <row r="600" ht="15.75" customHeight="1">
      <c r="A600" s="187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</row>
    <row r="601" ht="15.75" customHeight="1">
      <c r="A601" s="187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</row>
    <row r="602" ht="15.75" customHeight="1">
      <c r="A602" s="187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</row>
    <row r="603" ht="15.75" customHeight="1">
      <c r="A603" s="187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</row>
    <row r="604" ht="15.75" customHeight="1">
      <c r="A604" s="187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</row>
    <row r="605" ht="15.75" customHeight="1">
      <c r="A605" s="187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</row>
    <row r="606" ht="15.75" customHeight="1">
      <c r="A606" s="187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</row>
    <row r="607" ht="15.75" customHeight="1">
      <c r="A607" s="187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</row>
    <row r="608" ht="15.75" customHeight="1">
      <c r="A608" s="187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</row>
    <row r="609" ht="15.75" customHeight="1">
      <c r="A609" s="187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</row>
    <row r="610" ht="15.75" customHeight="1">
      <c r="A610" s="187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</row>
    <row r="611" ht="15.75" customHeight="1">
      <c r="A611" s="187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</row>
    <row r="612" ht="15.75" customHeight="1">
      <c r="A612" s="187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</row>
    <row r="613" ht="15.75" customHeight="1">
      <c r="A613" s="187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</row>
    <row r="614" ht="15.75" customHeight="1">
      <c r="A614" s="187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</row>
    <row r="615" ht="15.75" customHeight="1">
      <c r="A615" s="187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</row>
    <row r="616" ht="15.75" customHeight="1">
      <c r="A616" s="187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</row>
    <row r="617" ht="15.75" customHeight="1">
      <c r="A617" s="187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</row>
    <row r="618" ht="15.75" customHeight="1">
      <c r="A618" s="187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</row>
    <row r="619" ht="15.75" customHeight="1">
      <c r="A619" s="187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</row>
    <row r="620" ht="15.75" customHeight="1">
      <c r="A620" s="187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</row>
    <row r="621" ht="15.75" customHeight="1">
      <c r="A621" s="187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</row>
    <row r="622" ht="15.75" customHeight="1">
      <c r="A622" s="187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</row>
    <row r="623" ht="15.75" customHeight="1">
      <c r="A623" s="187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</row>
    <row r="624" ht="15.75" customHeight="1">
      <c r="A624" s="187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</row>
    <row r="625" ht="15.75" customHeight="1">
      <c r="A625" s="187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</row>
    <row r="626" ht="15.75" customHeight="1">
      <c r="A626" s="187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</row>
    <row r="627" ht="15.75" customHeight="1">
      <c r="A627" s="187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</row>
    <row r="628" ht="15.75" customHeight="1">
      <c r="A628" s="187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</row>
    <row r="629" ht="15.75" customHeight="1">
      <c r="A629" s="187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</row>
    <row r="630" ht="15.75" customHeight="1">
      <c r="A630" s="187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</row>
    <row r="631" ht="15.75" customHeight="1">
      <c r="A631" s="187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</row>
    <row r="632" ht="15.75" customHeight="1">
      <c r="A632" s="187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</row>
    <row r="633" ht="15.75" customHeight="1">
      <c r="A633" s="187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</row>
    <row r="634" ht="15.75" customHeight="1">
      <c r="A634" s="187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</row>
    <row r="635" ht="15.75" customHeight="1">
      <c r="A635" s="187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</row>
    <row r="636" ht="15.75" customHeight="1">
      <c r="A636" s="187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</row>
    <row r="637" ht="15.75" customHeight="1">
      <c r="A637" s="187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</row>
    <row r="638" ht="15.75" customHeight="1">
      <c r="A638" s="187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</row>
    <row r="639" ht="15.75" customHeight="1">
      <c r="A639" s="187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</row>
    <row r="640" ht="15.75" customHeight="1">
      <c r="A640" s="187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</row>
    <row r="641" ht="15.75" customHeight="1">
      <c r="A641" s="187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</row>
    <row r="642" ht="15.75" customHeight="1">
      <c r="A642" s="187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</row>
    <row r="643" ht="15.75" customHeight="1">
      <c r="A643" s="187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</row>
    <row r="644" ht="15.75" customHeight="1">
      <c r="A644" s="187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</row>
    <row r="645" ht="15.75" customHeight="1">
      <c r="A645" s="187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</row>
    <row r="646" ht="15.75" customHeight="1">
      <c r="A646" s="187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</row>
    <row r="647" ht="15.75" customHeight="1">
      <c r="A647" s="187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</row>
    <row r="648" ht="15.75" customHeight="1">
      <c r="A648" s="187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</row>
    <row r="649" ht="15.75" customHeight="1">
      <c r="A649" s="187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</row>
    <row r="650" ht="15.75" customHeight="1">
      <c r="A650" s="187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</row>
    <row r="651" ht="15.75" customHeight="1">
      <c r="A651" s="187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</row>
    <row r="652" ht="15.75" customHeight="1">
      <c r="A652" s="187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</row>
    <row r="653" ht="15.75" customHeight="1">
      <c r="A653" s="187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</row>
    <row r="654" ht="15.75" customHeight="1">
      <c r="A654" s="187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</row>
    <row r="655" ht="15.75" customHeight="1">
      <c r="A655" s="187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</row>
    <row r="656" ht="15.75" customHeight="1">
      <c r="A656" s="187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</row>
    <row r="657" ht="15.75" customHeight="1">
      <c r="A657" s="187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</row>
    <row r="658" ht="15.75" customHeight="1">
      <c r="A658" s="187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</row>
    <row r="659" ht="15.75" customHeight="1">
      <c r="A659" s="187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</row>
    <row r="660" ht="15.75" customHeight="1">
      <c r="A660" s="187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</row>
    <row r="661" ht="15.75" customHeight="1">
      <c r="A661" s="187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</row>
    <row r="662" ht="15.75" customHeight="1">
      <c r="A662" s="187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</row>
    <row r="663" ht="15.75" customHeight="1">
      <c r="A663" s="187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</row>
    <row r="664" ht="15.75" customHeight="1">
      <c r="A664" s="187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</row>
    <row r="665" ht="15.75" customHeight="1">
      <c r="A665" s="187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</row>
    <row r="666" ht="15.75" customHeight="1">
      <c r="A666" s="187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</row>
    <row r="667" ht="15.75" customHeight="1">
      <c r="A667" s="187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</row>
    <row r="668" ht="15.75" customHeight="1">
      <c r="A668" s="187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</row>
    <row r="669" ht="15.75" customHeight="1">
      <c r="A669" s="187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</row>
    <row r="670" ht="15.75" customHeight="1">
      <c r="A670" s="187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</row>
    <row r="671" ht="15.75" customHeight="1">
      <c r="A671" s="187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</row>
    <row r="672" ht="15.75" customHeight="1">
      <c r="A672" s="187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</row>
    <row r="673" ht="15.75" customHeight="1">
      <c r="A673" s="187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</row>
    <row r="674" ht="15.75" customHeight="1">
      <c r="A674" s="187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</row>
    <row r="675" ht="15.75" customHeight="1">
      <c r="A675" s="187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</row>
    <row r="676" ht="15.75" customHeight="1">
      <c r="A676" s="187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</row>
    <row r="677" ht="15.75" customHeight="1">
      <c r="A677" s="187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</row>
    <row r="678" ht="15.75" customHeight="1">
      <c r="A678" s="187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</row>
    <row r="679" ht="15.75" customHeight="1">
      <c r="A679" s="187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</row>
    <row r="680" ht="15.75" customHeight="1">
      <c r="A680" s="187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</row>
    <row r="681" ht="15.75" customHeight="1">
      <c r="A681" s="187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</row>
    <row r="682" ht="15.75" customHeight="1">
      <c r="A682" s="187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</row>
    <row r="683" ht="15.75" customHeight="1">
      <c r="A683" s="187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</row>
    <row r="684" ht="15.75" customHeight="1">
      <c r="A684" s="187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</row>
    <row r="685" ht="15.75" customHeight="1">
      <c r="A685" s="187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</row>
    <row r="686" ht="15.75" customHeight="1">
      <c r="A686" s="187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</row>
    <row r="687" ht="15.75" customHeight="1">
      <c r="A687" s="187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</row>
    <row r="688" ht="15.75" customHeight="1">
      <c r="A688" s="187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</row>
    <row r="689" ht="15.75" customHeight="1">
      <c r="A689" s="187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</row>
    <row r="690" ht="15.75" customHeight="1">
      <c r="A690" s="187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</row>
    <row r="691" ht="15.75" customHeight="1">
      <c r="A691" s="187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</row>
    <row r="692" ht="15.75" customHeight="1">
      <c r="A692" s="187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</row>
    <row r="693" ht="15.75" customHeight="1">
      <c r="A693" s="187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</row>
    <row r="694" ht="15.75" customHeight="1">
      <c r="A694" s="187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</row>
    <row r="695" ht="15.75" customHeight="1">
      <c r="A695" s="187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</row>
    <row r="696" ht="15.75" customHeight="1">
      <c r="A696" s="187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</row>
    <row r="697" ht="15.75" customHeight="1">
      <c r="A697" s="187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</row>
    <row r="698" ht="15.75" customHeight="1">
      <c r="A698" s="187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</row>
    <row r="699" ht="15.75" customHeight="1">
      <c r="A699" s="187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</row>
    <row r="700" ht="15.75" customHeight="1">
      <c r="A700" s="187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</row>
    <row r="701" ht="15.75" customHeight="1">
      <c r="A701" s="187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</row>
    <row r="702" ht="15.75" customHeight="1">
      <c r="A702" s="187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</row>
    <row r="703" ht="15.75" customHeight="1">
      <c r="A703" s="187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</row>
    <row r="704" ht="15.75" customHeight="1">
      <c r="A704" s="187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</row>
    <row r="705" ht="15.75" customHeight="1">
      <c r="A705" s="187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</row>
    <row r="706" ht="15.75" customHeight="1">
      <c r="A706" s="187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</row>
    <row r="707" ht="15.75" customHeight="1">
      <c r="A707" s="187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</row>
    <row r="708" ht="15.75" customHeight="1">
      <c r="A708" s="187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</row>
    <row r="709" ht="15.75" customHeight="1">
      <c r="A709" s="187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</row>
    <row r="710" ht="15.75" customHeight="1">
      <c r="A710" s="187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</row>
    <row r="711" ht="15.75" customHeight="1">
      <c r="A711" s="187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</row>
    <row r="712" ht="15.75" customHeight="1">
      <c r="A712" s="187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</row>
    <row r="713" ht="15.75" customHeight="1">
      <c r="A713" s="187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</row>
    <row r="714" ht="15.75" customHeight="1">
      <c r="A714" s="187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</row>
    <row r="715" ht="15.75" customHeight="1">
      <c r="A715" s="187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</row>
    <row r="716" ht="15.75" customHeight="1">
      <c r="A716" s="187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</row>
    <row r="717" ht="15.75" customHeight="1">
      <c r="A717" s="187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</row>
    <row r="718" ht="15.75" customHeight="1">
      <c r="A718" s="187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</row>
    <row r="719" ht="15.75" customHeight="1">
      <c r="A719" s="187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</row>
    <row r="720" ht="15.75" customHeight="1">
      <c r="A720" s="187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</row>
    <row r="721" ht="15.75" customHeight="1">
      <c r="A721" s="187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</row>
    <row r="722" ht="15.75" customHeight="1">
      <c r="A722" s="187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</row>
    <row r="723" ht="15.75" customHeight="1">
      <c r="A723" s="187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</row>
    <row r="724" ht="15.75" customHeight="1">
      <c r="A724" s="187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</row>
    <row r="725" ht="15.75" customHeight="1">
      <c r="A725" s="187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</row>
    <row r="726" ht="15.75" customHeight="1">
      <c r="A726" s="187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</row>
    <row r="727" ht="15.75" customHeight="1">
      <c r="A727" s="187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</row>
    <row r="728" ht="15.75" customHeight="1">
      <c r="A728" s="187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</row>
    <row r="729" ht="15.75" customHeight="1">
      <c r="A729" s="187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</row>
    <row r="730" ht="15.75" customHeight="1">
      <c r="A730" s="187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</row>
    <row r="731" ht="15.75" customHeight="1">
      <c r="A731" s="187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</row>
    <row r="732" ht="15.75" customHeight="1">
      <c r="A732" s="187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</row>
    <row r="733" ht="15.75" customHeight="1">
      <c r="A733" s="187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</row>
    <row r="734" ht="15.75" customHeight="1">
      <c r="A734" s="187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</row>
    <row r="735" ht="15.75" customHeight="1">
      <c r="A735" s="187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</row>
    <row r="736" ht="15.75" customHeight="1">
      <c r="A736" s="187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</row>
    <row r="737" ht="15.75" customHeight="1">
      <c r="A737" s="187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</row>
    <row r="738" ht="15.75" customHeight="1">
      <c r="A738" s="187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</row>
    <row r="739" ht="15.75" customHeight="1">
      <c r="A739" s="187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</row>
    <row r="740" ht="15.75" customHeight="1">
      <c r="A740" s="187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</row>
    <row r="741" ht="15.75" customHeight="1">
      <c r="A741" s="187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</row>
    <row r="742" ht="15.75" customHeight="1">
      <c r="A742" s="187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</row>
    <row r="743" ht="15.75" customHeight="1">
      <c r="A743" s="187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</row>
    <row r="744" ht="15.75" customHeight="1">
      <c r="A744" s="187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</row>
    <row r="745" ht="15.75" customHeight="1">
      <c r="A745" s="187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</row>
    <row r="746" ht="15.75" customHeight="1">
      <c r="A746" s="187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</row>
    <row r="747" ht="15.75" customHeight="1">
      <c r="A747" s="187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</row>
    <row r="748" ht="15.75" customHeight="1">
      <c r="A748" s="187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</row>
    <row r="749" ht="15.75" customHeight="1">
      <c r="A749" s="187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</row>
    <row r="750" ht="15.75" customHeight="1">
      <c r="A750" s="187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</row>
    <row r="751" ht="15.75" customHeight="1">
      <c r="A751" s="187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</row>
    <row r="752" ht="15.75" customHeight="1">
      <c r="A752" s="187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</row>
    <row r="753" ht="15.75" customHeight="1">
      <c r="A753" s="187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</row>
    <row r="754" ht="15.75" customHeight="1">
      <c r="A754" s="187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</row>
    <row r="755" ht="15.75" customHeight="1">
      <c r="A755" s="187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</row>
    <row r="756" ht="15.75" customHeight="1">
      <c r="A756" s="187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</row>
    <row r="757" ht="15.75" customHeight="1">
      <c r="A757" s="187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</row>
    <row r="758" ht="15.75" customHeight="1">
      <c r="A758" s="187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</row>
    <row r="759" ht="15.75" customHeight="1">
      <c r="A759" s="187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</row>
    <row r="760" ht="15.75" customHeight="1">
      <c r="A760" s="187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</row>
    <row r="761" ht="15.75" customHeight="1">
      <c r="A761" s="187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</row>
    <row r="762" ht="15.75" customHeight="1">
      <c r="A762" s="187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</row>
    <row r="763" ht="15.75" customHeight="1">
      <c r="A763" s="187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</row>
    <row r="764" ht="15.75" customHeight="1">
      <c r="A764" s="187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</row>
    <row r="765" ht="15.75" customHeight="1">
      <c r="A765" s="187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</row>
    <row r="766" ht="15.75" customHeight="1">
      <c r="A766" s="187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</row>
    <row r="767" ht="15.75" customHeight="1">
      <c r="A767" s="187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</row>
    <row r="768" ht="15.75" customHeight="1">
      <c r="A768" s="187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</row>
    <row r="769" ht="15.75" customHeight="1">
      <c r="A769" s="187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</row>
    <row r="770" ht="15.75" customHeight="1">
      <c r="A770" s="187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</row>
    <row r="771" ht="15.75" customHeight="1">
      <c r="A771" s="187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</row>
    <row r="772" ht="15.75" customHeight="1">
      <c r="A772" s="187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</row>
    <row r="773" ht="15.75" customHeight="1">
      <c r="A773" s="187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</row>
    <row r="774" ht="15.75" customHeight="1">
      <c r="A774" s="187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</row>
    <row r="775" ht="15.75" customHeight="1">
      <c r="A775" s="187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</row>
    <row r="776" ht="15.75" customHeight="1">
      <c r="A776" s="187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</row>
    <row r="777" ht="15.75" customHeight="1">
      <c r="A777" s="187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</row>
    <row r="778" ht="15.75" customHeight="1">
      <c r="A778" s="187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</row>
    <row r="779" ht="15.75" customHeight="1">
      <c r="A779" s="187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</row>
    <row r="780" ht="15.75" customHeight="1">
      <c r="A780" s="187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</row>
    <row r="781" ht="15.75" customHeight="1">
      <c r="A781" s="187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</row>
    <row r="782" ht="15.75" customHeight="1">
      <c r="A782" s="187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</row>
    <row r="783" ht="15.75" customHeight="1">
      <c r="A783" s="187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</row>
    <row r="784" ht="15.75" customHeight="1">
      <c r="A784" s="187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</row>
    <row r="785" ht="15.75" customHeight="1">
      <c r="A785" s="187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</row>
    <row r="786" ht="15.75" customHeight="1">
      <c r="A786" s="187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</row>
    <row r="787" ht="15.75" customHeight="1">
      <c r="A787" s="187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</row>
    <row r="788" ht="15.75" customHeight="1">
      <c r="A788" s="187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</row>
    <row r="789" ht="15.75" customHeight="1">
      <c r="A789" s="187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</row>
    <row r="790" ht="15.75" customHeight="1">
      <c r="A790" s="187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</row>
    <row r="791" ht="15.75" customHeight="1">
      <c r="A791" s="187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</row>
    <row r="792" ht="15.75" customHeight="1">
      <c r="A792" s="187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</row>
    <row r="793" ht="15.75" customHeight="1">
      <c r="A793" s="187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</row>
    <row r="794" ht="15.75" customHeight="1">
      <c r="A794" s="187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</row>
    <row r="795" ht="15.75" customHeight="1">
      <c r="A795" s="187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</row>
    <row r="796" ht="15.75" customHeight="1">
      <c r="A796" s="187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</row>
    <row r="797" ht="15.75" customHeight="1">
      <c r="A797" s="187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</row>
    <row r="798" ht="15.75" customHeight="1">
      <c r="A798" s="187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</row>
    <row r="799" ht="15.75" customHeight="1">
      <c r="A799" s="187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</row>
    <row r="800" ht="15.75" customHeight="1">
      <c r="A800" s="187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</row>
    <row r="801" ht="15.75" customHeight="1">
      <c r="A801" s="187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</row>
    <row r="802" ht="15.75" customHeight="1">
      <c r="A802" s="187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</row>
    <row r="803" ht="15.75" customHeight="1">
      <c r="A803" s="187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</row>
    <row r="804" ht="15.75" customHeight="1">
      <c r="A804" s="187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</row>
    <row r="805" ht="15.75" customHeight="1">
      <c r="A805" s="187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</row>
    <row r="806" ht="15.75" customHeight="1">
      <c r="A806" s="187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</row>
    <row r="807" ht="15.75" customHeight="1">
      <c r="A807" s="187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</row>
    <row r="808" ht="15.75" customHeight="1">
      <c r="A808" s="187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</row>
    <row r="809" ht="15.75" customHeight="1">
      <c r="A809" s="187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</row>
    <row r="810" ht="15.75" customHeight="1">
      <c r="A810" s="187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</row>
    <row r="811" ht="15.75" customHeight="1">
      <c r="A811" s="187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</row>
    <row r="812" ht="15.75" customHeight="1">
      <c r="A812" s="187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</row>
    <row r="813" ht="15.75" customHeight="1">
      <c r="A813" s="187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</row>
    <row r="814" ht="15.75" customHeight="1">
      <c r="A814" s="187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</row>
    <row r="815" ht="15.75" customHeight="1">
      <c r="A815" s="187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</row>
    <row r="816" ht="15.75" customHeight="1">
      <c r="A816" s="187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</row>
    <row r="817" ht="15.75" customHeight="1">
      <c r="A817" s="187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</row>
    <row r="818" ht="15.75" customHeight="1">
      <c r="A818" s="187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</row>
    <row r="819" ht="15.75" customHeight="1">
      <c r="A819" s="187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</row>
    <row r="820" ht="15.75" customHeight="1">
      <c r="A820" s="187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</row>
    <row r="821" ht="15.75" customHeight="1">
      <c r="A821" s="187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</row>
    <row r="822" ht="15.75" customHeight="1">
      <c r="A822" s="187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</row>
    <row r="823" ht="15.75" customHeight="1">
      <c r="A823" s="187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</row>
    <row r="824" ht="15.75" customHeight="1">
      <c r="A824" s="187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</row>
    <row r="825" ht="15.75" customHeight="1">
      <c r="A825" s="187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</row>
    <row r="826" ht="15.75" customHeight="1">
      <c r="A826" s="187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</row>
    <row r="827" ht="15.75" customHeight="1">
      <c r="A827" s="187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</row>
    <row r="828" ht="15.75" customHeight="1">
      <c r="A828" s="187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</row>
    <row r="829" ht="15.75" customHeight="1">
      <c r="A829" s="187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</row>
    <row r="830" ht="15.75" customHeight="1">
      <c r="A830" s="187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</row>
    <row r="831" ht="15.75" customHeight="1">
      <c r="A831" s="187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</row>
    <row r="832" ht="15.75" customHeight="1">
      <c r="A832" s="187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</row>
    <row r="833" ht="15.75" customHeight="1">
      <c r="A833" s="187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</row>
    <row r="834" ht="15.75" customHeight="1">
      <c r="A834" s="187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</row>
    <row r="835" ht="15.75" customHeight="1">
      <c r="A835" s="187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</row>
    <row r="836" ht="15.75" customHeight="1">
      <c r="A836" s="187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</row>
    <row r="837" ht="15.75" customHeight="1">
      <c r="A837" s="187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</row>
    <row r="838" ht="15.75" customHeight="1">
      <c r="A838" s="187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</row>
    <row r="839" ht="15.75" customHeight="1">
      <c r="A839" s="187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</row>
    <row r="840" ht="15.75" customHeight="1">
      <c r="A840" s="187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</row>
    <row r="841" ht="15.75" customHeight="1">
      <c r="A841" s="187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</row>
    <row r="842" ht="15.75" customHeight="1">
      <c r="A842" s="187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</row>
    <row r="843" ht="15.75" customHeight="1">
      <c r="A843" s="187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</row>
    <row r="844" ht="15.75" customHeight="1">
      <c r="A844" s="187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</row>
    <row r="845" ht="15.75" customHeight="1">
      <c r="A845" s="187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</row>
    <row r="846" ht="15.75" customHeight="1">
      <c r="A846" s="187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</row>
    <row r="847" ht="15.75" customHeight="1">
      <c r="A847" s="187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</row>
    <row r="848" ht="15.75" customHeight="1">
      <c r="A848" s="187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</row>
    <row r="849" ht="15.75" customHeight="1">
      <c r="A849" s="187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</row>
    <row r="850" ht="15.75" customHeight="1">
      <c r="A850" s="187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</row>
    <row r="851" ht="15.75" customHeight="1">
      <c r="A851" s="187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</row>
    <row r="852" ht="15.75" customHeight="1">
      <c r="A852" s="187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</row>
    <row r="853" ht="15.75" customHeight="1">
      <c r="A853" s="187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</row>
    <row r="854" ht="15.75" customHeight="1">
      <c r="A854" s="187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</row>
    <row r="855" ht="15.75" customHeight="1">
      <c r="A855" s="187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</row>
    <row r="856" ht="15.75" customHeight="1">
      <c r="A856" s="187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</row>
    <row r="857" ht="15.75" customHeight="1">
      <c r="A857" s="187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</row>
    <row r="858" ht="15.75" customHeight="1">
      <c r="A858" s="187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</row>
    <row r="859" ht="15.75" customHeight="1">
      <c r="A859" s="187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</row>
    <row r="860" ht="15.75" customHeight="1">
      <c r="A860" s="187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</row>
    <row r="861" ht="15.75" customHeight="1">
      <c r="A861" s="187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</row>
    <row r="862" ht="15.75" customHeight="1">
      <c r="A862" s="187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</row>
    <row r="863" ht="15.75" customHeight="1">
      <c r="A863" s="187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</row>
    <row r="864" ht="15.75" customHeight="1">
      <c r="A864" s="187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</row>
    <row r="865" ht="15.75" customHeight="1">
      <c r="A865" s="187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</row>
    <row r="866" ht="15.75" customHeight="1">
      <c r="A866" s="187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</row>
    <row r="867" ht="15.75" customHeight="1">
      <c r="A867" s="187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</row>
    <row r="868" ht="15.75" customHeight="1">
      <c r="A868" s="187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</row>
    <row r="869" ht="15.75" customHeight="1">
      <c r="A869" s="187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</row>
    <row r="870" ht="15.75" customHeight="1">
      <c r="A870" s="187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</row>
    <row r="871" ht="15.75" customHeight="1">
      <c r="A871" s="187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</row>
    <row r="872" ht="15.75" customHeight="1">
      <c r="A872" s="187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</row>
    <row r="873" ht="15.75" customHeight="1">
      <c r="A873" s="187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</row>
    <row r="874" ht="15.75" customHeight="1">
      <c r="A874" s="187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</row>
    <row r="875" ht="15.75" customHeight="1">
      <c r="A875" s="187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</row>
    <row r="876" ht="15.75" customHeight="1">
      <c r="A876" s="187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</row>
    <row r="877" ht="15.75" customHeight="1">
      <c r="A877" s="187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</row>
    <row r="878" ht="15.75" customHeight="1">
      <c r="A878" s="187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</row>
    <row r="879" ht="15.75" customHeight="1">
      <c r="A879" s="187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</row>
    <row r="880" ht="15.75" customHeight="1">
      <c r="A880" s="187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</row>
    <row r="881" ht="15.75" customHeight="1">
      <c r="A881" s="187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</row>
    <row r="882" ht="15.75" customHeight="1">
      <c r="A882" s="187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</row>
    <row r="883" ht="15.75" customHeight="1">
      <c r="A883" s="187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</row>
    <row r="884" ht="15.75" customHeight="1">
      <c r="A884" s="187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</row>
    <row r="885" ht="15.75" customHeight="1">
      <c r="A885" s="187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</row>
    <row r="886" ht="15.75" customHeight="1">
      <c r="A886" s="187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</row>
    <row r="887" ht="15.75" customHeight="1">
      <c r="A887" s="187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</row>
    <row r="888" ht="15.75" customHeight="1">
      <c r="A888" s="187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</row>
    <row r="889" ht="15.75" customHeight="1">
      <c r="A889" s="187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</row>
    <row r="890" ht="15.75" customHeight="1">
      <c r="A890" s="187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</row>
    <row r="891" ht="15.75" customHeight="1">
      <c r="A891" s="187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</row>
    <row r="892" ht="15.75" customHeight="1">
      <c r="A892" s="187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</row>
    <row r="893" ht="15.75" customHeight="1">
      <c r="A893" s="187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</row>
    <row r="894" ht="15.75" customHeight="1">
      <c r="A894" s="187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</row>
    <row r="895" ht="15.75" customHeight="1">
      <c r="A895" s="187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</row>
    <row r="896" ht="15.75" customHeight="1">
      <c r="A896" s="187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</row>
    <row r="897" ht="15.75" customHeight="1">
      <c r="A897" s="187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</row>
    <row r="898" ht="15.75" customHeight="1">
      <c r="A898" s="187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</row>
    <row r="899" ht="15.75" customHeight="1">
      <c r="A899" s="187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</row>
    <row r="900" ht="15.75" customHeight="1">
      <c r="A900" s="187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</row>
    <row r="901" ht="15.75" customHeight="1">
      <c r="A901" s="187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</row>
    <row r="902" ht="15.75" customHeight="1">
      <c r="A902" s="187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</row>
    <row r="903" ht="15.75" customHeight="1">
      <c r="A903" s="187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</row>
    <row r="904" ht="15.75" customHeight="1">
      <c r="A904" s="187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</row>
    <row r="905" ht="15.75" customHeight="1">
      <c r="A905" s="187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</row>
    <row r="906" ht="15.75" customHeight="1">
      <c r="A906" s="187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</row>
    <row r="907" ht="15.75" customHeight="1">
      <c r="A907" s="187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</row>
    <row r="908" ht="15.75" customHeight="1">
      <c r="A908" s="187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</row>
    <row r="909" ht="15.75" customHeight="1">
      <c r="A909" s="187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</row>
    <row r="910" ht="15.75" customHeight="1">
      <c r="A910" s="187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</row>
    <row r="911" ht="15.75" customHeight="1">
      <c r="A911" s="187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</row>
    <row r="912" ht="15.75" customHeight="1">
      <c r="A912" s="187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</row>
    <row r="913" ht="15.75" customHeight="1">
      <c r="A913" s="187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</row>
    <row r="914" ht="15.75" customHeight="1">
      <c r="A914" s="187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</row>
    <row r="915" ht="15.75" customHeight="1">
      <c r="A915" s="187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</row>
    <row r="916" ht="15.75" customHeight="1">
      <c r="A916" s="187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</row>
    <row r="917" ht="15.75" customHeight="1">
      <c r="A917" s="187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</row>
    <row r="918" ht="15.75" customHeight="1">
      <c r="A918" s="187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</row>
    <row r="919" ht="15.75" customHeight="1">
      <c r="A919" s="187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</row>
    <row r="920" ht="15.75" customHeight="1">
      <c r="A920" s="187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</row>
    <row r="921" ht="15.75" customHeight="1">
      <c r="A921" s="187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</row>
    <row r="922" ht="15.75" customHeight="1">
      <c r="A922" s="187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</row>
    <row r="923" ht="15.75" customHeight="1">
      <c r="A923" s="187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</row>
    <row r="924" ht="15.75" customHeight="1">
      <c r="A924" s="187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</row>
    <row r="925" ht="15.75" customHeight="1">
      <c r="A925" s="187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</row>
    <row r="926" ht="15.75" customHeight="1">
      <c r="A926" s="187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</row>
    <row r="927" ht="15.75" customHeight="1">
      <c r="A927" s="187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</row>
    <row r="928" ht="15.75" customHeight="1">
      <c r="A928" s="187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</row>
    <row r="929" ht="15.75" customHeight="1">
      <c r="A929" s="187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</row>
    <row r="930" ht="15.75" customHeight="1">
      <c r="A930" s="187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</row>
    <row r="931" ht="15.75" customHeight="1">
      <c r="A931" s="187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</row>
    <row r="932" ht="15.75" customHeight="1">
      <c r="A932" s="187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</row>
    <row r="933" ht="15.75" customHeight="1">
      <c r="A933" s="187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</row>
    <row r="934" ht="15.75" customHeight="1">
      <c r="A934" s="187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</row>
    <row r="935" ht="15.75" customHeight="1">
      <c r="A935" s="187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</row>
    <row r="936" ht="15.75" customHeight="1">
      <c r="A936" s="187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</row>
    <row r="937" ht="15.75" customHeight="1">
      <c r="A937" s="187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</row>
    <row r="938" ht="15.75" customHeight="1">
      <c r="A938" s="187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</row>
    <row r="939" ht="15.75" customHeight="1">
      <c r="A939" s="187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</row>
    <row r="940" ht="15.75" customHeight="1">
      <c r="A940" s="187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</row>
    <row r="941" ht="15.75" customHeight="1">
      <c r="A941" s="187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</row>
    <row r="942" ht="15.75" customHeight="1">
      <c r="A942" s="187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</row>
    <row r="943" ht="15.75" customHeight="1">
      <c r="A943" s="187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</row>
    <row r="944" ht="15.75" customHeight="1">
      <c r="A944" s="187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</row>
    <row r="945" ht="15.75" customHeight="1">
      <c r="A945" s="187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</row>
    <row r="946" ht="15.75" customHeight="1">
      <c r="A946" s="187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</row>
    <row r="947" ht="15.75" customHeight="1">
      <c r="A947" s="187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</row>
    <row r="948" ht="15.75" customHeight="1">
      <c r="A948" s="187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</row>
    <row r="949" ht="15.75" customHeight="1">
      <c r="A949" s="187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</row>
    <row r="950" ht="15.75" customHeight="1">
      <c r="A950" s="187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</row>
    <row r="951" ht="15.75" customHeight="1">
      <c r="A951" s="187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</row>
    <row r="952" ht="15.75" customHeight="1">
      <c r="A952" s="187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</row>
    <row r="953" ht="15.75" customHeight="1">
      <c r="A953" s="187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</row>
    <row r="954" ht="15.75" customHeight="1">
      <c r="A954" s="187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</row>
    <row r="955" ht="15.75" customHeight="1">
      <c r="A955" s="187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</row>
    <row r="956" ht="15.75" customHeight="1">
      <c r="A956" s="187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</row>
    <row r="957" ht="15.75" customHeight="1">
      <c r="A957" s="187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</row>
    <row r="958" ht="15.75" customHeight="1">
      <c r="A958" s="187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</row>
    <row r="959" ht="15.75" customHeight="1">
      <c r="A959" s="187"/>
      <c r="B959" s="187"/>
      <c r="C959" s="187"/>
      <c r="D959" s="187"/>
      <c r="E959" s="187"/>
      <c r="F959" s="187"/>
      <c r="G959" s="187"/>
      <c r="H959" s="187"/>
      <c r="I959" s="187"/>
      <c r="J959" s="187"/>
      <c r="K959" s="187"/>
      <c r="L959" s="187"/>
      <c r="M959" s="187"/>
      <c r="N959" s="187"/>
      <c r="O959" s="187"/>
      <c r="P959" s="187"/>
      <c r="Q959" s="187"/>
      <c r="R959" s="187"/>
      <c r="S959" s="187"/>
      <c r="T959" s="187"/>
      <c r="U959" s="187"/>
      <c r="V959" s="187"/>
      <c r="W959" s="187"/>
      <c r="X959" s="187"/>
      <c r="Y959" s="187"/>
      <c r="Z959" s="187"/>
    </row>
    <row r="960" ht="15.75" customHeight="1">
      <c r="A960" s="187"/>
      <c r="B960" s="187"/>
      <c r="C960" s="187"/>
      <c r="D960" s="187"/>
      <c r="E960" s="187"/>
      <c r="F960" s="187"/>
      <c r="G960" s="187"/>
      <c r="H960" s="187"/>
      <c r="I960" s="187"/>
      <c r="J960" s="187"/>
      <c r="K960" s="187"/>
      <c r="L960" s="187"/>
      <c r="M960" s="187"/>
      <c r="N960" s="187"/>
      <c r="O960" s="187"/>
      <c r="P960" s="187"/>
      <c r="Q960" s="187"/>
      <c r="R960" s="187"/>
      <c r="S960" s="187"/>
      <c r="T960" s="187"/>
      <c r="U960" s="187"/>
      <c r="V960" s="187"/>
      <c r="W960" s="187"/>
      <c r="X960" s="187"/>
      <c r="Y960" s="187"/>
      <c r="Z960" s="187"/>
    </row>
    <row r="961" ht="15.75" customHeight="1">
      <c r="A961" s="187"/>
      <c r="B961" s="187"/>
      <c r="C961" s="187"/>
      <c r="D961" s="187"/>
      <c r="E961" s="187"/>
      <c r="F961" s="187"/>
      <c r="G961" s="187"/>
      <c r="H961" s="187"/>
      <c r="I961" s="187"/>
      <c r="J961" s="187"/>
      <c r="K961" s="187"/>
      <c r="L961" s="187"/>
      <c r="M961" s="187"/>
      <c r="N961" s="187"/>
      <c r="O961" s="187"/>
      <c r="P961" s="187"/>
      <c r="Q961" s="187"/>
      <c r="R961" s="187"/>
      <c r="S961" s="187"/>
      <c r="T961" s="187"/>
      <c r="U961" s="187"/>
      <c r="V961" s="187"/>
      <c r="W961" s="187"/>
      <c r="X961" s="187"/>
      <c r="Y961" s="187"/>
      <c r="Z961" s="187"/>
    </row>
    <row r="962" ht="15.75" customHeight="1">
      <c r="A962" s="187"/>
      <c r="B962" s="187"/>
      <c r="C962" s="187"/>
      <c r="D962" s="187"/>
      <c r="E962" s="187"/>
      <c r="F962" s="187"/>
      <c r="G962" s="187"/>
      <c r="H962" s="187"/>
      <c r="I962" s="187"/>
      <c r="J962" s="187"/>
      <c r="K962" s="187"/>
      <c r="L962" s="187"/>
      <c r="M962" s="187"/>
      <c r="N962" s="187"/>
      <c r="O962" s="187"/>
      <c r="P962" s="187"/>
      <c r="Q962" s="187"/>
      <c r="R962" s="187"/>
      <c r="S962" s="187"/>
      <c r="T962" s="187"/>
      <c r="U962" s="187"/>
      <c r="V962" s="187"/>
      <c r="W962" s="187"/>
      <c r="X962" s="187"/>
      <c r="Y962" s="187"/>
      <c r="Z962" s="187"/>
    </row>
    <row r="963" ht="15.75" customHeight="1">
      <c r="A963" s="187"/>
      <c r="B963" s="187"/>
      <c r="C963" s="187"/>
      <c r="D963" s="187"/>
      <c r="E963" s="187"/>
      <c r="F963" s="187"/>
      <c r="G963" s="187"/>
      <c r="H963" s="187"/>
      <c r="I963" s="187"/>
      <c r="J963" s="187"/>
      <c r="K963" s="187"/>
      <c r="L963" s="187"/>
      <c r="M963" s="187"/>
      <c r="N963" s="187"/>
      <c r="O963" s="187"/>
      <c r="P963" s="187"/>
      <c r="Q963" s="187"/>
      <c r="R963" s="187"/>
      <c r="S963" s="187"/>
      <c r="T963" s="187"/>
      <c r="U963" s="187"/>
      <c r="V963" s="187"/>
      <c r="W963" s="187"/>
      <c r="X963" s="187"/>
      <c r="Y963" s="187"/>
      <c r="Z963" s="187"/>
    </row>
    <row r="964" ht="15.75" customHeight="1">
      <c r="A964" s="187"/>
      <c r="B964" s="187"/>
      <c r="C964" s="187"/>
      <c r="D964" s="187"/>
      <c r="E964" s="187"/>
      <c r="F964" s="187"/>
      <c r="G964" s="187"/>
      <c r="H964" s="187"/>
      <c r="I964" s="187"/>
      <c r="J964" s="187"/>
      <c r="K964" s="187"/>
      <c r="L964" s="187"/>
      <c r="M964" s="187"/>
      <c r="N964" s="187"/>
      <c r="O964" s="187"/>
      <c r="P964" s="187"/>
      <c r="Q964" s="187"/>
      <c r="R964" s="187"/>
      <c r="S964" s="187"/>
      <c r="T964" s="187"/>
      <c r="U964" s="187"/>
      <c r="V964" s="187"/>
      <c r="W964" s="187"/>
      <c r="X964" s="187"/>
      <c r="Y964" s="187"/>
      <c r="Z964" s="187"/>
    </row>
    <row r="965" ht="15.75" customHeight="1">
      <c r="A965" s="187"/>
      <c r="B965" s="187"/>
      <c r="C965" s="187"/>
      <c r="D965" s="187"/>
      <c r="E965" s="187"/>
      <c r="F965" s="187"/>
      <c r="G965" s="187"/>
      <c r="H965" s="187"/>
      <c r="I965" s="187"/>
      <c r="J965" s="187"/>
      <c r="K965" s="187"/>
      <c r="L965" s="187"/>
      <c r="M965" s="187"/>
      <c r="N965" s="187"/>
      <c r="O965" s="187"/>
      <c r="P965" s="187"/>
      <c r="Q965" s="187"/>
      <c r="R965" s="187"/>
      <c r="S965" s="187"/>
      <c r="T965" s="187"/>
      <c r="U965" s="187"/>
      <c r="V965" s="187"/>
      <c r="W965" s="187"/>
      <c r="X965" s="187"/>
      <c r="Y965" s="187"/>
      <c r="Z965" s="187"/>
    </row>
    <row r="966" ht="15.75" customHeight="1">
      <c r="A966" s="187"/>
      <c r="B966" s="187"/>
      <c r="C966" s="187"/>
      <c r="D966" s="187"/>
      <c r="E966" s="187"/>
      <c r="F966" s="187"/>
      <c r="G966" s="187"/>
      <c r="H966" s="187"/>
      <c r="I966" s="187"/>
      <c r="J966" s="187"/>
      <c r="K966" s="187"/>
      <c r="L966" s="187"/>
      <c r="M966" s="187"/>
      <c r="N966" s="187"/>
      <c r="O966" s="187"/>
      <c r="P966" s="187"/>
      <c r="Q966" s="187"/>
      <c r="R966" s="187"/>
      <c r="S966" s="187"/>
      <c r="T966" s="187"/>
      <c r="U966" s="187"/>
      <c r="V966" s="187"/>
      <c r="W966" s="187"/>
      <c r="X966" s="187"/>
      <c r="Y966" s="187"/>
      <c r="Z966" s="187"/>
    </row>
    <row r="967" ht="15.75" customHeight="1">
      <c r="A967" s="187"/>
      <c r="B967" s="187"/>
      <c r="C967" s="187"/>
      <c r="D967" s="187"/>
      <c r="E967" s="187"/>
      <c r="F967" s="187"/>
      <c r="G967" s="187"/>
      <c r="H967" s="187"/>
      <c r="I967" s="187"/>
      <c r="J967" s="187"/>
      <c r="K967" s="187"/>
      <c r="L967" s="187"/>
      <c r="M967" s="187"/>
      <c r="N967" s="187"/>
      <c r="O967" s="187"/>
      <c r="P967" s="187"/>
      <c r="Q967" s="187"/>
      <c r="R967" s="187"/>
      <c r="S967" s="187"/>
      <c r="T967" s="187"/>
      <c r="U967" s="187"/>
      <c r="V967" s="187"/>
      <c r="W967" s="187"/>
      <c r="X967" s="187"/>
      <c r="Y967" s="187"/>
      <c r="Z967" s="187"/>
    </row>
    <row r="968" ht="15.75" customHeight="1">
      <c r="A968" s="187"/>
      <c r="B968" s="187"/>
      <c r="C968" s="187"/>
      <c r="D968" s="187"/>
      <c r="E968" s="187"/>
      <c r="F968" s="187"/>
      <c r="G968" s="187"/>
      <c r="H968" s="187"/>
      <c r="I968" s="187"/>
      <c r="J968" s="187"/>
      <c r="K968" s="187"/>
      <c r="L968" s="187"/>
      <c r="M968" s="187"/>
      <c r="N968" s="187"/>
      <c r="O968" s="187"/>
      <c r="P968" s="187"/>
      <c r="Q968" s="187"/>
      <c r="R968" s="187"/>
      <c r="S968" s="187"/>
      <c r="T968" s="187"/>
      <c r="U968" s="187"/>
      <c r="V968" s="187"/>
      <c r="W968" s="187"/>
      <c r="X968" s="187"/>
      <c r="Y968" s="187"/>
      <c r="Z968" s="187"/>
    </row>
    <row r="969" ht="15.75" customHeight="1">
      <c r="A969" s="187"/>
      <c r="B969" s="187"/>
      <c r="C969" s="187"/>
      <c r="D969" s="187"/>
      <c r="E969" s="187"/>
      <c r="F969" s="187"/>
      <c r="G969" s="187"/>
      <c r="H969" s="187"/>
      <c r="I969" s="187"/>
      <c r="J969" s="187"/>
      <c r="K969" s="187"/>
      <c r="L969" s="187"/>
      <c r="M969" s="187"/>
      <c r="N969" s="187"/>
      <c r="O969" s="187"/>
      <c r="P969" s="187"/>
      <c r="Q969" s="187"/>
      <c r="R969" s="187"/>
      <c r="S969" s="187"/>
      <c r="T969" s="187"/>
      <c r="U969" s="187"/>
      <c r="V969" s="187"/>
      <c r="W969" s="187"/>
      <c r="X969" s="187"/>
      <c r="Y969" s="187"/>
      <c r="Z969" s="187"/>
    </row>
    <row r="970" ht="15.75" customHeight="1">
      <c r="A970" s="187"/>
      <c r="B970" s="187"/>
      <c r="C970" s="187"/>
      <c r="D970" s="187"/>
      <c r="E970" s="187"/>
      <c r="F970" s="187"/>
      <c r="G970" s="187"/>
      <c r="H970" s="187"/>
      <c r="I970" s="187"/>
      <c r="J970" s="187"/>
      <c r="K970" s="187"/>
      <c r="L970" s="187"/>
      <c r="M970" s="187"/>
      <c r="N970" s="187"/>
      <c r="O970" s="187"/>
      <c r="P970" s="187"/>
      <c r="Q970" s="187"/>
      <c r="R970" s="187"/>
      <c r="S970" s="187"/>
      <c r="T970" s="187"/>
      <c r="U970" s="187"/>
      <c r="V970" s="187"/>
      <c r="W970" s="187"/>
      <c r="X970" s="187"/>
      <c r="Y970" s="187"/>
      <c r="Z970" s="187"/>
    </row>
    <row r="971" ht="15.75" customHeight="1">
      <c r="A971" s="187"/>
      <c r="B971" s="187"/>
      <c r="C971" s="187"/>
      <c r="D971" s="187"/>
      <c r="E971" s="187"/>
      <c r="F971" s="187"/>
      <c r="G971" s="187"/>
      <c r="H971" s="187"/>
      <c r="I971" s="187"/>
      <c r="J971" s="187"/>
      <c r="K971" s="187"/>
      <c r="L971" s="187"/>
      <c r="M971" s="187"/>
      <c r="N971" s="187"/>
      <c r="O971" s="187"/>
      <c r="P971" s="187"/>
      <c r="Q971" s="187"/>
      <c r="R971" s="187"/>
      <c r="S971" s="187"/>
      <c r="T971" s="187"/>
      <c r="U971" s="187"/>
      <c r="V971" s="187"/>
      <c r="W971" s="187"/>
      <c r="X971" s="187"/>
      <c r="Y971" s="187"/>
      <c r="Z971" s="187"/>
    </row>
    <row r="972" ht="15.75" customHeight="1">
      <c r="A972" s="187"/>
      <c r="B972" s="187"/>
      <c r="C972" s="187"/>
      <c r="D972" s="187"/>
      <c r="E972" s="187"/>
      <c r="F972" s="187"/>
      <c r="G972" s="187"/>
      <c r="H972" s="187"/>
      <c r="I972" s="187"/>
      <c r="J972" s="187"/>
      <c r="K972" s="187"/>
      <c r="L972" s="187"/>
      <c r="M972" s="187"/>
      <c r="N972" s="187"/>
      <c r="O972" s="187"/>
      <c r="P972" s="187"/>
      <c r="Q972" s="187"/>
      <c r="R972" s="187"/>
      <c r="S972" s="187"/>
      <c r="T972" s="187"/>
      <c r="U972" s="187"/>
      <c r="V972" s="187"/>
      <c r="W972" s="187"/>
      <c r="X972" s="187"/>
      <c r="Y972" s="187"/>
      <c r="Z972" s="187"/>
    </row>
    <row r="973" ht="15.75" customHeight="1">
      <c r="A973" s="187"/>
      <c r="B973" s="187"/>
      <c r="C973" s="187"/>
      <c r="D973" s="187"/>
      <c r="E973" s="187"/>
      <c r="F973" s="187"/>
      <c r="G973" s="187"/>
      <c r="H973" s="187"/>
      <c r="I973" s="187"/>
      <c r="J973" s="187"/>
      <c r="K973" s="187"/>
      <c r="L973" s="187"/>
      <c r="M973" s="187"/>
      <c r="N973" s="187"/>
      <c r="O973" s="187"/>
      <c r="P973" s="187"/>
      <c r="Q973" s="187"/>
      <c r="R973" s="187"/>
      <c r="S973" s="187"/>
      <c r="T973" s="187"/>
      <c r="U973" s="187"/>
      <c r="V973" s="187"/>
      <c r="W973" s="187"/>
      <c r="X973" s="187"/>
      <c r="Y973" s="187"/>
      <c r="Z973" s="187"/>
    </row>
    <row r="974" ht="15.75" customHeight="1">
      <c r="A974" s="187"/>
      <c r="B974" s="187"/>
      <c r="C974" s="187"/>
      <c r="D974" s="187"/>
      <c r="E974" s="187"/>
      <c r="F974" s="187"/>
      <c r="G974" s="187"/>
      <c r="H974" s="187"/>
      <c r="I974" s="187"/>
      <c r="J974" s="187"/>
      <c r="K974" s="187"/>
      <c r="L974" s="187"/>
      <c r="M974" s="187"/>
      <c r="N974" s="187"/>
      <c r="O974" s="187"/>
      <c r="P974" s="187"/>
      <c r="Q974" s="187"/>
      <c r="R974" s="187"/>
      <c r="S974" s="187"/>
      <c r="T974" s="187"/>
      <c r="U974" s="187"/>
      <c r="V974" s="187"/>
      <c r="W974" s="187"/>
      <c r="X974" s="187"/>
      <c r="Y974" s="187"/>
      <c r="Z974" s="187"/>
    </row>
    <row r="975" ht="15.75" customHeight="1">
      <c r="A975" s="187"/>
      <c r="B975" s="187"/>
      <c r="C975" s="187"/>
      <c r="D975" s="187"/>
      <c r="E975" s="187"/>
      <c r="F975" s="187"/>
      <c r="G975" s="187"/>
      <c r="H975" s="187"/>
      <c r="I975" s="187"/>
      <c r="J975" s="187"/>
      <c r="K975" s="187"/>
      <c r="L975" s="187"/>
      <c r="M975" s="187"/>
      <c r="N975" s="187"/>
      <c r="O975" s="187"/>
      <c r="P975" s="187"/>
      <c r="Q975" s="187"/>
      <c r="R975" s="187"/>
      <c r="S975" s="187"/>
      <c r="T975" s="187"/>
      <c r="U975" s="187"/>
      <c r="V975" s="187"/>
      <c r="W975" s="187"/>
      <c r="X975" s="187"/>
      <c r="Y975" s="187"/>
      <c r="Z975" s="187"/>
    </row>
    <row r="976" ht="15.75" customHeight="1">
      <c r="A976" s="187"/>
      <c r="B976" s="187"/>
      <c r="C976" s="187"/>
      <c r="D976" s="187"/>
      <c r="E976" s="187"/>
      <c r="F976" s="187"/>
      <c r="G976" s="187"/>
      <c r="H976" s="187"/>
      <c r="I976" s="187"/>
      <c r="J976" s="187"/>
      <c r="K976" s="187"/>
      <c r="L976" s="187"/>
      <c r="M976" s="187"/>
      <c r="N976" s="187"/>
      <c r="O976" s="187"/>
      <c r="P976" s="187"/>
      <c r="Q976" s="187"/>
      <c r="R976" s="187"/>
      <c r="S976" s="187"/>
      <c r="T976" s="187"/>
      <c r="U976" s="187"/>
      <c r="V976" s="187"/>
      <c r="W976" s="187"/>
      <c r="X976" s="187"/>
      <c r="Y976" s="187"/>
      <c r="Z976" s="187"/>
    </row>
    <row r="977" ht="15.75" customHeight="1">
      <c r="A977" s="187"/>
      <c r="B977" s="187"/>
      <c r="C977" s="187"/>
      <c r="D977" s="187"/>
      <c r="E977" s="187"/>
      <c r="F977" s="187"/>
      <c r="G977" s="187"/>
      <c r="H977" s="187"/>
      <c r="I977" s="187"/>
      <c r="J977" s="187"/>
      <c r="K977" s="187"/>
      <c r="L977" s="187"/>
      <c r="M977" s="187"/>
      <c r="N977" s="187"/>
      <c r="O977" s="187"/>
      <c r="P977" s="187"/>
      <c r="Q977" s="187"/>
      <c r="R977" s="187"/>
      <c r="S977" s="187"/>
      <c r="T977" s="187"/>
      <c r="U977" s="187"/>
      <c r="V977" s="187"/>
      <c r="W977" s="187"/>
      <c r="X977" s="187"/>
      <c r="Y977" s="187"/>
      <c r="Z977" s="187"/>
    </row>
    <row r="978" ht="15.75" customHeight="1">
      <c r="A978" s="187"/>
      <c r="B978" s="187"/>
      <c r="C978" s="187"/>
      <c r="D978" s="187"/>
      <c r="E978" s="187"/>
      <c r="F978" s="187"/>
      <c r="G978" s="187"/>
      <c r="H978" s="187"/>
      <c r="I978" s="187"/>
      <c r="J978" s="187"/>
      <c r="K978" s="187"/>
      <c r="L978" s="187"/>
      <c r="M978" s="187"/>
      <c r="N978" s="187"/>
      <c r="O978" s="187"/>
      <c r="P978" s="187"/>
      <c r="Q978" s="187"/>
      <c r="R978" s="187"/>
      <c r="S978" s="187"/>
      <c r="T978" s="187"/>
      <c r="U978" s="187"/>
      <c r="V978" s="187"/>
      <c r="W978" s="187"/>
      <c r="X978" s="187"/>
      <c r="Y978" s="187"/>
      <c r="Z978" s="187"/>
    </row>
    <row r="979" ht="15.75" customHeight="1">
      <c r="A979" s="187"/>
      <c r="B979" s="187"/>
      <c r="C979" s="187"/>
      <c r="D979" s="187"/>
      <c r="E979" s="187"/>
      <c r="F979" s="187"/>
      <c r="G979" s="187"/>
      <c r="H979" s="187"/>
      <c r="I979" s="187"/>
      <c r="J979" s="187"/>
      <c r="K979" s="187"/>
      <c r="L979" s="187"/>
      <c r="M979" s="187"/>
      <c r="N979" s="187"/>
      <c r="O979" s="187"/>
      <c r="P979" s="187"/>
      <c r="Q979" s="187"/>
      <c r="R979" s="187"/>
      <c r="S979" s="187"/>
      <c r="T979" s="187"/>
      <c r="U979" s="187"/>
      <c r="V979" s="187"/>
      <c r="W979" s="187"/>
      <c r="X979" s="187"/>
      <c r="Y979" s="187"/>
      <c r="Z979" s="187"/>
    </row>
    <row r="980" ht="15.75" customHeight="1">
      <c r="A980" s="187"/>
      <c r="B980" s="187"/>
      <c r="C980" s="187"/>
      <c r="D980" s="187"/>
      <c r="E980" s="187"/>
      <c r="F980" s="187"/>
      <c r="G980" s="187"/>
      <c r="H980" s="187"/>
      <c r="I980" s="187"/>
      <c r="J980" s="187"/>
      <c r="K980" s="187"/>
      <c r="L980" s="187"/>
      <c r="M980" s="187"/>
      <c r="N980" s="187"/>
      <c r="O980" s="187"/>
      <c r="P980" s="187"/>
      <c r="Q980" s="187"/>
      <c r="R980" s="187"/>
      <c r="S980" s="187"/>
      <c r="T980" s="187"/>
      <c r="U980" s="187"/>
      <c r="V980" s="187"/>
      <c r="W980" s="187"/>
      <c r="X980" s="187"/>
      <c r="Y980" s="187"/>
      <c r="Z980" s="187"/>
    </row>
    <row r="981" ht="15.75" customHeight="1">
      <c r="A981" s="187"/>
      <c r="B981" s="187"/>
      <c r="C981" s="187"/>
      <c r="D981" s="187"/>
      <c r="E981" s="187"/>
      <c r="F981" s="187"/>
      <c r="G981" s="187"/>
      <c r="H981" s="187"/>
      <c r="I981" s="187"/>
      <c r="J981" s="187"/>
      <c r="K981" s="187"/>
      <c r="L981" s="187"/>
      <c r="M981" s="187"/>
      <c r="N981" s="187"/>
      <c r="O981" s="187"/>
      <c r="P981" s="187"/>
      <c r="Q981" s="187"/>
      <c r="R981" s="187"/>
      <c r="S981" s="187"/>
      <c r="T981" s="187"/>
      <c r="U981" s="187"/>
      <c r="V981" s="187"/>
      <c r="W981" s="187"/>
      <c r="X981" s="187"/>
      <c r="Y981" s="187"/>
      <c r="Z981" s="187"/>
    </row>
    <row r="982" ht="15.75" customHeight="1">
      <c r="A982" s="187"/>
      <c r="B982" s="187"/>
      <c r="C982" s="187"/>
      <c r="D982" s="187"/>
      <c r="E982" s="187"/>
      <c r="F982" s="187"/>
      <c r="G982" s="187"/>
      <c r="H982" s="187"/>
      <c r="I982" s="187"/>
      <c r="J982" s="187"/>
      <c r="K982" s="187"/>
      <c r="L982" s="187"/>
      <c r="M982" s="187"/>
      <c r="N982" s="187"/>
      <c r="O982" s="187"/>
      <c r="P982" s="187"/>
      <c r="Q982" s="187"/>
      <c r="R982" s="187"/>
      <c r="S982" s="187"/>
      <c r="T982" s="187"/>
      <c r="U982" s="187"/>
      <c r="V982" s="187"/>
      <c r="W982" s="187"/>
      <c r="X982" s="187"/>
      <c r="Y982" s="187"/>
      <c r="Z982" s="187"/>
    </row>
    <row r="983" ht="15.75" customHeight="1">
      <c r="A983" s="187"/>
      <c r="B983" s="187"/>
      <c r="C983" s="187"/>
      <c r="D983" s="187"/>
      <c r="E983" s="187"/>
      <c r="F983" s="187"/>
      <c r="G983" s="187"/>
      <c r="H983" s="187"/>
      <c r="I983" s="187"/>
      <c r="J983" s="187"/>
      <c r="K983" s="187"/>
      <c r="L983" s="187"/>
      <c r="M983" s="187"/>
      <c r="N983" s="187"/>
      <c r="O983" s="187"/>
      <c r="P983" s="187"/>
      <c r="Q983" s="187"/>
      <c r="R983" s="187"/>
      <c r="S983" s="187"/>
      <c r="T983" s="187"/>
      <c r="U983" s="187"/>
      <c r="V983" s="187"/>
      <c r="W983" s="187"/>
      <c r="X983" s="187"/>
      <c r="Y983" s="187"/>
      <c r="Z983" s="187"/>
    </row>
    <row r="984" ht="15.75" customHeight="1">
      <c r="A984" s="187"/>
      <c r="B984" s="187"/>
      <c r="C984" s="187"/>
      <c r="D984" s="187"/>
      <c r="E984" s="187"/>
      <c r="F984" s="187"/>
      <c r="G984" s="187"/>
      <c r="H984" s="187"/>
      <c r="I984" s="187"/>
      <c r="J984" s="187"/>
      <c r="K984" s="187"/>
      <c r="L984" s="187"/>
      <c r="M984" s="187"/>
      <c r="N984" s="187"/>
      <c r="O984" s="187"/>
      <c r="P984" s="187"/>
      <c r="Q984" s="187"/>
      <c r="R984" s="187"/>
      <c r="S984" s="187"/>
      <c r="T984" s="187"/>
      <c r="U984" s="187"/>
      <c r="V984" s="187"/>
      <c r="W984" s="187"/>
      <c r="X984" s="187"/>
      <c r="Y984" s="187"/>
      <c r="Z984" s="187"/>
    </row>
    <row r="985" ht="15.75" customHeight="1">
      <c r="A985" s="187"/>
      <c r="B985" s="187"/>
      <c r="C985" s="187"/>
      <c r="D985" s="187"/>
      <c r="E985" s="187"/>
      <c r="F985" s="187"/>
      <c r="G985" s="187"/>
      <c r="H985" s="187"/>
      <c r="I985" s="187"/>
      <c r="J985" s="187"/>
      <c r="K985" s="187"/>
      <c r="L985" s="187"/>
      <c r="M985" s="187"/>
      <c r="N985" s="187"/>
      <c r="O985" s="187"/>
      <c r="P985" s="187"/>
      <c r="Q985" s="187"/>
      <c r="R985" s="187"/>
      <c r="S985" s="187"/>
      <c r="T985" s="187"/>
      <c r="U985" s="187"/>
      <c r="V985" s="187"/>
      <c r="W985" s="187"/>
      <c r="X985" s="187"/>
      <c r="Y985" s="187"/>
      <c r="Z985" s="187"/>
    </row>
    <row r="986" ht="15.75" customHeight="1">
      <c r="A986" s="187"/>
      <c r="B986" s="187"/>
      <c r="C986" s="187"/>
      <c r="D986" s="187"/>
      <c r="E986" s="187"/>
      <c r="F986" s="187"/>
      <c r="G986" s="187"/>
      <c r="H986" s="187"/>
      <c r="I986" s="187"/>
      <c r="J986" s="187"/>
      <c r="K986" s="187"/>
      <c r="L986" s="187"/>
      <c r="M986" s="187"/>
      <c r="N986" s="187"/>
      <c r="O986" s="187"/>
      <c r="P986" s="187"/>
      <c r="Q986" s="187"/>
      <c r="R986" s="187"/>
      <c r="S986" s="187"/>
      <c r="T986" s="187"/>
      <c r="U986" s="187"/>
      <c r="V986" s="187"/>
      <c r="W986" s="187"/>
      <c r="X986" s="187"/>
      <c r="Y986" s="187"/>
      <c r="Z986" s="187"/>
    </row>
    <row r="987" ht="15.75" customHeight="1">
      <c r="A987" s="187"/>
      <c r="B987" s="187"/>
      <c r="C987" s="187"/>
      <c r="D987" s="187"/>
      <c r="E987" s="187"/>
      <c r="F987" s="187"/>
      <c r="G987" s="187"/>
      <c r="H987" s="187"/>
      <c r="I987" s="187"/>
      <c r="J987" s="187"/>
      <c r="K987" s="187"/>
      <c r="L987" s="187"/>
      <c r="M987" s="187"/>
      <c r="N987" s="187"/>
      <c r="O987" s="187"/>
      <c r="P987" s="187"/>
      <c r="Q987" s="187"/>
      <c r="R987" s="187"/>
      <c r="S987" s="187"/>
      <c r="T987" s="187"/>
      <c r="U987" s="187"/>
      <c r="V987" s="187"/>
      <c r="W987" s="187"/>
      <c r="X987" s="187"/>
      <c r="Y987" s="187"/>
      <c r="Z987" s="187"/>
    </row>
    <row r="988" ht="15.75" customHeight="1">
      <c r="A988" s="187"/>
      <c r="B988" s="187"/>
      <c r="C988" s="187"/>
      <c r="D988" s="187"/>
      <c r="E988" s="187"/>
      <c r="F988" s="187"/>
      <c r="G988" s="187"/>
      <c r="H988" s="187"/>
      <c r="I988" s="187"/>
      <c r="J988" s="187"/>
      <c r="K988" s="187"/>
      <c r="L988" s="187"/>
      <c r="M988" s="187"/>
      <c r="N988" s="187"/>
      <c r="O988" s="187"/>
      <c r="P988" s="187"/>
      <c r="Q988" s="187"/>
      <c r="R988" s="187"/>
      <c r="S988" s="187"/>
      <c r="T988" s="187"/>
      <c r="U988" s="187"/>
      <c r="V988" s="187"/>
      <c r="W988" s="187"/>
      <c r="X988" s="187"/>
      <c r="Y988" s="187"/>
      <c r="Z988" s="187"/>
    </row>
    <row r="989" ht="15.75" customHeight="1">
      <c r="A989" s="187"/>
      <c r="B989" s="187"/>
      <c r="C989" s="187"/>
      <c r="D989" s="187"/>
      <c r="E989" s="187"/>
      <c r="F989" s="187"/>
      <c r="G989" s="187"/>
      <c r="H989" s="187"/>
      <c r="I989" s="187"/>
      <c r="J989" s="187"/>
      <c r="K989" s="187"/>
      <c r="L989" s="187"/>
      <c r="M989" s="187"/>
      <c r="N989" s="187"/>
      <c r="O989" s="187"/>
      <c r="P989" s="187"/>
      <c r="Q989" s="187"/>
      <c r="R989" s="187"/>
      <c r="S989" s="187"/>
      <c r="T989" s="187"/>
      <c r="U989" s="187"/>
      <c r="V989" s="187"/>
      <c r="W989" s="187"/>
      <c r="X989" s="187"/>
      <c r="Y989" s="187"/>
      <c r="Z989" s="187"/>
    </row>
    <row r="990" ht="15.75" customHeight="1">
      <c r="A990" s="187"/>
      <c r="B990" s="187"/>
      <c r="C990" s="187"/>
      <c r="D990" s="187"/>
      <c r="E990" s="187"/>
      <c r="F990" s="187"/>
      <c r="G990" s="187"/>
      <c r="H990" s="187"/>
      <c r="I990" s="187"/>
      <c r="J990" s="187"/>
      <c r="K990" s="187"/>
      <c r="L990" s="187"/>
      <c r="M990" s="187"/>
      <c r="N990" s="187"/>
      <c r="O990" s="187"/>
      <c r="P990" s="187"/>
      <c r="Q990" s="187"/>
      <c r="R990" s="187"/>
      <c r="S990" s="187"/>
      <c r="T990" s="187"/>
      <c r="U990" s="187"/>
      <c r="V990" s="187"/>
      <c r="W990" s="187"/>
      <c r="X990" s="187"/>
      <c r="Y990" s="187"/>
      <c r="Z990" s="187"/>
    </row>
    <row r="991" ht="15.75" customHeight="1">
      <c r="A991" s="187"/>
      <c r="B991" s="187"/>
      <c r="C991" s="187"/>
      <c r="D991" s="187"/>
      <c r="E991" s="187"/>
      <c r="F991" s="187"/>
      <c r="G991" s="187"/>
      <c r="H991" s="187"/>
      <c r="I991" s="187"/>
      <c r="J991" s="187"/>
      <c r="K991" s="187"/>
      <c r="L991" s="187"/>
      <c r="M991" s="187"/>
      <c r="N991" s="187"/>
      <c r="O991" s="187"/>
      <c r="P991" s="187"/>
      <c r="Q991" s="187"/>
      <c r="R991" s="187"/>
      <c r="S991" s="187"/>
      <c r="T991" s="187"/>
      <c r="U991" s="187"/>
      <c r="V991" s="187"/>
      <c r="W991" s="187"/>
      <c r="X991" s="187"/>
      <c r="Y991" s="187"/>
      <c r="Z991" s="187"/>
    </row>
    <row r="992" ht="15.75" customHeight="1">
      <c r="A992" s="187"/>
      <c r="B992" s="187"/>
      <c r="C992" s="187"/>
      <c r="D992" s="187"/>
      <c r="E992" s="187"/>
      <c r="F992" s="187"/>
      <c r="G992" s="187"/>
      <c r="H992" s="187"/>
      <c r="I992" s="187"/>
      <c r="J992" s="187"/>
      <c r="K992" s="187"/>
      <c r="L992" s="187"/>
      <c r="M992" s="187"/>
      <c r="N992" s="187"/>
      <c r="O992" s="187"/>
      <c r="P992" s="187"/>
      <c r="Q992" s="187"/>
      <c r="R992" s="187"/>
      <c r="S992" s="187"/>
      <c r="T992" s="187"/>
      <c r="U992" s="187"/>
      <c r="V992" s="187"/>
      <c r="W992" s="187"/>
      <c r="X992" s="187"/>
      <c r="Y992" s="187"/>
      <c r="Z992" s="187"/>
    </row>
    <row r="993" ht="15.75" customHeight="1">
      <c r="A993" s="187"/>
      <c r="B993" s="187"/>
      <c r="C993" s="187"/>
      <c r="D993" s="187"/>
      <c r="E993" s="187"/>
      <c r="F993" s="187"/>
      <c r="G993" s="187"/>
      <c r="H993" s="187"/>
      <c r="I993" s="187"/>
      <c r="J993" s="187"/>
      <c r="K993" s="187"/>
      <c r="L993" s="187"/>
      <c r="M993" s="187"/>
      <c r="N993" s="187"/>
      <c r="O993" s="187"/>
      <c r="P993" s="187"/>
      <c r="Q993" s="187"/>
      <c r="R993" s="187"/>
      <c r="S993" s="187"/>
      <c r="T993" s="187"/>
      <c r="U993" s="187"/>
      <c r="V993" s="187"/>
      <c r="W993" s="187"/>
      <c r="X993" s="187"/>
      <c r="Y993" s="187"/>
      <c r="Z993" s="187"/>
    </row>
    <row r="994" ht="15.75" customHeight="1">
      <c r="A994" s="187"/>
      <c r="B994" s="187"/>
      <c r="C994" s="187"/>
      <c r="D994" s="187"/>
      <c r="E994" s="187"/>
      <c r="F994" s="187"/>
      <c r="G994" s="187"/>
      <c r="H994" s="187"/>
      <c r="I994" s="187"/>
      <c r="J994" s="187"/>
      <c r="K994" s="187"/>
      <c r="L994" s="187"/>
      <c r="M994" s="187"/>
      <c r="N994" s="187"/>
      <c r="O994" s="187"/>
      <c r="P994" s="187"/>
      <c r="Q994" s="187"/>
      <c r="R994" s="187"/>
      <c r="S994" s="187"/>
      <c r="T994" s="187"/>
      <c r="U994" s="187"/>
      <c r="V994" s="187"/>
      <c r="W994" s="187"/>
      <c r="X994" s="187"/>
      <c r="Y994" s="187"/>
      <c r="Z994" s="187"/>
    </row>
    <row r="995" ht="15.75" customHeight="1">
      <c r="A995" s="187"/>
      <c r="B995" s="187"/>
      <c r="C995" s="187"/>
      <c r="D995" s="187"/>
      <c r="E995" s="187"/>
      <c r="F995" s="187"/>
      <c r="G995" s="187"/>
      <c r="H995" s="187"/>
      <c r="I995" s="187"/>
      <c r="J995" s="187"/>
      <c r="K995" s="187"/>
      <c r="L995" s="187"/>
      <c r="M995" s="187"/>
      <c r="N995" s="187"/>
      <c r="O995" s="187"/>
      <c r="P995" s="187"/>
      <c r="Q995" s="187"/>
      <c r="R995" s="187"/>
      <c r="S995" s="187"/>
      <c r="T995" s="187"/>
      <c r="U995" s="187"/>
      <c r="V995" s="187"/>
      <c r="W995" s="187"/>
      <c r="X995" s="187"/>
      <c r="Y995" s="187"/>
      <c r="Z995" s="187"/>
    </row>
    <row r="996" ht="15.75" customHeight="1">
      <c r="A996" s="187"/>
      <c r="B996" s="187"/>
      <c r="C996" s="187"/>
      <c r="D996" s="187"/>
      <c r="E996" s="187"/>
      <c r="F996" s="187"/>
      <c r="G996" s="187"/>
      <c r="H996" s="187"/>
      <c r="I996" s="187"/>
      <c r="J996" s="187"/>
      <c r="K996" s="187"/>
      <c r="L996" s="187"/>
      <c r="M996" s="187"/>
      <c r="N996" s="187"/>
      <c r="O996" s="187"/>
      <c r="P996" s="187"/>
      <c r="Q996" s="187"/>
      <c r="R996" s="187"/>
      <c r="S996" s="187"/>
      <c r="T996" s="187"/>
      <c r="U996" s="187"/>
      <c r="V996" s="187"/>
      <c r="W996" s="187"/>
      <c r="X996" s="187"/>
      <c r="Y996" s="187"/>
      <c r="Z996" s="187"/>
    </row>
    <row r="997" ht="15.75" customHeight="1">
      <c r="A997" s="187"/>
      <c r="B997" s="187"/>
      <c r="C997" s="187"/>
      <c r="D997" s="187"/>
      <c r="E997" s="187"/>
      <c r="F997" s="187"/>
      <c r="G997" s="187"/>
      <c r="H997" s="187"/>
      <c r="I997" s="187"/>
      <c r="J997" s="187"/>
      <c r="K997" s="187"/>
      <c r="L997" s="187"/>
      <c r="M997" s="187"/>
      <c r="N997" s="187"/>
      <c r="O997" s="187"/>
      <c r="P997" s="187"/>
      <c r="Q997" s="187"/>
      <c r="R997" s="187"/>
      <c r="S997" s="187"/>
      <c r="T997" s="187"/>
      <c r="U997" s="187"/>
      <c r="V997" s="187"/>
      <c r="W997" s="187"/>
      <c r="X997" s="187"/>
      <c r="Y997" s="187"/>
      <c r="Z997" s="187"/>
    </row>
    <row r="998" ht="15.75" customHeight="1">
      <c r="A998" s="187"/>
      <c r="B998" s="187"/>
      <c r="C998" s="187"/>
      <c r="D998" s="187"/>
      <c r="E998" s="187"/>
      <c r="F998" s="187"/>
      <c r="G998" s="187"/>
      <c r="H998" s="187"/>
      <c r="I998" s="187"/>
      <c r="J998" s="187"/>
      <c r="K998" s="187"/>
      <c r="L998" s="187"/>
      <c r="M998" s="187"/>
      <c r="N998" s="187"/>
      <c r="O998" s="187"/>
      <c r="P998" s="187"/>
      <c r="Q998" s="187"/>
      <c r="R998" s="187"/>
      <c r="S998" s="187"/>
      <c r="T998" s="187"/>
      <c r="U998" s="187"/>
      <c r="V998" s="187"/>
      <c r="W998" s="187"/>
      <c r="X998" s="187"/>
      <c r="Y998" s="187"/>
      <c r="Z998" s="187"/>
    </row>
    <row r="999" ht="15.75" customHeight="1">
      <c r="A999" s="187"/>
      <c r="B999" s="187"/>
      <c r="C999" s="187"/>
      <c r="D999" s="187"/>
      <c r="E999" s="187"/>
      <c r="F999" s="187"/>
      <c r="G999" s="187"/>
      <c r="H999" s="187"/>
      <c r="I999" s="187"/>
      <c r="J999" s="187"/>
      <c r="K999" s="187"/>
      <c r="L999" s="187"/>
      <c r="M999" s="187"/>
      <c r="N999" s="187"/>
      <c r="O999" s="187"/>
      <c r="P999" s="187"/>
      <c r="Q999" s="187"/>
      <c r="R999" s="187"/>
      <c r="S999" s="187"/>
      <c r="T999" s="187"/>
      <c r="U999" s="187"/>
      <c r="V999" s="187"/>
      <c r="W999" s="187"/>
      <c r="X999" s="187"/>
      <c r="Y999" s="187"/>
      <c r="Z999" s="187"/>
    </row>
    <row r="1000" ht="15.75" customHeight="1">
      <c r="A1000" s="187"/>
      <c r="B1000" s="187"/>
      <c r="C1000" s="187"/>
      <c r="D1000" s="187"/>
      <c r="E1000" s="187"/>
      <c r="F1000" s="187"/>
      <c r="G1000" s="187"/>
      <c r="H1000" s="187"/>
      <c r="I1000" s="187"/>
      <c r="J1000" s="187"/>
      <c r="K1000" s="187"/>
      <c r="L1000" s="187"/>
      <c r="M1000" s="187"/>
      <c r="N1000" s="187"/>
      <c r="O1000" s="187"/>
      <c r="P1000" s="187"/>
      <c r="Q1000" s="187"/>
      <c r="R1000" s="187"/>
      <c r="S1000" s="187"/>
      <c r="T1000" s="187"/>
      <c r="U1000" s="187"/>
      <c r="V1000" s="187"/>
      <c r="W1000" s="187"/>
      <c r="X1000" s="187"/>
      <c r="Y1000" s="187"/>
      <c r="Z1000" s="187"/>
    </row>
  </sheetData>
  <mergeCells count="6">
    <mergeCell ref="B2:C4"/>
    <mergeCell ref="Q2:U3"/>
    <mergeCell ref="Q4:U5"/>
    <mergeCell ref="Q7:U7"/>
    <mergeCell ref="F9:O9"/>
    <mergeCell ref="Q10:U17"/>
  </mergeCells>
  <dataValidations>
    <dataValidation type="list" allowBlank="1" sqref="C10:C59">
      <formula1>seznam_clenu_OVT!$A$2:$A$100</formula1>
    </dataValidation>
    <dataValidation type="list" allowBlank="1" showErrorMessage="1" sqref="F5:O5">
      <formula1>pomocna_tabulka!$A$2:$A$3</formula1>
    </dataValidation>
    <dataValidation type="list" allowBlank="1" sqref="F10:O59">
      <formula1>pomocna_tabulka!$B$2:$B$3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21.0"/>
    <col customWidth="1" min="3" max="3" width="16.86"/>
    <col customWidth="1" hidden="1" min="4" max="4" width="16.71"/>
    <col hidden="1" min="5" max="5" width="14.43"/>
    <col customWidth="1" min="6" max="6" width="15.29"/>
    <col customWidth="1" min="9" max="25" width="11.86"/>
  </cols>
  <sheetData>
    <row r="1">
      <c r="A1" s="1"/>
      <c r="B1" s="1"/>
      <c r="C1" s="2" t="s">
        <v>0</v>
      </c>
      <c r="D1" s="3"/>
      <c r="E1" s="3"/>
      <c r="H1" s="270"/>
      <c r="I1" s="271"/>
      <c r="J1" s="272" t="s">
        <v>117</v>
      </c>
      <c r="K1" s="272" t="s">
        <v>117</v>
      </c>
      <c r="L1" s="273" t="s">
        <v>118</v>
      </c>
      <c r="M1" s="273"/>
      <c r="N1" s="273" t="s">
        <v>119</v>
      </c>
      <c r="O1" s="272" t="s">
        <v>120</v>
      </c>
      <c r="P1" s="272" t="s">
        <v>120</v>
      </c>
      <c r="Q1" s="272" t="s">
        <v>121</v>
      </c>
      <c r="R1" s="272" t="s">
        <v>121</v>
      </c>
      <c r="S1" s="272" t="s">
        <v>118</v>
      </c>
      <c r="T1" s="273"/>
      <c r="U1" s="273" t="s">
        <v>122</v>
      </c>
      <c r="V1" s="273" t="s">
        <v>122</v>
      </c>
      <c r="W1" s="272" t="s">
        <v>123</v>
      </c>
      <c r="X1" s="273"/>
      <c r="Y1" s="274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 t="s">
        <v>124</v>
      </c>
      <c r="B2" s="9"/>
      <c r="C2" s="10" t="s">
        <v>2</v>
      </c>
      <c r="D2" s="11"/>
      <c r="E2" s="12"/>
      <c r="H2" s="13" t="s">
        <v>3</v>
      </c>
      <c r="I2" s="14" t="s">
        <v>4</v>
      </c>
      <c r="J2" s="15" t="s">
        <v>125</v>
      </c>
      <c r="K2" s="15" t="s">
        <v>126</v>
      </c>
      <c r="L2" s="15" t="s">
        <v>127</v>
      </c>
      <c r="M2" s="16" t="s">
        <v>128</v>
      </c>
      <c r="N2" s="16" t="s">
        <v>129</v>
      </c>
      <c r="O2" s="15" t="s">
        <v>130</v>
      </c>
      <c r="P2" s="15" t="s">
        <v>131</v>
      </c>
      <c r="Q2" s="15" t="s">
        <v>132</v>
      </c>
      <c r="R2" s="15" t="s">
        <v>133</v>
      </c>
      <c r="S2" s="15" t="s">
        <v>134</v>
      </c>
      <c r="T2" s="15" t="s">
        <v>135</v>
      </c>
      <c r="U2" s="15" t="s">
        <v>136</v>
      </c>
      <c r="V2" s="15" t="s">
        <v>137</v>
      </c>
      <c r="W2" s="15" t="s">
        <v>138</v>
      </c>
      <c r="X2" s="15" t="s">
        <v>139</v>
      </c>
      <c r="Y2" s="15" t="s">
        <v>140</v>
      </c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7"/>
      <c r="B3" s="18"/>
      <c r="C3" s="19"/>
      <c r="D3" s="11"/>
      <c r="E3" s="12"/>
      <c r="H3" s="13"/>
      <c r="I3" s="14"/>
      <c r="J3" s="15"/>
      <c r="K3" s="15"/>
      <c r="L3" s="20"/>
      <c r="M3" s="15"/>
      <c r="N3" s="15"/>
      <c r="O3" s="15"/>
      <c r="P3" s="15"/>
      <c r="Q3" s="15"/>
      <c r="R3" s="15"/>
      <c r="S3" s="15"/>
      <c r="T3" s="15"/>
      <c r="U3" s="15"/>
      <c r="V3" s="275" t="s">
        <v>141</v>
      </c>
      <c r="W3" s="15"/>
      <c r="X3" s="15"/>
      <c r="Y3" s="276" t="s">
        <v>142</v>
      </c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7"/>
      <c r="B4" s="18"/>
      <c r="C4" s="19"/>
      <c r="D4" s="22"/>
      <c r="E4" s="23"/>
      <c r="H4" s="24" t="s">
        <v>5</v>
      </c>
      <c r="I4" s="25"/>
      <c r="J4" s="26">
        <v>800.0</v>
      </c>
      <c r="K4" s="26">
        <v>800.0</v>
      </c>
      <c r="L4" s="27">
        <v>50.0</v>
      </c>
      <c r="M4" s="26">
        <v>250.0</v>
      </c>
      <c r="N4" s="26">
        <v>200.0</v>
      </c>
      <c r="O4" s="26">
        <v>500.0</v>
      </c>
      <c r="P4" s="26">
        <v>380.0</v>
      </c>
      <c r="Q4" s="26">
        <v>400.0</v>
      </c>
      <c r="R4" s="26">
        <v>400.0</v>
      </c>
      <c r="S4" s="26">
        <v>150.0</v>
      </c>
      <c r="T4" s="26">
        <v>500.0</v>
      </c>
      <c r="U4" s="26">
        <v>500.0</v>
      </c>
      <c r="V4" s="26">
        <f>500+190</f>
        <v>690</v>
      </c>
      <c r="W4" s="26">
        <v>250.0</v>
      </c>
      <c r="X4" s="26">
        <v>250.0</v>
      </c>
      <c r="Y4" s="26">
        <v>200.0</v>
      </c>
    </row>
    <row r="5">
      <c r="A5" s="28"/>
      <c r="B5" s="29"/>
      <c r="C5" s="10" t="s">
        <v>6</v>
      </c>
      <c r="D5" s="22"/>
      <c r="E5" s="23"/>
      <c r="H5" s="24" t="s">
        <v>7</v>
      </c>
      <c r="I5" s="30">
        <v>2000.0</v>
      </c>
      <c r="J5" s="31"/>
      <c r="K5" s="27"/>
      <c r="L5" s="27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>
      <c r="A6" s="32" t="s">
        <v>8</v>
      </c>
      <c r="B6" s="33">
        <f>SUMIFS(I8:Y8,I8:Y8,"&gt;0")</f>
        <v>7570</v>
      </c>
      <c r="C6" s="34">
        <v>1.248728083E9</v>
      </c>
      <c r="D6" s="23"/>
      <c r="E6" s="23"/>
      <c r="H6" s="35" t="s">
        <v>9</v>
      </c>
      <c r="I6" s="36" t="s">
        <v>10</v>
      </c>
      <c r="J6" s="37" t="s">
        <v>10</v>
      </c>
      <c r="K6" s="37" t="s">
        <v>10</v>
      </c>
      <c r="L6" s="37" t="s">
        <v>11</v>
      </c>
      <c r="M6" s="37" t="s">
        <v>10</v>
      </c>
      <c r="N6" s="37" t="s">
        <v>10</v>
      </c>
      <c r="O6" s="36" t="s">
        <v>10</v>
      </c>
      <c r="P6" s="37" t="s">
        <v>10</v>
      </c>
      <c r="Q6" s="37" t="s">
        <v>10</v>
      </c>
      <c r="R6" s="37" t="s">
        <v>10</v>
      </c>
      <c r="S6" s="37" t="s">
        <v>10</v>
      </c>
      <c r="T6" s="37" t="s">
        <v>10</v>
      </c>
      <c r="U6" s="37" t="s">
        <v>10</v>
      </c>
      <c r="V6" s="37" t="s">
        <v>10</v>
      </c>
      <c r="W6" s="37" t="s">
        <v>10</v>
      </c>
      <c r="X6" s="37" t="s">
        <v>10</v>
      </c>
      <c r="Y6" s="37" t="s">
        <v>10</v>
      </c>
    </row>
    <row r="7">
      <c r="A7" s="38" t="s">
        <v>12</v>
      </c>
      <c r="B7" s="39">
        <f>SUMIFS(I8:Y8,I8:Y8,"&lt;0")</f>
        <v>-2000</v>
      </c>
      <c r="C7" s="34" t="s">
        <v>13</v>
      </c>
      <c r="D7" s="23"/>
      <c r="E7" s="23"/>
      <c r="H7" s="40" t="s">
        <v>14</v>
      </c>
      <c r="I7" s="41">
        <f t="shared" ref="I7:Y7" si="1">COUNTIFS(I11:I36,"&lt;&gt;",I11:I36,"&lt;&gt;-")</f>
        <v>11</v>
      </c>
      <c r="J7" s="41">
        <f t="shared" si="1"/>
        <v>26</v>
      </c>
      <c r="K7" s="41">
        <f t="shared" si="1"/>
        <v>11</v>
      </c>
      <c r="L7" s="41">
        <f t="shared" si="1"/>
        <v>26</v>
      </c>
      <c r="M7" s="41">
        <f t="shared" si="1"/>
        <v>4</v>
      </c>
      <c r="N7" s="41">
        <f t="shared" si="1"/>
        <v>5</v>
      </c>
      <c r="O7" s="41">
        <f t="shared" si="1"/>
        <v>4</v>
      </c>
      <c r="P7" s="41">
        <f t="shared" si="1"/>
        <v>13</v>
      </c>
      <c r="Q7" s="41">
        <f t="shared" si="1"/>
        <v>10</v>
      </c>
      <c r="R7" s="41">
        <f t="shared" si="1"/>
        <v>3</v>
      </c>
      <c r="S7" s="41">
        <f t="shared" si="1"/>
        <v>12</v>
      </c>
      <c r="T7" s="41">
        <f t="shared" si="1"/>
        <v>3</v>
      </c>
      <c r="U7" s="41">
        <f t="shared" si="1"/>
        <v>4</v>
      </c>
      <c r="V7" s="41">
        <f t="shared" si="1"/>
        <v>13</v>
      </c>
      <c r="W7" s="41">
        <f t="shared" si="1"/>
        <v>2</v>
      </c>
      <c r="X7" s="41">
        <f t="shared" si="1"/>
        <v>5</v>
      </c>
      <c r="Y7" s="41">
        <f t="shared" si="1"/>
        <v>20</v>
      </c>
    </row>
    <row r="8">
      <c r="A8" s="42" t="s">
        <v>15</v>
      </c>
      <c r="B8" s="39">
        <f>SUM(F11:F36)</f>
        <v>5581</v>
      </c>
      <c r="C8" s="34">
        <v>3030.0</v>
      </c>
      <c r="D8" s="23"/>
      <c r="E8" s="23"/>
      <c r="H8" s="40" t="s">
        <v>16</v>
      </c>
      <c r="I8" s="43">
        <f t="shared" ref="I8:X8" si="2">IF(I6="A - Rozdělit",I4-I5,IF(I6="B - Na hlavu",(I4-I5)*I7,"0"))</f>
        <v>-2000</v>
      </c>
      <c r="J8" s="43">
        <f t="shared" si="2"/>
        <v>800</v>
      </c>
      <c r="K8" s="43">
        <f t="shared" si="2"/>
        <v>800</v>
      </c>
      <c r="L8" s="43">
        <f t="shared" si="2"/>
        <v>1300</v>
      </c>
      <c r="M8" s="43">
        <f t="shared" si="2"/>
        <v>250</v>
      </c>
      <c r="N8" s="43">
        <f t="shared" si="2"/>
        <v>200</v>
      </c>
      <c r="O8" s="43">
        <f t="shared" si="2"/>
        <v>500</v>
      </c>
      <c r="P8" s="43">
        <f t="shared" si="2"/>
        <v>380</v>
      </c>
      <c r="Q8" s="43">
        <f t="shared" si="2"/>
        <v>400</v>
      </c>
      <c r="R8" s="43">
        <f t="shared" si="2"/>
        <v>400</v>
      </c>
      <c r="S8" s="43">
        <f t="shared" si="2"/>
        <v>150</v>
      </c>
      <c r="T8" s="43">
        <f t="shared" si="2"/>
        <v>500</v>
      </c>
      <c r="U8" s="43">
        <f t="shared" si="2"/>
        <v>500</v>
      </c>
      <c r="V8" s="43">
        <f t="shared" si="2"/>
        <v>690</v>
      </c>
      <c r="W8" s="43">
        <f t="shared" si="2"/>
        <v>250</v>
      </c>
      <c r="X8" s="43">
        <f t="shared" si="2"/>
        <v>250</v>
      </c>
      <c r="Y8" s="44">
        <v>200.0</v>
      </c>
    </row>
    <row r="9">
      <c r="A9" s="45" t="s">
        <v>17</v>
      </c>
      <c r="B9" s="46">
        <f>B8-B6-B7</f>
        <v>11</v>
      </c>
      <c r="C9" s="47"/>
      <c r="D9" s="48"/>
      <c r="E9" s="48"/>
      <c r="H9" s="49" t="s">
        <v>18</v>
      </c>
      <c r="I9" s="50">
        <f t="shared" ref="I9:Y9" si="3">IF(I6="A - Rozdělit",(I4-I5)/I7,IF(I6="B - Na hlavu",I4-I5,"0"))</f>
        <v>-181.8181818</v>
      </c>
      <c r="J9" s="50">
        <f t="shared" si="3"/>
        <v>30.76923077</v>
      </c>
      <c r="K9" s="50">
        <f t="shared" si="3"/>
        <v>72.72727273</v>
      </c>
      <c r="L9" s="50">
        <f t="shared" si="3"/>
        <v>50</v>
      </c>
      <c r="M9" s="50">
        <f t="shared" si="3"/>
        <v>62.5</v>
      </c>
      <c r="N9" s="50">
        <f t="shared" si="3"/>
        <v>40</v>
      </c>
      <c r="O9" s="50">
        <f t="shared" si="3"/>
        <v>125</v>
      </c>
      <c r="P9" s="50">
        <f t="shared" si="3"/>
        <v>29.23076923</v>
      </c>
      <c r="Q9" s="50">
        <f t="shared" si="3"/>
        <v>40</v>
      </c>
      <c r="R9" s="50">
        <f t="shared" si="3"/>
        <v>133.3333333</v>
      </c>
      <c r="S9" s="50">
        <f t="shared" si="3"/>
        <v>12.5</v>
      </c>
      <c r="T9" s="50">
        <f t="shared" si="3"/>
        <v>166.6666667</v>
      </c>
      <c r="U9" s="50">
        <f t="shared" si="3"/>
        <v>125</v>
      </c>
      <c r="V9" s="50">
        <f t="shared" si="3"/>
        <v>53.07692308</v>
      </c>
      <c r="W9" s="50">
        <f t="shared" si="3"/>
        <v>125</v>
      </c>
      <c r="X9" s="50">
        <f t="shared" si="3"/>
        <v>50</v>
      </c>
      <c r="Y9" s="50">
        <f t="shared" si="3"/>
        <v>10</v>
      </c>
    </row>
    <row r="10">
      <c r="A10" s="51" t="s">
        <v>19</v>
      </c>
      <c r="B10" s="52" t="s">
        <v>20</v>
      </c>
      <c r="C10" s="53" t="s">
        <v>21</v>
      </c>
      <c r="D10" s="54" t="s">
        <v>22</v>
      </c>
      <c r="E10" s="55" t="s">
        <v>143</v>
      </c>
      <c r="F10" s="56" t="s">
        <v>144</v>
      </c>
      <c r="G10" s="57" t="s">
        <v>25</v>
      </c>
      <c r="H10" s="58" t="s">
        <v>26</v>
      </c>
      <c r="I10" s="59" t="s">
        <v>27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1"/>
    </row>
    <row r="11">
      <c r="A11" s="62">
        <v>1.0</v>
      </c>
      <c r="B11" s="63" t="s">
        <v>96</v>
      </c>
      <c r="C11" s="64" t="str">
        <f t="shared" ref="C11:C36" si="4">"https://api.paylibo.com/paylibo/generator/czech/image?accountNumber="&amp;$C$6&amp;"&amp;bankCode="&amp;$C$8&amp;"&amp;amount="&amp;H11&amp;"&amp;currency=CZK&amp;message=Kamenice-"&amp;ENCODEURL(B11)</f>
        <v>https://api.paylibo.com/paylibo/generator/czech/image?accountNumber=1248728083&amp;bankCode=3030&amp;amount=-678&amp;currency=CZK&amp;message=Kamenice-Kop%C5%99iva%20J%C3%A1chym</v>
      </c>
      <c r="D11" s="65" t="str">
        <f t="shared" ref="D11:D36" si="5">IMAGE(C11,4,150,150)</f>
        <v/>
      </c>
      <c r="E11" s="65">
        <f t="shared" ref="E11:E36" si="6">SUMIFS($I$9:$Y$9,I11:Y11,"&lt;&gt;",I11:Y11,"&lt;&gt;-")</f>
        <v>201.486014</v>
      </c>
      <c r="F11" s="66">
        <f t="shared" ref="F11:F36" si="7">ROUNDUP(E11,0)</f>
        <v>202</v>
      </c>
      <c r="G11" s="66">
        <f>500+380</f>
        <v>880</v>
      </c>
      <c r="H11" s="277">
        <f t="shared" ref="H11:H36" si="8">F11-G11</f>
        <v>-678</v>
      </c>
      <c r="I11" s="68" t="s">
        <v>69</v>
      </c>
      <c r="J11" s="69" t="s">
        <v>69</v>
      </c>
      <c r="K11" s="69" t="s">
        <v>69</v>
      </c>
      <c r="L11" s="69" t="s">
        <v>69</v>
      </c>
      <c r="M11" s="69"/>
      <c r="N11" s="69"/>
      <c r="O11" s="69" t="s">
        <v>69</v>
      </c>
      <c r="P11" s="70" t="s">
        <v>69</v>
      </c>
      <c r="Q11" s="69" t="s">
        <v>74</v>
      </c>
      <c r="R11" s="70"/>
      <c r="S11" s="70" t="s">
        <v>69</v>
      </c>
      <c r="T11" s="70"/>
      <c r="U11" s="70"/>
      <c r="V11" s="71" t="s">
        <v>69</v>
      </c>
      <c r="W11" s="70"/>
      <c r="X11" s="70"/>
      <c r="Y11" s="72" t="s">
        <v>69</v>
      </c>
      <c r="Z11" s="73"/>
      <c r="AA11" s="73"/>
      <c r="AB11" s="73"/>
      <c r="AC11" s="73"/>
      <c r="AD11" s="73"/>
      <c r="AE11" s="73"/>
      <c r="AF11" s="73"/>
      <c r="AG11" s="73"/>
      <c r="AH11" s="73"/>
      <c r="AI11" s="73"/>
    </row>
    <row r="12">
      <c r="A12" s="74">
        <v>2.0</v>
      </c>
      <c r="B12" s="75" t="s">
        <v>30</v>
      </c>
      <c r="C12" s="64" t="str">
        <f t="shared" si="4"/>
        <v>https://api.paylibo.com/paylibo/generator/czech/image?accountNumber=1248728083&amp;bankCode=3030&amp;amount=289&amp;currency=CZK&amp;message=Kamenice-Mat%C4%9Bj</v>
      </c>
      <c r="D12" s="76" t="str">
        <f t="shared" si="5"/>
        <v/>
      </c>
      <c r="E12" s="77">
        <f t="shared" si="6"/>
        <v>288.0769231</v>
      </c>
      <c r="F12" s="78">
        <f t="shared" si="7"/>
        <v>289</v>
      </c>
      <c r="G12" s="78"/>
      <c r="H12" s="278">
        <f t="shared" si="8"/>
        <v>289</v>
      </c>
      <c r="I12" s="80" t="s">
        <v>74</v>
      </c>
      <c r="J12" s="81" t="s">
        <v>69</v>
      </c>
      <c r="K12" s="81" t="s">
        <v>74</v>
      </c>
      <c r="L12" s="81" t="s">
        <v>69</v>
      </c>
      <c r="M12" s="81"/>
      <c r="N12" s="81"/>
      <c r="O12" s="81" t="s">
        <v>69</v>
      </c>
      <c r="P12" s="81" t="s">
        <v>69</v>
      </c>
      <c r="Q12" s="81" t="s">
        <v>74</v>
      </c>
      <c r="R12" s="82"/>
      <c r="S12" s="82" t="s">
        <v>74</v>
      </c>
      <c r="T12" s="82"/>
      <c r="U12" s="82"/>
      <c r="V12" s="81" t="s">
        <v>69</v>
      </c>
      <c r="W12" s="82"/>
      <c r="X12" s="82"/>
      <c r="Y12" s="83" t="s">
        <v>74</v>
      </c>
      <c r="Z12" s="73"/>
      <c r="AA12" s="73"/>
      <c r="AB12" s="73"/>
      <c r="AC12" s="73"/>
      <c r="AD12" s="73"/>
      <c r="AE12" s="73"/>
      <c r="AF12" s="73"/>
      <c r="AG12" s="73"/>
      <c r="AH12" s="73"/>
      <c r="AI12" s="73"/>
    </row>
    <row r="13">
      <c r="A13" s="84">
        <v>3.0</v>
      </c>
      <c r="B13" s="85" t="s">
        <v>68</v>
      </c>
      <c r="C13" s="64" t="str">
        <f t="shared" si="4"/>
        <v>https://api.paylibo.com/paylibo/generator/czech/image?accountNumber=1248728083&amp;bankCode=3030&amp;amount=-396&amp;currency=CZK&amp;message=Kamenice-Mat%C4%9Bjka%20Tom%C3%A1%C5%A1</v>
      </c>
      <c r="D13" s="76" t="str">
        <f t="shared" si="5"/>
        <v/>
      </c>
      <c r="E13" s="76">
        <f t="shared" si="6"/>
        <v>201.486014</v>
      </c>
      <c r="F13" s="86">
        <f t="shared" si="7"/>
        <v>202</v>
      </c>
      <c r="G13" s="86">
        <f>500+690-216-216-160</f>
        <v>598</v>
      </c>
      <c r="H13" s="278">
        <f t="shared" si="8"/>
        <v>-396</v>
      </c>
      <c r="I13" s="87" t="s">
        <v>69</v>
      </c>
      <c r="J13" s="88" t="s">
        <v>69</v>
      </c>
      <c r="K13" s="88" t="s">
        <v>69</v>
      </c>
      <c r="L13" s="88" t="s">
        <v>69</v>
      </c>
      <c r="M13" s="88"/>
      <c r="N13" s="88"/>
      <c r="O13" s="88" t="s">
        <v>74</v>
      </c>
      <c r="P13" s="88" t="s">
        <v>69</v>
      </c>
      <c r="Q13" s="88" t="s">
        <v>74</v>
      </c>
      <c r="R13" s="89"/>
      <c r="S13" s="89" t="s">
        <v>69</v>
      </c>
      <c r="T13" s="89"/>
      <c r="U13" s="89" t="s">
        <v>69</v>
      </c>
      <c r="V13" s="88" t="s">
        <v>69</v>
      </c>
      <c r="W13" s="89"/>
      <c r="X13" s="89"/>
      <c r="Y13" s="90" t="s">
        <v>69</v>
      </c>
      <c r="Z13" s="73"/>
      <c r="AA13" s="73"/>
      <c r="AB13" s="73"/>
      <c r="AC13" s="73"/>
      <c r="AD13" s="73"/>
      <c r="AE13" s="73"/>
      <c r="AF13" s="73"/>
      <c r="AG13" s="73"/>
      <c r="AH13" s="73"/>
      <c r="AI13" s="73"/>
    </row>
    <row r="14">
      <c r="A14" s="74">
        <v>4.0</v>
      </c>
      <c r="B14" s="75" t="s">
        <v>71</v>
      </c>
      <c r="C14" s="64" t="str">
        <f t="shared" si="4"/>
        <v>https://api.paylibo.com/paylibo/generator/czech/image?accountNumber=1248728083&amp;bankCode=3030&amp;amount=0&amp;currency=CZK&amp;message=Kamenice-Mat%C4%9Bjkov%C3%A1%20Kl%C3%A1ra</v>
      </c>
      <c r="D14" s="76" t="str">
        <f t="shared" si="5"/>
        <v/>
      </c>
      <c r="E14" s="77">
        <f t="shared" si="6"/>
        <v>159.1783217</v>
      </c>
      <c r="F14" s="78">
        <f t="shared" si="7"/>
        <v>160</v>
      </c>
      <c r="G14" s="91">
        <v>160.0</v>
      </c>
      <c r="H14" s="278">
        <f t="shared" si="8"/>
        <v>0</v>
      </c>
      <c r="I14" s="80" t="s">
        <v>69</v>
      </c>
      <c r="J14" s="81" t="s">
        <v>69</v>
      </c>
      <c r="K14" s="81" t="s">
        <v>69</v>
      </c>
      <c r="L14" s="81" t="s">
        <v>69</v>
      </c>
      <c r="M14" s="81" t="s">
        <v>69</v>
      </c>
      <c r="N14" s="81"/>
      <c r="O14" s="81" t="s">
        <v>74</v>
      </c>
      <c r="P14" s="81" t="s">
        <v>74</v>
      </c>
      <c r="Q14" s="81" t="s">
        <v>74</v>
      </c>
      <c r="R14" s="82"/>
      <c r="S14" s="82" t="s">
        <v>74</v>
      </c>
      <c r="T14" s="82"/>
      <c r="U14" s="82" t="s">
        <v>69</v>
      </c>
      <c r="V14" s="81" t="s">
        <v>74</v>
      </c>
      <c r="W14" s="82"/>
      <c r="X14" s="82"/>
      <c r="Y14" s="83" t="s">
        <v>74</v>
      </c>
      <c r="Z14" s="73"/>
      <c r="AA14" s="73"/>
      <c r="AB14" s="73"/>
      <c r="AC14" s="73"/>
      <c r="AD14" s="73"/>
      <c r="AE14" s="73"/>
      <c r="AF14" s="73"/>
      <c r="AG14" s="73"/>
      <c r="AH14" s="73"/>
      <c r="AI14" s="73"/>
    </row>
    <row r="15">
      <c r="A15" s="84">
        <v>5.0</v>
      </c>
      <c r="B15" s="85" t="s">
        <v>145</v>
      </c>
      <c r="C15" s="64" t="str">
        <f t="shared" si="4"/>
        <v>https://api.paylibo.com/paylibo/generator/czech/image?accountNumber=1248728083&amp;bankCode=3030&amp;amount=0&amp;currency=CZK&amp;message=Kamenice-Oskar%20Mat%C4%9Bjka</v>
      </c>
      <c r="D15" s="76" t="str">
        <f t="shared" si="5"/>
        <v/>
      </c>
      <c r="E15" s="76">
        <f t="shared" si="6"/>
        <v>215.7692308</v>
      </c>
      <c r="F15" s="86">
        <f t="shared" si="7"/>
        <v>216</v>
      </c>
      <c r="G15" s="92">
        <v>216.0</v>
      </c>
      <c r="H15" s="278">
        <f t="shared" si="8"/>
        <v>0</v>
      </c>
      <c r="I15" s="87" t="s">
        <v>74</v>
      </c>
      <c r="J15" s="88" t="s">
        <v>69</v>
      </c>
      <c r="K15" s="88" t="s">
        <v>74</v>
      </c>
      <c r="L15" s="88" t="s">
        <v>69</v>
      </c>
      <c r="M15" s="88"/>
      <c r="N15" s="88"/>
      <c r="O15" s="88" t="s">
        <v>74</v>
      </c>
      <c r="P15" s="88" t="s">
        <v>74</v>
      </c>
      <c r="Q15" s="88" t="s">
        <v>74</v>
      </c>
      <c r="R15" s="89"/>
      <c r="S15" s="89" t="s">
        <v>74</v>
      </c>
      <c r="T15" s="89"/>
      <c r="U15" s="89" t="s">
        <v>69</v>
      </c>
      <c r="V15" s="88" t="s">
        <v>74</v>
      </c>
      <c r="W15" s="89"/>
      <c r="X15" s="89"/>
      <c r="Y15" s="90" t="s">
        <v>69</v>
      </c>
      <c r="Z15" s="73"/>
      <c r="AA15" s="73"/>
      <c r="AB15" s="73"/>
      <c r="AC15" s="73"/>
      <c r="AD15" s="73"/>
      <c r="AE15" s="73"/>
      <c r="AF15" s="73"/>
      <c r="AG15" s="73"/>
      <c r="AH15" s="73"/>
      <c r="AI15" s="73"/>
    </row>
    <row r="16">
      <c r="A16" s="74">
        <v>6.0</v>
      </c>
      <c r="B16" s="75" t="s">
        <v>146</v>
      </c>
      <c r="C16" s="64" t="str">
        <f t="shared" si="4"/>
        <v>https://api.paylibo.com/paylibo/generator/czech/image?accountNumber=1248728083&amp;bankCode=3030&amp;amount=0&amp;currency=CZK&amp;message=Kamenice-Marie%20Mat%C4%9Bjkov%C3%A1</v>
      </c>
      <c r="D16" s="76" t="str">
        <f t="shared" si="5"/>
        <v/>
      </c>
      <c r="E16" s="77">
        <f t="shared" si="6"/>
        <v>215.7692308</v>
      </c>
      <c r="F16" s="78">
        <f t="shared" si="7"/>
        <v>216</v>
      </c>
      <c r="G16" s="91">
        <v>216.0</v>
      </c>
      <c r="H16" s="278">
        <f t="shared" si="8"/>
        <v>0</v>
      </c>
      <c r="I16" s="80" t="s">
        <v>74</v>
      </c>
      <c r="J16" s="81" t="s">
        <v>69</v>
      </c>
      <c r="K16" s="81" t="s">
        <v>74</v>
      </c>
      <c r="L16" s="81" t="s">
        <v>69</v>
      </c>
      <c r="M16" s="81"/>
      <c r="N16" s="81"/>
      <c r="O16" s="81" t="s">
        <v>74</v>
      </c>
      <c r="P16" s="81" t="s">
        <v>74</v>
      </c>
      <c r="Q16" s="81" t="s">
        <v>74</v>
      </c>
      <c r="R16" s="82"/>
      <c r="S16" s="82" t="s">
        <v>74</v>
      </c>
      <c r="T16" s="82"/>
      <c r="U16" s="82" t="s">
        <v>69</v>
      </c>
      <c r="V16" s="81" t="s">
        <v>74</v>
      </c>
      <c r="W16" s="82"/>
      <c r="X16" s="82"/>
      <c r="Y16" s="83" t="s">
        <v>69</v>
      </c>
      <c r="Z16" s="73"/>
      <c r="AA16" s="73"/>
      <c r="AB16" s="73"/>
      <c r="AC16" s="73"/>
      <c r="AD16" s="73"/>
      <c r="AE16" s="73"/>
      <c r="AF16" s="73"/>
      <c r="AG16" s="73"/>
      <c r="AH16" s="73"/>
      <c r="AI16" s="73"/>
    </row>
    <row r="17">
      <c r="A17" s="84">
        <v>7.0</v>
      </c>
      <c r="B17" s="85" t="s">
        <v>35</v>
      </c>
      <c r="C17" s="64" t="str">
        <f t="shared" si="4"/>
        <v>https://api.paylibo.com/paylibo/generator/czech/image?accountNumber=1248728083&amp;bankCode=3030&amp;amount=85&amp;currency=CZK&amp;message=Kamenice-Luk%C3%A1%C5%A1%20Kop%C5%99iva</v>
      </c>
      <c r="D17" s="76" t="str">
        <f t="shared" si="5"/>
        <v/>
      </c>
      <c r="E17" s="76">
        <f t="shared" si="6"/>
        <v>84.17832168</v>
      </c>
      <c r="F17" s="86">
        <f t="shared" si="7"/>
        <v>85</v>
      </c>
      <c r="G17" s="86"/>
      <c r="H17" s="278">
        <f t="shared" si="8"/>
        <v>85</v>
      </c>
      <c r="I17" s="87" t="s">
        <v>69</v>
      </c>
      <c r="J17" s="88" t="s">
        <v>69</v>
      </c>
      <c r="K17" s="88" t="s">
        <v>69</v>
      </c>
      <c r="L17" s="88" t="s">
        <v>69</v>
      </c>
      <c r="M17" s="88" t="s">
        <v>69</v>
      </c>
      <c r="N17" s="88"/>
      <c r="O17" s="88" t="s">
        <v>74</v>
      </c>
      <c r="P17" s="88" t="s">
        <v>74</v>
      </c>
      <c r="Q17" s="88" t="s">
        <v>74</v>
      </c>
      <c r="R17" s="89"/>
      <c r="S17" s="89" t="s">
        <v>74</v>
      </c>
      <c r="T17" s="89"/>
      <c r="U17" s="89"/>
      <c r="V17" s="88" t="s">
        <v>74</v>
      </c>
      <c r="W17" s="89"/>
      <c r="X17" s="89" t="s">
        <v>69</v>
      </c>
      <c r="Y17" s="90" t="s">
        <v>74</v>
      </c>
      <c r="Z17" s="73"/>
      <c r="AA17" s="73"/>
      <c r="AB17" s="73"/>
      <c r="AC17" s="73"/>
      <c r="AD17" s="73"/>
      <c r="AE17" s="73"/>
      <c r="AF17" s="73"/>
      <c r="AG17" s="73"/>
      <c r="AH17" s="73"/>
      <c r="AI17" s="73"/>
    </row>
    <row r="18">
      <c r="A18" s="74">
        <v>8.0</v>
      </c>
      <c r="B18" s="75" t="s">
        <v>81</v>
      </c>
      <c r="C18" s="64" t="str">
        <f t="shared" si="4"/>
        <v>https://api.paylibo.com/paylibo/generator/czech/image?accountNumber=1248728083&amp;bankCode=3030&amp;amount=-277&amp;currency=CZK&amp;message=Kamenice-Mat%C4%9Bjkov%C3%A1%20Eva</v>
      </c>
      <c r="D18" s="76" t="str">
        <f t="shared" si="5"/>
        <v/>
      </c>
      <c r="E18" s="77">
        <f t="shared" si="6"/>
        <v>156.6783217</v>
      </c>
      <c r="F18" s="78">
        <f t="shared" si="7"/>
        <v>157</v>
      </c>
      <c r="G18" s="78">
        <f>500-266+200</f>
        <v>434</v>
      </c>
      <c r="H18" s="278">
        <f t="shared" si="8"/>
        <v>-277</v>
      </c>
      <c r="I18" s="80" t="s">
        <v>69</v>
      </c>
      <c r="J18" s="81" t="s">
        <v>69</v>
      </c>
      <c r="K18" s="81" t="s">
        <v>69</v>
      </c>
      <c r="L18" s="81" t="s">
        <v>69</v>
      </c>
      <c r="M18" s="81"/>
      <c r="N18" s="81"/>
      <c r="O18" s="81" t="s">
        <v>74</v>
      </c>
      <c r="P18" s="81" t="s">
        <v>74</v>
      </c>
      <c r="Q18" s="81" t="s">
        <v>74</v>
      </c>
      <c r="R18" s="82"/>
      <c r="S18" s="82" t="s">
        <v>74</v>
      </c>
      <c r="T18" s="82"/>
      <c r="U18" s="82"/>
      <c r="V18" s="81" t="s">
        <v>74</v>
      </c>
      <c r="W18" s="82" t="s">
        <v>69</v>
      </c>
      <c r="X18" s="82" t="s">
        <v>69</v>
      </c>
      <c r="Y18" s="83" t="s">
        <v>69</v>
      </c>
      <c r="Z18" s="73"/>
      <c r="AA18" s="73"/>
      <c r="AB18" s="73"/>
      <c r="AC18" s="73"/>
      <c r="AD18" s="73"/>
      <c r="AE18" s="73"/>
      <c r="AF18" s="73"/>
      <c r="AG18" s="73"/>
      <c r="AH18" s="73"/>
      <c r="AI18" s="73"/>
    </row>
    <row r="19">
      <c r="A19" s="84">
        <v>9.0</v>
      </c>
      <c r="B19" s="85" t="s">
        <v>147</v>
      </c>
      <c r="C19" s="64" t="str">
        <f t="shared" si="4"/>
        <v>https://api.paylibo.com/paylibo/generator/czech/image?accountNumber=1248728083&amp;bankCode=3030&amp;amount=0&amp;currency=CZK&amp;message=Kamenice-Fanda%20Mat%C4%9Bjka</v>
      </c>
      <c r="D19" s="76" t="str">
        <f t="shared" si="5"/>
        <v/>
      </c>
      <c r="E19" s="76">
        <f t="shared" si="6"/>
        <v>265.7692308</v>
      </c>
      <c r="F19" s="86">
        <f t="shared" si="7"/>
        <v>266</v>
      </c>
      <c r="G19" s="92">
        <v>266.0</v>
      </c>
      <c r="H19" s="278">
        <f t="shared" si="8"/>
        <v>0</v>
      </c>
      <c r="I19" s="87" t="s">
        <v>74</v>
      </c>
      <c r="J19" s="88" t="s">
        <v>69</v>
      </c>
      <c r="K19" s="88" t="s">
        <v>74</v>
      </c>
      <c r="L19" s="88" t="s">
        <v>69</v>
      </c>
      <c r="M19" s="88"/>
      <c r="N19" s="88"/>
      <c r="O19" s="88" t="s">
        <v>74</v>
      </c>
      <c r="P19" s="88" t="s">
        <v>74</v>
      </c>
      <c r="Q19" s="88" t="s">
        <v>74</v>
      </c>
      <c r="R19" s="89"/>
      <c r="S19" s="89" t="s">
        <v>74</v>
      </c>
      <c r="T19" s="89"/>
      <c r="U19" s="89"/>
      <c r="V19" s="88" t="s">
        <v>74</v>
      </c>
      <c r="W19" s="89" t="s">
        <v>69</v>
      </c>
      <c r="X19" s="89" t="s">
        <v>69</v>
      </c>
      <c r="Y19" s="90" t="s">
        <v>69</v>
      </c>
      <c r="Z19" s="73"/>
      <c r="AA19" s="73"/>
      <c r="AB19" s="73"/>
      <c r="AC19" s="73"/>
      <c r="AD19" s="73"/>
      <c r="AE19" s="73"/>
      <c r="AF19" s="73"/>
      <c r="AG19" s="73"/>
      <c r="AH19" s="73"/>
      <c r="AI19" s="73"/>
    </row>
    <row r="20">
      <c r="A20" s="74">
        <v>10.0</v>
      </c>
      <c r="B20" s="75" t="s">
        <v>148</v>
      </c>
      <c r="C20" s="64" t="str">
        <f t="shared" si="4"/>
        <v>https://api.paylibo.com/paylibo/generator/czech/image?accountNumber=1248728083&amp;bankCode=3030&amp;amount=92&amp;currency=CZK&amp;message=Kamenice-Kostkov%C3%A1%20Barbora</v>
      </c>
      <c r="D20" s="76" t="str">
        <f t="shared" si="5"/>
        <v/>
      </c>
      <c r="E20" s="77">
        <f t="shared" si="6"/>
        <v>75.61771562</v>
      </c>
      <c r="F20" s="78">
        <f t="shared" si="7"/>
        <v>76</v>
      </c>
      <c r="G20" s="91">
        <v>-16.0</v>
      </c>
      <c r="H20" s="278">
        <f t="shared" si="8"/>
        <v>92</v>
      </c>
      <c r="I20" s="80" t="s">
        <v>69</v>
      </c>
      <c r="J20" s="81" t="s">
        <v>69</v>
      </c>
      <c r="K20" s="81" t="s">
        <v>74</v>
      </c>
      <c r="L20" s="81" t="s">
        <v>69</v>
      </c>
      <c r="M20" s="81"/>
      <c r="N20" s="81"/>
      <c r="O20" s="81" t="s">
        <v>74</v>
      </c>
      <c r="P20" s="81" t="s">
        <v>74</v>
      </c>
      <c r="Q20" s="81" t="s">
        <v>74</v>
      </c>
      <c r="R20" s="82"/>
      <c r="S20" s="82" t="s">
        <v>74</v>
      </c>
      <c r="T20" s="82" t="s">
        <v>69</v>
      </c>
      <c r="U20" s="82"/>
      <c r="V20" s="81" t="s">
        <v>74</v>
      </c>
      <c r="W20" s="82"/>
      <c r="X20" s="82"/>
      <c r="Y20" s="83" t="s">
        <v>69</v>
      </c>
      <c r="Z20" s="73"/>
      <c r="AA20" s="73"/>
      <c r="AB20" s="73"/>
      <c r="AC20" s="73"/>
      <c r="AD20" s="73"/>
      <c r="AE20" s="73"/>
      <c r="AF20" s="73"/>
      <c r="AG20" s="73"/>
      <c r="AH20" s="73"/>
      <c r="AI20" s="73"/>
    </row>
    <row r="21">
      <c r="A21" s="84">
        <v>11.0</v>
      </c>
      <c r="B21" s="85" t="s">
        <v>149</v>
      </c>
      <c r="C21" s="64" t="str">
        <f t="shared" si="4"/>
        <v>https://api.paylibo.com/paylibo/generator/czech/image?accountNumber=1248728083&amp;bankCode=3030&amp;amount=0&amp;currency=CZK&amp;message=Kamenice-Vojt%C3%ADk</v>
      </c>
      <c r="D21" s="76" t="str">
        <f t="shared" si="5"/>
        <v/>
      </c>
      <c r="E21" s="76">
        <f t="shared" si="6"/>
        <v>257.4358974</v>
      </c>
      <c r="F21" s="86">
        <f t="shared" si="7"/>
        <v>258</v>
      </c>
      <c r="G21" s="92">
        <v>258.0</v>
      </c>
      <c r="H21" s="278">
        <f t="shared" si="8"/>
        <v>0</v>
      </c>
      <c r="I21" s="87" t="s">
        <v>74</v>
      </c>
      <c r="J21" s="88" t="s">
        <v>69</v>
      </c>
      <c r="K21" s="88" t="s">
        <v>74</v>
      </c>
      <c r="L21" s="88" t="s">
        <v>69</v>
      </c>
      <c r="M21" s="88"/>
      <c r="N21" s="88"/>
      <c r="O21" s="88"/>
      <c r="P21" s="88" t="s">
        <v>74</v>
      </c>
      <c r="Q21" s="88"/>
      <c r="R21" s="89"/>
      <c r="S21" s="89" t="s">
        <v>74</v>
      </c>
      <c r="T21" s="89" t="s">
        <v>69</v>
      </c>
      <c r="U21" s="89"/>
      <c r="V21" s="88" t="s">
        <v>74</v>
      </c>
      <c r="W21" s="89"/>
      <c r="X21" s="89"/>
      <c r="Y21" s="90" t="s">
        <v>69</v>
      </c>
      <c r="Z21" s="73"/>
      <c r="AA21" s="73"/>
      <c r="AB21" s="73"/>
      <c r="AC21" s="73"/>
      <c r="AD21" s="73"/>
      <c r="AE21" s="73"/>
      <c r="AF21" s="73"/>
      <c r="AG21" s="73"/>
      <c r="AH21" s="73"/>
      <c r="AI21" s="73"/>
    </row>
    <row r="22">
      <c r="A22" s="74">
        <v>12.0</v>
      </c>
      <c r="B22" s="75" t="s">
        <v>41</v>
      </c>
      <c r="C22" s="64" t="str">
        <f t="shared" si="4"/>
        <v>https://api.paylibo.com/paylibo/generator/czech/image?accountNumber=1248728083&amp;bankCode=3030&amp;amount=0&amp;currency=CZK&amp;message=Kamenice-Kub%C3%ADk</v>
      </c>
      <c r="D22" s="76" t="str">
        <f t="shared" si="5"/>
        <v/>
      </c>
      <c r="E22" s="77">
        <f t="shared" si="6"/>
        <v>257.4358974</v>
      </c>
      <c r="F22" s="78">
        <f t="shared" si="7"/>
        <v>258</v>
      </c>
      <c r="G22" s="91">
        <v>258.0</v>
      </c>
      <c r="H22" s="278">
        <f t="shared" si="8"/>
        <v>0</v>
      </c>
      <c r="I22" s="80" t="s">
        <v>74</v>
      </c>
      <c r="J22" s="81" t="s">
        <v>69</v>
      </c>
      <c r="K22" s="81" t="s">
        <v>74</v>
      </c>
      <c r="L22" s="81" t="s">
        <v>69</v>
      </c>
      <c r="M22" s="81"/>
      <c r="N22" s="81"/>
      <c r="O22" s="93"/>
      <c r="P22" s="81" t="s">
        <v>74</v>
      </c>
      <c r="Q22" s="93"/>
      <c r="R22" s="82"/>
      <c r="S22" s="82" t="s">
        <v>74</v>
      </c>
      <c r="T22" s="82" t="s">
        <v>69</v>
      </c>
      <c r="U22" s="82"/>
      <c r="V22" s="81" t="s">
        <v>74</v>
      </c>
      <c r="W22" s="82"/>
      <c r="X22" s="82"/>
      <c r="Y22" s="83" t="s">
        <v>69</v>
      </c>
      <c r="Z22" s="73"/>
      <c r="AA22" s="73"/>
      <c r="AB22" s="73"/>
      <c r="AC22" s="73"/>
      <c r="AD22" s="73"/>
      <c r="AE22" s="73"/>
      <c r="AF22" s="73"/>
      <c r="AG22" s="73"/>
      <c r="AH22" s="73"/>
      <c r="AI22" s="73"/>
    </row>
    <row r="23">
      <c r="A23" s="84">
        <v>13.0</v>
      </c>
      <c r="B23" s="85" t="s">
        <v>150</v>
      </c>
      <c r="C23" s="64" t="str">
        <f t="shared" si="4"/>
        <v>https://api.paylibo.com/paylibo/generator/czech/image?accountNumber=1248728083&amp;bankCode=3030&amp;amount=-109&amp;currency=CZK&amp;message=Kamenice-Bernardov%C3%A1%20Barbora</v>
      </c>
      <c r="D23" s="76" t="str">
        <f t="shared" si="5"/>
        <v/>
      </c>
      <c r="E23" s="76">
        <f t="shared" si="6"/>
        <v>84.17832168</v>
      </c>
      <c r="F23" s="86">
        <f t="shared" si="7"/>
        <v>85</v>
      </c>
      <c r="G23" s="92">
        <f>450-256</f>
        <v>194</v>
      </c>
      <c r="H23" s="278">
        <f t="shared" si="8"/>
        <v>-109</v>
      </c>
      <c r="I23" s="87" t="s">
        <v>69</v>
      </c>
      <c r="J23" s="88" t="s">
        <v>69</v>
      </c>
      <c r="K23" s="88" t="s">
        <v>69</v>
      </c>
      <c r="L23" s="88" t="s">
        <v>69</v>
      </c>
      <c r="M23" s="88" t="s">
        <v>69</v>
      </c>
      <c r="N23" s="88" t="s">
        <v>69</v>
      </c>
      <c r="O23" s="94"/>
      <c r="P23" s="88" t="s">
        <v>74</v>
      </c>
      <c r="Q23" s="94"/>
      <c r="R23" s="89"/>
      <c r="S23" s="89" t="s">
        <v>74</v>
      </c>
      <c r="T23" s="89"/>
      <c r="U23" s="89"/>
      <c r="V23" s="88" t="s">
        <v>74</v>
      </c>
      <c r="W23" s="89"/>
      <c r="X23" s="89"/>
      <c r="Y23" s="90" t="s">
        <v>69</v>
      </c>
      <c r="Z23" s="73"/>
      <c r="AA23" s="73"/>
      <c r="AB23" s="73"/>
      <c r="AC23" s="73"/>
      <c r="AD23" s="73"/>
      <c r="AE23" s="73"/>
      <c r="AF23" s="73"/>
      <c r="AG23" s="73"/>
      <c r="AH23" s="73"/>
      <c r="AI23" s="73"/>
    </row>
    <row r="24">
      <c r="A24" s="74">
        <v>14.0</v>
      </c>
      <c r="B24" s="75" t="s">
        <v>45</v>
      </c>
      <c r="C24" s="64" t="str">
        <f t="shared" si="4"/>
        <v>https://api.paylibo.com/paylibo/generator/czech/image?accountNumber=1248728083&amp;bankCode=3030&amp;amount=0&amp;currency=CZK&amp;message=Kamenice-Vilda</v>
      </c>
      <c r="D24" s="76" t="str">
        <f t="shared" si="5"/>
        <v/>
      </c>
      <c r="E24" s="77">
        <f t="shared" si="6"/>
        <v>255.9965035</v>
      </c>
      <c r="F24" s="78">
        <f t="shared" si="7"/>
        <v>256</v>
      </c>
      <c r="G24" s="91">
        <v>256.0</v>
      </c>
      <c r="H24" s="278">
        <f t="shared" si="8"/>
        <v>0</v>
      </c>
      <c r="I24" s="95"/>
      <c r="J24" s="81" t="s">
        <v>69</v>
      </c>
      <c r="K24" s="81" t="s">
        <v>69</v>
      </c>
      <c r="L24" s="81" t="s">
        <v>69</v>
      </c>
      <c r="M24" s="81" t="s">
        <v>69</v>
      </c>
      <c r="N24" s="81" t="s">
        <v>69</v>
      </c>
      <c r="O24" s="93"/>
      <c r="P24" s="81" t="s">
        <v>74</v>
      </c>
      <c r="Q24" s="93"/>
      <c r="R24" s="82"/>
      <c r="S24" s="82" t="s">
        <v>74</v>
      </c>
      <c r="T24" s="82"/>
      <c r="U24" s="82"/>
      <c r="V24" s="81" t="s">
        <v>74</v>
      </c>
      <c r="W24" s="82"/>
      <c r="X24" s="82"/>
      <c r="Y24" s="83" t="s">
        <v>74</v>
      </c>
      <c r="Z24" s="73"/>
      <c r="AA24" s="73"/>
      <c r="AB24" s="73"/>
      <c r="AC24" s="73"/>
      <c r="AD24" s="73"/>
      <c r="AE24" s="73"/>
      <c r="AF24" s="73"/>
      <c r="AG24" s="73"/>
      <c r="AH24" s="73"/>
      <c r="AI24" s="73"/>
    </row>
    <row r="25">
      <c r="A25" s="84">
        <v>15.0</v>
      </c>
      <c r="B25" s="85" t="s">
        <v>101</v>
      </c>
      <c r="C25" s="64" t="str">
        <f t="shared" si="4"/>
        <v>https://api.paylibo.com/paylibo/generator/czech/image?accountNumber=1248728083&amp;bankCode=3030&amp;amount=-550&amp;currency=CZK&amp;message=Kamenice-Ho%C5%99ej%C5%A1%C3%AD%20%C5%A0t%C4%9Bp%C3%A1n</v>
      </c>
      <c r="D25" s="76" t="str">
        <f t="shared" si="5"/>
        <v/>
      </c>
      <c r="E25" s="76">
        <f t="shared" si="6"/>
        <v>249.8193473</v>
      </c>
      <c r="F25" s="86">
        <f t="shared" si="7"/>
        <v>250</v>
      </c>
      <c r="G25" s="92">
        <v>800.0</v>
      </c>
      <c r="H25" s="278">
        <f t="shared" si="8"/>
        <v>-550</v>
      </c>
      <c r="I25" s="87" t="s">
        <v>69</v>
      </c>
      <c r="J25" s="88" t="s">
        <v>69</v>
      </c>
      <c r="K25" s="88" t="s">
        <v>69</v>
      </c>
      <c r="L25" s="88" t="s">
        <v>69</v>
      </c>
      <c r="M25" s="88"/>
      <c r="N25" s="88"/>
      <c r="O25" s="88" t="s">
        <v>74</v>
      </c>
      <c r="P25" s="88" t="s">
        <v>69</v>
      </c>
      <c r="Q25" s="88" t="s">
        <v>69</v>
      </c>
      <c r="R25" s="89" t="s">
        <v>69</v>
      </c>
      <c r="S25" s="89" t="s">
        <v>69</v>
      </c>
      <c r="T25" s="89"/>
      <c r="U25" s="89"/>
      <c r="V25" s="88" t="s">
        <v>69</v>
      </c>
      <c r="W25" s="89"/>
      <c r="X25" s="89"/>
      <c r="Y25" s="90" t="s">
        <v>69</v>
      </c>
      <c r="Z25" s="73"/>
      <c r="AA25" s="73"/>
      <c r="AB25" s="73"/>
      <c r="AC25" s="73"/>
      <c r="AD25" s="73"/>
      <c r="AE25" s="73"/>
      <c r="AF25" s="73"/>
      <c r="AG25" s="73"/>
      <c r="AH25" s="73"/>
      <c r="AI25" s="73"/>
    </row>
    <row r="26">
      <c r="A26" s="74">
        <v>16.0</v>
      </c>
      <c r="B26" s="75" t="s">
        <v>100</v>
      </c>
      <c r="C26" s="64" t="str">
        <f t="shared" si="4"/>
        <v>https://api.paylibo.com/paylibo/generator/czech/image?accountNumber=1248728083&amp;bankCode=3030&amp;amount=117&amp;currency=CZK&amp;message=Kamenice-Havl%C3%AD%C4%8Dek%20Filip</v>
      </c>
      <c r="D26" s="76" t="str">
        <f t="shared" si="5"/>
        <v/>
      </c>
      <c r="E26" s="77">
        <f t="shared" si="6"/>
        <v>116.486014</v>
      </c>
      <c r="F26" s="78">
        <f t="shared" si="7"/>
        <v>117</v>
      </c>
      <c r="G26" s="78"/>
      <c r="H26" s="278">
        <f t="shared" si="8"/>
        <v>117</v>
      </c>
      <c r="I26" s="80" t="s">
        <v>69</v>
      </c>
      <c r="J26" s="81" t="s">
        <v>69</v>
      </c>
      <c r="K26" s="81" t="s">
        <v>69</v>
      </c>
      <c r="L26" s="81" t="s">
        <v>69</v>
      </c>
      <c r="M26" s="81"/>
      <c r="N26" s="81"/>
      <c r="O26" s="81" t="s">
        <v>74</v>
      </c>
      <c r="P26" s="81" t="s">
        <v>69</v>
      </c>
      <c r="Q26" s="81" t="s">
        <v>69</v>
      </c>
      <c r="R26" s="82"/>
      <c r="S26" s="82" t="s">
        <v>69</v>
      </c>
      <c r="T26" s="82"/>
      <c r="U26" s="82"/>
      <c r="V26" s="81" t="s">
        <v>69</v>
      </c>
      <c r="W26" s="82"/>
      <c r="X26" s="82"/>
      <c r="Y26" s="83" t="s">
        <v>69</v>
      </c>
      <c r="Z26" s="73"/>
      <c r="AA26" s="73"/>
      <c r="AB26" s="73"/>
      <c r="AC26" s="73"/>
      <c r="AD26" s="73"/>
      <c r="AE26" s="73"/>
      <c r="AF26" s="73"/>
      <c r="AG26" s="73"/>
      <c r="AH26" s="73"/>
      <c r="AI26" s="73"/>
    </row>
    <row r="27">
      <c r="A27" s="84">
        <v>17.0</v>
      </c>
      <c r="B27" s="85" t="s">
        <v>110</v>
      </c>
      <c r="C27" s="64" t="str">
        <f t="shared" si="4"/>
        <v>https://api.paylibo.com/paylibo/generator/czech/image?accountNumber=1248728083&amp;bankCode=3030&amp;amount=266&amp;currency=CZK&amp;message=Kamenice-David</v>
      </c>
      <c r="D27" s="76" t="str">
        <f t="shared" si="5"/>
        <v/>
      </c>
      <c r="E27" s="76">
        <f t="shared" si="6"/>
        <v>265.5769231</v>
      </c>
      <c r="F27" s="86">
        <f t="shared" si="7"/>
        <v>266</v>
      </c>
      <c r="G27" s="86"/>
      <c r="H27" s="278">
        <f t="shared" si="8"/>
        <v>266</v>
      </c>
      <c r="I27" s="96"/>
      <c r="J27" s="88" t="s">
        <v>69</v>
      </c>
      <c r="K27" s="94"/>
      <c r="L27" s="88" t="s">
        <v>69</v>
      </c>
      <c r="M27" s="88"/>
      <c r="N27" s="88" t="s">
        <v>69</v>
      </c>
      <c r="O27" s="88" t="s">
        <v>74</v>
      </c>
      <c r="P27" s="88" t="s">
        <v>69</v>
      </c>
      <c r="Q27" s="88" t="s">
        <v>69</v>
      </c>
      <c r="R27" s="89"/>
      <c r="S27" s="89" t="s">
        <v>69</v>
      </c>
      <c r="T27" s="89"/>
      <c r="U27" s="89"/>
      <c r="V27" s="88" t="s">
        <v>69</v>
      </c>
      <c r="W27" s="89"/>
      <c r="X27" s="89"/>
      <c r="Y27" s="90" t="s">
        <v>69</v>
      </c>
      <c r="Z27" s="73"/>
      <c r="AA27" s="73"/>
      <c r="AB27" s="73"/>
      <c r="AC27" s="73"/>
      <c r="AD27" s="73"/>
      <c r="AE27" s="73"/>
      <c r="AF27" s="73"/>
      <c r="AG27" s="73"/>
      <c r="AH27" s="73"/>
      <c r="AI27" s="73"/>
    </row>
    <row r="28">
      <c r="A28" s="74">
        <v>18.0</v>
      </c>
      <c r="B28" s="85" t="s">
        <v>111</v>
      </c>
      <c r="C28" s="64" t="str">
        <f t="shared" si="4"/>
        <v>https://api.paylibo.com/paylibo/generator/czech/image?accountNumber=1248728083&amp;bankCode=3030&amp;amount=351&amp;currency=CZK&amp;message=Kamenice-Pil%C3%ADn</v>
      </c>
      <c r="D28" s="76" t="str">
        <f t="shared" si="5"/>
        <v/>
      </c>
      <c r="E28" s="77">
        <f t="shared" si="6"/>
        <v>350.5769231</v>
      </c>
      <c r="F28" s="78">
        <f t="shared" si="7"/>
        <v>351</v>
      </c>
      <c r="G28" s="78"/>
      <c r="H28" s="278">
        <f t="shared" si="8"/>
        <v>351</v>
      </c>
      <c r="I28" s="95"/>
      <c r="J28" s="81" t="s">
        <v>69</v>
      </c>
      <c r="K28" s="93"/>
      <c r="L28" s="81" t="s">
        <v>69</v>
      </c>
      <c r="M28" s="93"/>
      <c r="N28" s="93"/>
      <c r="O28" s="81" t="s">
        <v>69</v>
      </c>
      <c r="P28" s="81" t="s">
        <v>69</v>
      </c>
      <c r="Q28" s="81" t="s">
        <v>69</v>
      </c>
      <c r="R28" s="82"/>
      <c r="S28" s="82" t="s">
        <v>69</v>
      </c>
      <c r="T28" s="82"/>
      <c r="U28" s="82"/>
      <c r="V28" s="81" t="s">
        <v>69</v>
      </c>
      <c r="W28" s="82"/>
      <c r="X28" s="82"/>
      <c r="Y28" s="83" t="s">
        <v>69</v>
      </c>
      <c r="Z28" s="73"/>
      <c r="AA28" s="73"/>
      <c r="AB28" s="73"/>
      <c r="AC28" s="73"/>
      <c r="AD28" s="73"/>
      <c r="AE28" s="73"/>
      <c r="AF28" s="73"/>
      <c r="AG28" s="73"/>
      <c r="AH28" s="73"/>
      <c r="AI28" s="73"/>
    </row>
    <row r="29">
      <c r="A29" s="84">
        <v>19.0</v>
      </c>
      <c r="B29" s="85" t="s">
        <v>151</v>
      </c>
      <c r="C29" s="64" t="str">
        <f t="shared" si="4"/>
        <v>https://api.paylibo.com/paylibo/generator/czech/image?accountNumber=1248728083&amp;bankCode=3030&amp;amount=351&amp;currency=CZK&amp;message=Kamenice-Jirka</v>
      </c>
      <c r="D29" s="76" t="str">
        <f t="shared" si="5"/>
        <v/>
      </c>
      <c r="E29" s="76">
        <f t="shared" si="6"/>
        <v>350.5769231</v>
      </c>
      <c r="F29" s="86">
        <f t="shared" si="7"/>
        <v>351</v>
      </c>
      <c r="G29" s="86"/>
      <c r="H29" s="278">
        <f t="shared" si="8"/>
        <v>351</v>
      </c>
      <c r="I29" s="96"/>
      <c r="J29" s="88" t="s">
        <v>69</v>
      </c>
      <c r="K29" s="94"/>
      <c r="L29" s="88" t="s">
        <v>69</v>
      </c>
      <c r="M29" s="94"/>
      <c r="N29" s="94"/>
      <c r="O29" s="88" t="s">
        <v>69</v>
      </c>
      <c r="P29" s="88" t="s">
        <v>69</v>
      </c>
      <c r="Q29" s="88" t="s">
        <v>69</v>
      </c>
      <c r="R29" s="89"/>
      <c r="S29" s="89" t="s">
        <v>69</v>
      </c>
      <c r="T29" s="89"/>
      <c r="U29" s="89"/>
      <c r="V29" s="88" t="s">
        <v>69</v>
      </c>
      <c r="W29" s="89"/>
      <c r="X29" s="89"/>
      <c r="Y29" s="90" t="s">
        <v>69</v>
      </c>
      <c r="Z29" s="73"/>
      <c r="AA29" s="73"/>
      <c r="AB29" s="73"/>
      <c r="AC29" s="73"/>
      <c r="AD29" s="73"/>
      <c r="AE29" s="73"/>
      <c r="AF29" s="73"/>
      <c r="AG29" s="73"/>
      <c r="AH29" s="73"/>
      <c r="AI29" s="73"/>
    </row>
    <row r="30">
      <c r="A30" s="74">
        <v>20.0</v>
      </c>
      <c r="B30" s="85" t="s">
        <v>113</v>
      </c>
      <c r="C30" s="64" t="str">
        <f t="shared" si="4"/>
        <v>https://api.paylibo.com/paylibo/generator/czech/image?accountNumber=1248728083&amp;bankCode=3030&amp;amount=226&amp;currency=CZK&amp;message=Kamenice-Lada</v>
      </c>
      <c r="D30" s="76" t="str">
        <f t="shared" si="5"/>
        <v/>
      </c>
      <c r="E30" s="77">
        <f t="shared" si="6"/>
        <v>225.5769231</v>
      </c>
      <c r="F30" s="78">
        <f t="shared" si="7"/>
        <v>226</v>
      </c>
      <c r="G30" s="78"/>
      <c r="H30" s="278">
        <f t="shared" si="8"/>
        <v>226</v>
      </c>
      <c r="I30" s="95"/>
      <c r="J30" s="81" t="s">
        <v>69</v>
      </c>
      <c r="K30" s="93"/>
      <c r="L30" s="81" t="s">
        <v>69</v>
      </c>
      <c r="M30" s="93"/>
      <c r="N30" s="93"/>
      <c r="O30" s="81" t="s">
        <v>74</v>
      </c>
      <c r="P30" s="81" t="s">
        <v>69</v>
      </c>
      <c r="Q30" s="81" t="s">
        <v>69</v>
      </c>
      <c r="R30" s="82"/>
      <c r="S30" s="82" t="s">
        <v>69</v>
      </c>
      <c r="T30" s="82"/>
      <c r="U30" s="82"/>
      <c r="V30" s="81" t="s">
        <v>69</v>
      </c>
      <c r="W30" s="82"/>
      <c r="X30" s="82"/>
      <c r="Y30" s="83" t="s">
        <v>69</v>
      </c>
      <c r="Z30" s="73"/>
      <c r="AA30" s="73"/>
      <c r="AB30" s="73"/>
      <c r="AC30" s="73"/>
      <c r="AD30" s="73"/>
      <c r="AE30" s="73"/>
      <c r="AF30" s="73"/>
      <c r="AG30" s="73"/>
      <c r="AH30" s="73"/>
      <c r="AI30" s="73"/>
    </row>
    <row r="31">
      <c r="A31" s="84">
        <v>21.0</v>
      </c>
      <c r="B31" s="85" t="s">
        <v>152</v>
      </c>
      <c r="C31" s="64" t="str">
        <f t="shared" si="4"/>
        <v>https://api.paylibo.com/paylibo/generator/czech/image?accountNumber=1248728083&amp;bankCode=3030&amp;amount=226&amp;currency=CZK&amp;message=Kamenice-Dorka</v>
      </c>
      <c r="D31" s="76" t="str">
        <f t="shared" si="5"/>
        <v/>
      </c>
      <c r="E31" s="76">
        <f t="shared" si="6"/>
        <v>225.5769231</v>
      </c>
      <c r="F31" s="86">
        <f t="shared" si="7"/>
        <v>226</v>
      </c>
      <c r="G31" s="86"/>
      <c r="H31" s="278">
        <f t="shared" si="8"/>
        <v>226</v>
      </c>
      <c r="I31" s="96"/>
      <c r="J31" s="88" t="s">
        <v>69</v>
      </c>
      <c r="K31" s="94"/>
      <c r="L31" s="88" t="s">
        <v>69</v>
      </c>
      <c r="M31" s="94"/>
      <c r="N31" s="94"/>
      <c r="O31" s="88" t="s">
        <v>74</v>
      </c>
      <c r="P31" s="88" t="s">
        <v>69</v>
      </c>
      <c r="Q31" s="88" t="s">
        <v>69</v>
      </c>
      <c r="R31" s="89"/>
      <c r="S31" s="89" t="s">
        <v>69</v>
      </c>
      <c r="T31" s="89"/>
      <c r="U31" s="89"/>
      <c r="V31" s="88" t="s">
        <v>69</v>
      </c>
      <c r="W31" s="89"/>
      <c r="X31" s="89"/>
      <c r="Y31" s="90" t="s">
        <v>69</v>
      </c>
      <c r="Z31" s="73"/>
      <c r="AA31" s="73"/>
      <c r="AB31" s="73"/>
      <c r="AC31" s="73"/>
      <c r="AD31" s="73"/>
      <c r="AE31" s="73"/>
      <c r="AF31" s="73"/>
      <c r="AG31" s="73"/>
      <c r="AH31" s="73"/>
      <c r="AI31" s="73"/>
    </row>
    <row r="32">
      <c r="A32" s="74">
        <v>22.0</v>
      </c>
      <c r="B32" s="85" t="s">
        <v>153</v>
      </c>
      <c r="C32" s="64" t="str">
        <f t="shared" si="4"/>
        <v>https://api.paylibo.com/paylibo/generator/czech/image?accountNumber=1248728083&amp;bankCode=3030&amp;amount=226&amp;currency=CZK&amp;message=Kamenice-Niky</v>
      </c>
      <c r="D32" s="76" t="str">
        <f t="shared" si="5"/>
        <v/>
      </c>
      <c r="E32" s="77">
        <f t="shared" si="6"/>
        <v>225.5769231</v>
      </c>
      <c r="F32" s="78">
        <f t="shared" si="7"/>
        <v>226</v>
      </c>
      <c r="G32" s="78"/>
      <c r="H32" s="278">
        <f t="shared" si="8"/>
        <v>226</v>
      </c>
      <c r="I32" s="95"/>
      <c r="J32" s="81" t="s">
        <v>69</v>
      </c>
      <c r="K32" s="93"/>
      <c r="L32" s="81" t="s">
        <v>69</v>
      </c>
      <c r="M32" s="93"/>
      <c r="N32" s="93"/>
      <c r="O32" s="81" t="s">
        <v>74</v>
      </c>
      <c r="P32" s="81" t="s">
        <v>69</v>
      </c>
      <c r="Q32" s="81" t="s">
        <v>69</v>
      </c>
      <c r="R32" s="82"/>
      <c r="S32" s="82" t="s">
        <v>69</v>
      </c>
      <c r="T32" s="82"/>
      <c r="U32" s="82"/>
      <c r="V32" s="81" t="s">
        <v>69</v>
      </c>
      <c r="W32" s="82"/>
      <c r="X32" s="82"/>
      <c r="Y32" s="83" t="s">
        <v>69</v>
      </c>
      <c r="Z32" s="73"/>
      <c r="AA32" s="73"/>
      <c r="AB32" s="73"/>
      <c r="AC32" s="73"/>
      <c r="AD32" s="73"/>
      <c r="AE32" s="73"/>
      <c r="AF32" s="73"/>
      <c r="AG32" s="73"/>
      <c r="AH32" s="73"/>
      <c r="AI32" s="73"/>
    </row>
    <row r="33">
      <c r="A33" s="84">
        <v>23.0</v>
      </c>
      <c r="B33" s="85" t="s">
        <v>115</v>
      </c>
      <c r="C33" s="64" t="str">
        <f t="shared" si="4"/>
        <v>https://api.paylibo.com/paylibo/generator/czech/image?accountNumber=1248728083&amp;bankCode=3030&amp;amount=409&amp;currency=CZK&amp;message=Kamenice-Ko%C4%8Dina</v>
      </c>
      <c r="D33" s="76" t="str">
        <f t="shared" si="5"/>
        <v/>
      </c>
      <c r="E33" s="76">
        <f t="shared" si="6"/>
        <v>408.9102564</v>
      </c>
      <c r="F33" s="86">
        <f t="shared" si="7"/>
        <v>409</v>
      </c>
      <c r="G33" s="86"/>
      <c r="H33" s="278">
        <f t="shared" si="8"/>
        <v>409</v>
      </c>
      <c r="I33" s="96"/>
      <c r="J33" s="88" t="s">
        <v>69</v>
      </c>
      <c r="K33" s="94"/>
      <c r="L33" s="88" t="s">
        <v>69</v>
      </c>
      <c r="M33" s="94"/>
      <c r="N33" s="94"/>
      <c r="O33" s="88" t="s">
        <v>74</v>
      </c>
      <c r="P33" s="88" t="s">
        <v>69</v>
      </c>
      <c r="Q33" s="88" t="s">
        <v>69</v>
      </c>
      <c r="R33" s="89" t="s">
        <v>69</v>
      </c>
      <c r="S33" s="89" t="s">
        <v>69</v>
      </c>
      <c r="T33" s="89"/>
      <c r="U33" s="89"/>
      <c r="V33" s="88" t="s">
        <v>69</v>
      </c>
      <c r="W33" s="89"/>
      <c r="X33" s="89" t="s">
        <v>69</v>
      </c>
      <c r="Y33" s="90" t="s">
        <v>69</v>
      </c>
      <c r="Z33" s="73"/>
      <c r="AA33" s="73"/>
      <c r="AB33" s="73"/>
      <c r="AC33" s="73"/>
      <c r="AD33" s="73"/>
      <c r="AE33" s="73"/>
      <c r="AF33" s="73"/>
      <c r="AG33" s="73"/>
      <c r="AH33" s="73"/>
      <c r="AI33" s="73"/>
    </row>
    <row r="34">
      <c r="A34" s="74">
        <v>24.0</v>
      </c>
      <c r="B34" s="85" t="s">
        <v>116</v>
      </c>
      <c r="C34" s="64" t="str">
        <f t="shared" si="4"/>
        <v>https://api.paylibo.com/paylibo/generator/czech/image?accountNumber=1248728083&amp;bankCode=3030&amp;amount=409&amp;currency=CZK&amp;message=Kamenice-Magda</v>
      </c>
      <c r="D34" s="76" t="str">
        <f t="shared" si="5"/>
        <v/>
      </c>
      <c r="E34" s="77">
        <f t="shared" si="6"/>
        <v>408.9102564</v>
      </c>
      <c r="F34" s="78">
        <f t="shared" si="7"/>
        <v>409</v>
      </c>
      <c r="G34" s="78"/>
      <c r="H34" s="278">
        <f t="shared" si="8"/>
        <v>409</v>
      </c>
      <c r="I34" s="95"/>
      <c r="J34" s="81" t="s">
        <v>69</v>
      </c>
      <c r="K34" s="93"/>
      <c r="L34" s="81" t="s">
        <v>69</v>
      </c>
      <c r="M34" s="93"/>
      <c r="N34" s="93"/>
      <c r="O34" s="81" t="s">
        <v>74</v>
      </c>
      <c r="P34" s="81" t="s">
        <v>69</v>
      </c>
      <c r="Q34" s="81" t="s">
        <v>69</v>
      </c>
      <c r="R34" s="82" t="s">
        <v>69</v>
      </c>
      <c r="S34" s="82" t="s">
        <v>69</v>
      </c>
      <c r="T34" s="82"/>
      <c r="U34" s="82"/>
      <c r="V34" s="81" t="s">
        <v>69</v>
      </c>
      <c r="W34" s="82"/>
      <c r="X34" s="82" t="s">
        <v>69</v>
      </c>
      <c r="Y34" s="83" t="s">
        <v>69</v>
      </c>
      <c r="Z34" s="73"/>
      <c r="AA34" s="73"/>
      <c r="AB34" s="73"/>
      <c r="AC34" s="73"/>
      <c r="AD34" s="73"/>
      <c r="AE34" s="73"/>
      <c r="AF34" s="73"/>
      <c r="AG34" s="73"/>
      <c r="AH34" s="73"/>
      <c r="AI34" s="73"/>
    </row>
    <row r="35">
      <c r="A35" s="84">
        <v>25.0</v>
      </c>
      <c r="B35" s="97" t="s">
        <v>104</v>
      </c>
      <c r="C35" s="64" t="str">
        <f t="shared" si="4"/>
        <v>https://api.paylibo.com/paylibo/generator/czech/image?accountNumber=1248728083&amp;bankCode=3030&amp;amount=-1426,3&amp;currency=CZK&amp;message=Kamenice-Ho%C5%99ej%C5%A1%C3%AD%20Marie</v>
      </c>
      <c r="D35" s="76" t="str">
        <f t="shared" si="5"/>
        <v/>
      </c>
      <c r="E35" s="76">
        <f t="shared" si="6"/>
        <v>11.67832168</v>
      </c>
      <c r="F35" s="86">
        <f t="shared" si="7"/>
        <v>12</v>
      </c>
      <c r="G35" s="92">
        <f>1300-11.7+150</f>
        <v>1438.3</v>
      </c>
      <c r="H35" s="278">
        <f t="shared" si="8"/>
        <v>-1426.3</v>
      </c>
      <c r="I35" s="87" t="s">
        <v>69</v>
      </c>
      <c r="J35" s="88" t="s">
        <v>69</v>
      </c>
      <c r="K35" s="88" t="s">
        <v>69</v>
      </c>
      <c r="L35" s="88" t="s">
        <v>69</v>
      </c>
      <c r="M35" s="88"/>
      <c r="N35" s="88" t="s">
        <v>69</v>
      </c>
      <c r="O35" s="88" t="s">
        <v>74</v>
      </c>
      <c r="P35" s="94"/>
      <c r="Q35" s="88" t="s">
        <v>74</v>
      </c>
      <c r="R35" s="94"/>
      <c r="S35" s="94"/>
      <c r="T35" s="94"/>
      <c r="U35" s="94"/>
      <c r="V35" s="94"/>
      <c r="W35" s="89"/>
      <c r="X35" s="89"/>
      <c r="Y35" s="90" t="s">
        <v>74</v>
      </c>
      <c r="Z35" s="73"/>
      <c r="AA35" s="73"/>
      <c r="AB35" s="73"/>
      <c r="AC35" s="73"/>
      <c r="AD35" s="73"/>
      <c r="AE35" s="73"/>
      <c r="AF35" s="73"/>
      <c r="AG35" s="73"/>
      <c r="AH35" s="73"/>
      <c r="AI35" s="73"/>
    </row>
    <row r="36">
      <c r="A36" s="98">
        <v>26.0</v>
      </c>
      <c r="B36" s="99" t="s">
        <v>103</v>
      </c>
      <c r="C36" s="64" t="str">
        <f t="shared" si="4"/>
        <v>https://api.paylibo.com/paylibo/generator/czech/image?accountNumber=1248728083&amp;bankCode=3030&amp;amount=0,300000000000001&amp;currency=CZK&amp;message=Kamenice-Ho%C5%99ej%C5%A1%C3%AD%20Marek</v>
      </c>
      <c r="D36" s="100" t="str">
        <f t="shared" si="5"/>
        <v/>
      </c>
      <c r="E36" s="101">
        <f t="shared" si="6"/>
        <v>11.67832168</v>
      </c>
      <c r="F36" s="102">
        <f t="shared" si="7"/>
        <v>12</v>
      </c>
      <c r="G36" s="103">
        <v>11.7</v>
      </c>
      <c r="H36" s="279">
        <f t="shared" si="8"/>
        <v>0.3</v>
      </c>
      <c r="I36" s="80" t="s">
        <v>69</v>
      </c>
      <c r="J36" s="81" t="s">
        <v>69</v>
      </c>
      <c r="K36" s="81" t="s">
        <v>69</v>
      </c>
      <c r="L36" s="81" t="s">
        <v>69</v>
      </c>
      <c r="M36" s="81"/>
      <c r="N36" s="81" t="s">
        <v>69</v>
      </c>
      <c r="O36" s="93"/>
      <c r="P36" s="93"/>
      <c r="Q36" s="93"/>
      <c r="R36" s="93"/>
      <c r="S36" s="93"/>
      <c r="T36" s="93"/>
      <c r="U36" s="93"/>
      <c r="V36" s="93"/>
      <c r="W36" s="82"/>
      <c r="X36" s="82"/>
      <c r="Y36" s="83" t="s">
        <v>74</v>
      </c>
      <c r="Z36" s="73"/>
      <c r="AA36" s="73"/>
      <c r="AB36" s="73"/>
      <c r="AC36" s="73"/>
      <c r="AD36" s="73"/>
      <c r="AE36" s="73"/>
      <c r="AF36" s="73"/>
      <c r="AG36" s="73"/>
      <c r="AH36" s="73"/>
      <c r="AI36" s="73"/>
    </row>
    <row r="37">
      <c r="B37" s="105"/>
      <c r="C37" s="106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</row>
    <row r="38">
      <c r="B38" s="105"/>
      <c r="C38" s="106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</row>
    <row r="39">
      <c r="B39" s="105"/>
      <c r="C39" s="106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</row>
    <row r="40">
      <c r="B40" s="108" t="s">
        <v>28</v>
      </c>
      <c r="C40" s="109"/>
      <c r="D40" s="110"/>
      <c r="E40" s="110" t="s">
        <v>29</v>
      </c>
      <c r="F40" s="107"/>
      <c r="G40" s="107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</row>
    <row r="41">
      <c r="B41" s="111"/>
      <c r="C41" s="112"/>
      <c r="D41" s="113"/>
      <c r="E41" s="113" t="s">
        <v>30</v>
      </c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</row>
    <row r="42">
      <c r="B42" s="111"/>
      <c r="C42" s="112"/>
      <c r="D42" s="113"/>
      <c r="E42" s="113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</row>
    <row r="43">
      <c r="B43" s="114"/>
      <c r="C43" s="115"/>
      <c r="D43" s="116"/>
      <c r="E43" s="116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</row>
    <row r="44">
      <c r="B44" s="117" t="s">
        <v>31</v>
      </c>
      <c r="C44" s="112"/>
      <c r="D44" s="113"/>
      <c r="E44" s="113" t="s">
        <v>32</v>
      </c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</row>
    <row r="45">
      <c r="B45" s="111"/>
      <c r="C45" s="112"/>
      <c r="D45" s="113"/>
      <c r="E45" s="113" t="s">
        <v>33</v>
      </c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</row>
    <row r="46">
      <c r="B46" s="111"/>
      <c r="C46" s="112"/>
      <c r="D46" s="113"/>
      <c r="E46" s="113" t="s">
        <v>34</v>
      </c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</row>
    <row r="47">
      <c r="B47" s="111"/>
      <c r="C47" s="112"/>
      <c r="D47" s="113"/>
      <c r="E47" s="113" t="s">
        <v>35</v>
      </c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</row>
    <row r="48">
      <c r="B48" s="114"/>
      <c r="C48" s="115"/>
      <c r="D48" s="116"/>
      <c r="E48" s="116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</row>
    <row r="49">
      <c r="B49" s="117" t="s">
        <v>36</v>
      </c>
      <c r="C49" s="112"/>
      <c r="D49" s="113"/>
      <c r="E49" s="113" t="s">
        <v>37</v>
      </c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</row>
    <row r="50">
      <c r="B50" s="111"/>
      <c r="C50" s="112"/>
      <c r="D50" s="113"/>
      <c r="E50" s="113" t="s">
        <v>38</v>
      </c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</row>
    <row r="51">
      <c r="B51" s="111"/>
      <c r="C51" s="112"/>
      <c r="D51" s="113"/>
      <c r="E51" s="113" t="s">
        <v>39</v>
      </c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</row>
    <row r="52">
      <c r="B52" s="111"/>
      <c r="C52" s="112"/>
      <c r="D52" s="113"/>
      <c r="E52" s="113" t="s">
        <v>40</v>
      </c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</row>
    <row r="53">
      <c r="B53" s="114"/>
      <c r="C53" s="115"/>
      <c r="D53" s="116"/>
      <c r="E53" s="116" t="s">
        <v>41</v>
      </c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</row>
    <row r="54">
      <c r="B54" s="118" t="s">
        <v>42</v>
      </c>
      <c r="C54" s="119"/>
      <c r="D54" s="120"/>
      <c r="E54" s="120" t="s">
        <v>43</v>
      </c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</row>
    <row r="55">
      <c r="B55" s="117" t="s">
        <v>44</v>
      </c>
      <c r="C55" s="112"/>
      <c r="D55" s="113"/>
      <c r="E55" s="113" t="s">
        <v>39</v>
      </c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</row>
    <row r="56">
      <c r="B56" s="111"/>
      <c r="C56" s="112"/>
      <c r="D56" s="113"/>
      <c r="E56" s="113" t="s">
        <v>45</v>
      </c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</row>
    <row r="57">
      <c r="B57" s="111"/>
      <c r="C57" s="112"/>
      <c r="D57" s="113"/>
      <c r="E57" s="113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</row>
    <row r="58">
      <c r="B58" s="114"/>
      <c r="C58" s="115"/>
      <c r="D58" s="116"/>
      <c r="E58" s="116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</row>
    <row r="59">
      <c r="B59" s="117" t="s">
        <v>46</v>
      </c>
      <c r="C59" s="112"/>
      <c r="D59" s="113"/>
      <c r="E59" s="113" t="s">
        <v>47</v>
      </c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</row>
    <row r="60">
      <c r="B60" s="111"/>
      <c r="C60" s="112"/>
      <c r="D60" s="113"/>
      <c r="E60" s="113" t="s">
        <v>48</v>
      </c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</row>
    <row r="61">
      <c r="B61" s="111"/>
      <c r="C61" s="112"/>
      <c r="D61" s="113"/>
      <c r="E61" s="113" t="s">
        <v>49</v>
      </c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</row>
    <row r="62">
      <c r="B62" s="111"/>
      <c r="C62" s="112"/>
      <c r="D62" s="113"/>
      <c r="E62" s="113"/>
      <c r="F62" s="107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</row>
    <row r="63">
      <c r="B63" s="114"/>
      <c r="C63" s="115"/>
      <c r="D63" s="116"/>
      <c r="E63" s="116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</row>
  </sheetData>
  <autoFilter ref="$A$10:$Y$36"/>
  <mergeCells count="7">
    <mergeCell ref="A2:B2"/>
    <mergeCell ref="I10:Y10"/>
    <mergeCell ref="B40:B43"/>
    <mergeCell ref="B44:B48"/>
    <mergeCell ref="B49:B53"/>
    <mergeCell ref="B55:B58"/>
    <mergeCell ref="B59:B63"/>
  </mergeCells>
  <dataValidations>
    <dataValidation type="list" allowBlank="1" sqref="B11:B36">
      <formula1>seznam_clenu_OVT!$A$2:$A$100</formula1>
    </dataValidation>
    <dataValidation type="list" allowBlank="1" showErrorMessage="1" sqref="I6:Y6">
      <formula1>pomocna_tabulka!$A$2:$A$3</formula1>
    </dataValidation>
    <dataValidation type="list" allowBlank="1" sqref="I11:Y36">
      <formula1>pomocna_tabulka!$B$2:$B$3</formula1>
    </dataValidation>
  </dataValidations>
  <hyperlinks>
    <hyperlink r:id="rId1" ref="V3"/>
    <hyperlink r:id="rId2" ref="Y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27.43"/>
    <col customWidth="1" min="3" max="3" width="21.0"/>
    <col customWidth="1" min="4" max="4" width="16.86"/>
    <col customWidth="1" min="5" max="5" width="16.71"/>
    <col customWidth="1" min="7" max="8" width="15.29"/>
    <col customWidth="1" min="9" max="9" width="11.71"/>
    <col customWidth="1" min="11" max="18" width="11.0"/>
    <col customWidth="1" min="19" max="27" width="11.86"/>
  </cols>
  <sheetData>
    <row r="1">
      <c r="A1" s="8" t="s">
        <v>154</v>
      </c>
      <c r="B1" s="129"/>
      <c r="C1" s="9"/>
      <c r="D1" s="10" t="s">
        <v>2</v>
      </c>
      <c r="E1" s="11"/>
      <c r="F1" s="12"/>
      <c r="J1" s="13" t="s">
        <v>3</v>
      </c>
      <c r="K1" s="14" t="s">
        <v>4</v>
      </c>
      <c r="L1" s="15" t="s">
        <v>155</v>
      </c>
      <c r="M1" s="15" t="s">
        <v>156</v>
      </c>
      <c r="N1" s="15" t="s">
        <v>157</v>
      </c>
      <c r="O1" s="16" t="s">
        <v>53</v>
      </c>
      <c r="P1" s="16" t="s">
        <v>158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7"/>
      <c r="AC1" s="7"/>
      <c r="AD1" s="7"/>
      <c r="AE1" s="7"/>
      <c r="AF1" s="7"/>
      <c r="AG1" s="7"/>
      <c r="AH1" s="7"/>
      <c r="AI1" s="7"/>
      <c r="AJ1" s="7"/>
      <c r="AK1" s="7"/>
    </row>
    <row r="2">
      <c r="A2" s="17"/>
      <c r="B2" s="1"/>
      <c r="C2" s="18"/>
      <c r="D2" s="19"/>
      <c r="E2" s="11"/>
      <c r="F2" s="12"/>
      <c r="J2" s="13"/>
      <c r="K2" s="14"/>
      <c r="L2" s="15"/>
      <c r="M2" s="15"/>
      <c r="N2" s="20"/>
      <c r="O2" s="15"/>
      <c r="P2" s="15"/>
      <c r="Q2" s="15"/>
      <c r="R2" s="15"/>
      <c r="S2" s="15"/>
      <c r="T2" s="15"/>
      <c r="U2" s="15"/>
      <c r="V2" s="15"/>
      <c r="W2" s="15"/>
      <c r="X2" s="21"/>
      <c r="Y2" s="15"/>
      <c r="Z2" s="15"/>
      <c r="AA2" s="15"/>
      <c r="AB2" s="7"/>
      <c r="AC2" s="7"/>
      <c r="AD2" s="7"/>
      <c r="AE2" s="7"/>
      <c r="AF2" s="7"/>
      <c r="AG2" s="7"/>
      <c r="AH2" s="7"/>
      <c r="AI2" s="7"/>
      <c r="AJ2" s="7"/>
      <c r="AK2" s="7"/>
    </row>
    <row r="3">
      <c r="A3" s="17"/>
      <c r="B3" s="1"/>
      <c r="C3" s="18"/>
      <c r="D3" s="19"/>
      <c r="E3" s="22"/>
      <c r="F3" s="23"/>
      <c r="J3" s="24" t="s">
        <v>5</v>
      </c>
      <c r="K3" s="25"/>
      <c r="L3" s="26">
        <v>8090.0</v>
      </c>
      <c r="M3" s="26">
        <v>4130.0</v>
      </c>
      <c r="N3" s="27"/>
      <c r="O3" s="26">
        <v>1050.0</v>
      </c>
      <c r="P3" s="26">
        <v>130.0</v>
      </c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>
      <c r="A4" s="28"/>
      <c r="B4" s="280"/>
      <c r="C4" s="29"/>
      <c r="D4" s="10" t="s">
        <v>6</v>
      </c>
      <c r="E4" s="22"/>
      <c r="F4" s="23"/>
      <c r="J4" s="24" t="s">
        <v>7</v>
      </c>
      <c r="K4" s="30">
        <v>2000.0</v>
      </c>
      <c r="L4" s="31"/>
      <c r="M4" s="27"/>
      <c r="N4" s="27">
        <v>200.0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32" t="s">
        <v>8</v>
      </c>
      <c r="B5" s="33"/>
      <c r="C5" s="33">
        <f>SUMIFS(K7:AA7,K7:AA7,"&gt;0")</f>
        <v>14180</v>
      </c>
      <c r="D5" s="34">
        <v>1.248728083E9</v>
      </c>
      <c r="E5" s="23"/>
      <c r="F5" s="23"/>
      <c r="H5" s="281">
        <f>sum(H10:H99)-C6</f>
        <v>14182</v>
      </c>
      <c r="J5" s="35" t="s">
        <v>9</v>
      </c>
      <c r="K5" s="36" t="s">
        <v>10</v>
      </c>
      <c r="L5" s="37" t="s">
        <v>10</v>
      </c>
      <c r="M5" s="37" t="s">
        <v>10</v>
      </c>
      <c r="N5" s="37" t="s">
        <v>11</v>
      </c>
      <c r="O5" s="37" t="s">
        <v>10</v>
      </c>
      <c r="P5" s="37" t="s">
        <v>11</v>
      </c>
      <c r="Q5" s="36" t="s">
        <v>10</v>
      </c>
      <c r="R5" s="37" t="s">
        <v>10</v>
      </c>
      <c r="S5" s="37" t="s">
        <v>10</v>
      </c>
      <c r="T5" s="37" t="s">
        <v>10</v>
      </c>
      <c r="U5" s="37" t="s">
        <v>10</v>
      </c>
      <c r="V5" s="37" t="s">
        <v>10</v>
      </c>
      <c r="W5" s="37" t="s">
        <v>10</v>
      </c>
      <c r="X5" s="37" t="s">
        <v>10</v>
      </c>
      <c r="Y5" s="37" t="s">
        <v>10</v>
      </c>
      <c r="Z5" s="37" t="s">
        <v>10</v>
      </c>
      <c r="AA5" s="37" t="s">
        <v>10</v>
      </c>
    </row>
    <row r="6">
      <c r="A6" s="38" t="s">
        <v>12</v>
      </c>
      <c r="B6" s="39"/>
      <c r="C6" s="39">
        <f>SUMIFS(K7:AA7,K7:AA7,"&lt;0")</f>
        <v>-3600</v>
      </c>
      <c r="D6" s="34" t="s">
        <v>13</v>
      </c>
      <c r="E6" s="23"/>
      <c r="F6" s="23"/>
      <c r="J6" s="40" t="s">
        <v>14</v>
      </c>
      <c r="K6" s="41">
        <f t="shared" ref="K6:AA6" si="1">COUNTIFS(K10:K56,"&lt;&gt;",K10:K56,"&lt;&gt;-")</f>
        <v>8</v>
      </c>
      <c r="L6" s="41">
        <f t="shared" si="1"/>
        <v>28</v>
      </c>
      <c r="M6" s="41">
        <f t="shared" si="1"/>
        <v>32</v>
      </c>
      <c r="N6" s="41">
        <f t="shared" si="1"/>
        <v>8</v>
      </c>
      <c r="O6" s="41">
        <f t="shared" si="1"/>
        <v>22</v>
      </c>
      <c r="P6" s="41">
        <f t="shared" si="1"/>
        <v>7</v>
      </c>
      <c r="Q6" s="41">
        <f t="shared" si="1"/>
        <v>0</v>
      </c>
      <c r="R6" s="41">
        <f t="shared" si="1"/>
        <v>0</v>
      </c>
      <c r="S6" s="41">
        <f t="shared" si="1"/>
        <v>0</v>
      </c>
      <c r="T6" s="41">
        <f t="shared" si="1"/>
        <v>0</v>
      </c>
      <c r="U6" s="41">
        <f t="shared" si="1"/>
        <v>0</v>
      </c>
      <c r="V6" s="41">
        <f t="shared" si="1"/>
        <v>0</v>
      </c>
      <c r="W6" s="41">
        <f t="shared" si="1"/>
        <v>0</v>
      </c>
      <c r="X6" s="41">
        <f t="shared" si="1"/>
        <v>0</v>
      </c>
      <c r="Y6" s="41">
        <f t="shared" si="1"/>
        <v>0</v>
      </c>
      <c r="Z6" s="41">
        <f t="shared" si="1"/>
        <v>0</v>
      </c>
      <c r="AA6" s="41">
        <f t="shared" si="1"/>
        <v>0</v>
      </c>
    </row>
    <row r="7">
      <c r="A7" s="42" t="s">
        <v>15</v>
      </c>
      <c r="B7" s="39"/>
      <c r="C7" s="39">
        <f>SUM(G10:G56)</f>
        <v>10582</v>
      </c>
      <c r="D7" s="34">
        <v>3030.0</v>
      </c>
      <c r="E7" s="23"/>
      <c r="F7" s="23"/>
      <c r="J7" s="40" t="s">
        <v>16</v>
      </c>
      <c r="K7" s="43">
        <f t="shared" ref="K7:Z7" si="2">IF(K5="A - Rozdělit",K3-K4,IF(K5="B - Na hlavu",(K3-K4)*K6,"0"))</f>
        <v>-2000</v>
      </c>
      <c r="L7" s="43">
        <f t="shared" si="2"/>
        <v>8090</v>
      </c>
      <c r="M7" s="43">
        <f t="shared" si="2"/>
        <v>4130</v>
      </c>
      <c r="N7" s="43">
        <f t="shared" si="2"/>
        <v>-1600</v>
      </c>
      <c r="O7" s="43">
        <f t="shared" si="2"/>
        <v>1050</v>
      </c>
      <c r="P7" s="43">
        <f t="shared" si="2"/>
        <v>910</v>
      </c>
      <c r="Q7" s="43">
        <f t="shared" si="2"/>
        <v>0</v>
      </c>
      <c r="R7" s="43">
        <f t="shared" si="2"/>
        <v>0</v>
      </c>
      <c r="S7" s="43">
        <f t="shared" si="2"/>
        <v>0</v>
      </c>
      <c r="T7" s="43">
        <f t="shared" si="2"/>
        <v>0</v>
      </c>
      <c r="U7" s="43">
        <f t="shared" si="2"/>
        <v>0</v>
      </c>
      <c r="V7" s="43">
        <f t="shared" si="2"/>
        <v>0</v>
      </c>
      <c r="W7" s="43">
        <f t="shared" si="2"/>
        <v>0</v>
      </c>
      <c r="X7" s="43">
        <f t="shared" si="2"/>
        <v>0</v>
      </c>
      <c r="Y7" s="43">
        <f t="shared" si="2"/>
        <v>0</v>
      </c>
      <c r="Z7" s="43">
        <f t="shared" si="2"/>
        <v>0</v>
      </c>
      <c r="AA7" s="44">
        <v>0.0</v>
      </c>
    </row>
    <row r="8">
      <c r="A8" s="45" t="s">
        <v>17</v>
      </c>
      <c r="B8" s="46"/>
      <c r="C8" s="46">
        <f>C7-C6-C5</f>
        <v>2</v>
      </c>
      <c r="D8" s="47"/>
      <c r="E8" s="48"/>
      <c r="F8" s="48"/>
      <c r="J8" s="49" t="s">
        <v>18</v>
      </c>
      <c r="K8" s="50">
        <f t="shared" ref="K8:AA8" si="3">IF(K5="A - Rozdělit",(K3-K4)/K6,IF(K5="B - Na hlavu",K3-K4,"0"))</f>
        <v>-250</v>
      </c>
      <c r="L8" s="50">
        <f t="shared" si="3"/>
        <v>288.9285714</v>
      </c>
      <c r="M8" s="50">
        <f t="shared" si="3"/>
        <v>129.0625</v>
      </c>
      <c r="N8" s="50">
        <f t="shared" si="3"/>
        <v>-200</v>
      </c>
      <c r="O8" s="50">
        <f t="shared" si="3"/>
        <v>47.72727273</v>
      </c>
      <c r="P8" s="50">
        <f t="shared" si="3"/>
        <v>130</v>
      </c>
      <c r="Q8" s="50" t="str">
        <f t="shared" si="3"/>
        <v>#DIV/0!</v>
      </c>
      <c r="R8" s="50" t="str">
        <f t="shared" si="3"/>
        <v>#DIV/0!</v>
      </c>
      <c r="S8" s="50" t="str">
        <f t="shared" si="3"/>
        <v>#DIV/0!</v>
      </c>
      <c r="T8" s="50" t="str">
        <f t="shared" si="3"/>
        <v>#DIV/0!</v>
      </c>
      <c r="U8" s="50" t="str">
        <f t="shared" si="3"/>
        <v>#DIV/0!</v>
      </c>
      <c r="V8" s="50" t="str">
        <f t="shared" si="3"/>
        <v>#DIV/0!</v>
      </c>
      <c r="W8" s="50" t="str">
        <f t="shared" si="3"/>
        <v>#DIV/0!</v>
      </c>
      <c r="X8" s="50" t="str">
        <f t="shared" si="3"/>
        <v>#DIV/0!</v>
      </c>
      <c r="Y8" s="50" t="str">
        <f t="shared" si="3"/>
        <v>#DIV/0!</v>
      </c>
      <c r="Z8" s="50" t="str">
        <f t="shared" si="3"/>
        <v>#DIV/0!</v>
      </c>
      <c r="AA8" s="50" t="str">
        <f t="shared" si="3"/>
        <v>#DIV/0!</v>
      </c>
    </row>
    <row r="9">
      <c r="A9" s="282" t="s">
        <v>19</v>
      </c>
      <c r="B9" s="283" t="s">
        <v>159</v>
      </c>
      <c r="C9" s="284" t="s">
        <v>20</v>
      </c>
      <c r="D9" s="285" t="s">
        <v>21</v>
      </c>
      <c r="E9" s="286" t="s">
        <v>22</v>
      </c>
      <c r="F9" s="287" t="s">
        <v>160</v>
      </c>
      <c r="G9" s="288" t="s">
        <v>161</v>
      </c>
      <c r="H9" s="289" t="s">
        <v>162</v>
      </c>
      <c r="I9" s="289" t="s">
        <v>25</v>
      </c>
      <c r="J9" s="290" t="s">
        <v>26</v>
      </c>
      <c r="K9" s="291" t="s">
        <v>27</v>
      </c>
      <c r="L9" s="291"/>
      <c r="M9" s="291"/>
      <c r="N9" s="291"/>
      <c r="O9" s="291"/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2"/>
      <c r="AB9" s="293"/>
      <c r="AC9" s="293"/>
      <c r="AD9" s="293"/>
      <c r="AE9" s="293"/>
      <c r="AF9" s="293"/>
      <c r="AG9" s="293"/>
      <c r="AH9" s="293"/>
      <c r="AI9" s="293"/>
      <c r="AJ9" s="293"/>
      <c r="AK9" s="293"/>
    </row>
    <row r="10" ht="20.25" customHeight="1">
      <c r="A10" s="294">
        <v>1.0</v>
      </c>
      <c r="B10" s="295"/>
      <c r="C10" s="296" t="s">
        <v>163</v>
      </c>
      <c r="D10" s="297" t="str">
        <f t="shared" ref="D10:D56" si="4">"https://api.paylibo.com/paylibo/generator/czech/image?accountNumber="&amp;$D$5&amp;"&amp;bankCode="&amp;$D$7&amp;"&amp;amount="&amp;J10&amp;"&amp;currency=CZK&amp;message=Kamenice-"&amp;ENCODEURL(C10)</f>
        <v>https://api.paylibo.com/paylibo/generator/czech/image?accountNumber=1248728083&amp;bankCode=3030&amp;amount=466&amp;currency=CZK&amp;message=Kamenice-Blechov%C3%A1%20Marie</v>
      </c>
      <c r="E10" s="298" t="str">
        <f t="shared" ref="E10:E56" si="5">IMAGE(D10,4,150,150)</f>
        <v/>
      </c>
      <c r="F10" s="298">
        <f t="shared" ref="F10:F56" si="6">SUMIFS($K$8:$AA$8,K10:AA10,"&lt;&gt;",K10:AA10,"&lt;&gt;-")</f>
        <v>465.7183442</v>
      </c>
      <c r="G10" s="299">
        <f t="shared" ref="G10:G56" si="7">ROUNDUP(F10,0)</f>
        <v>466</v>
      </c>
      <c r="H10" s="300"/>
      <c r="I10" s="301"/>
      <c r="J10" s="302">
        <f t="shared" ref="J10:J56" si="8">G10-I10</f>
        <v>466</v>
      </c>
      <c r="K10" s="303"/>
      <c r="L10" s="304" t="s">
        <v>69</v>
      </c>
      <c r="M10" s="304" t="s">
        <v>69</v>
      </c>
      <c r="N10" s="304"/>
      <c r="O10" s="304" t="s">
        <v>69</v>
      </c>
      <c r="P10" s="304"/>
      <c r="Q10" s="304"/>
      <c r="R10" s="305"/>
      <c r="S10" s="304"/>
      <c r="T10" s="305"/>
      <c r="U10" s="305"/>
      <c r="V10" s="305"/>
      <c r="W10" s="305"/>
      <c r="X10" s="306"/>
      <c r="Y10" s="305"/>
      <c r="Z10" s="305"/>
      <c r="AA10" s="307"/>
      <c r="AB10" s="308"/>
      <c r="AC10" s="308"/>
      <c r="AD10" s="308"/>
      <c r="AE10" s="308"/>
      <c r="AF10" s="308"/>
      <c r="AG10" s="308"/>
      <c r="AH10" s="308"/>
      <c r="AI10" s="308"/>
      <c r="AJ10" s="308"/>
      <c r="AK10" s="308"/>
    </row>
    <row r="11" ht="20.25" customHeight="1">
      <c r="A11" s="309">
        <v>3.0</v>
      </c>
      <c r="B11" s="310"/>
      <c r="C11" s="311" t="s">
        <v>164</v>
      </c>
      <c r="D11" s="312" t="str">
        <f t="shared" si="4"/>
        <v>https://api.paylibo.com/paylibo/generator/czech/image?accountNumber=1248728083&amp;bankCode=3030&amp;amount=466&amp;currency=CZK&amp;message=Kamenice-Hlad%C3%ADk%20Hubert</v>
      </c>
      <c r="E11" s="313" t="str">
        <f t="shared" si="5"/>
        <v/>
      </c>
      <c r="F11" s="313">
        <f t="shared" si="6"/>
        <v>465.7183442</v>
      </c>
      <c r="G11" s="314">
        <f t="shared" si="7"/>
        <v>466</v>
      </c>
      <c r="H11" s="314"/>
      <c r="I11" s="314"/>
      <c r="J11" s="315">
        <f t="shared" si="8"/>
        <v>466</v>
      </c>
      <c r="K11" s="316"/>
      <c r="L11" s="317" t="s">
        <v>69</v>
      </c>
      <c r="M11" s="317" t="s">
        <v>69</v>
      </c>
      <c r="N11" s="317"/>
      <c r="O11" s="317" t="s">
        <v>69</v>
      </c>
      <c r="P11" s="317"/>
      <c r="Q11" s="317"/>
      <c r="R11" s="317"/>
      <c r="S11" s="317"/>
      <c r="T11" s="318"/>
      <c r="U11" s="318"/>
      <c r="V11" s="318"/>
      <c r="W11" s="318"/>
      <c r="X11" s="317"/>
      <c r="Y11" s="318"/>
      <c r="Z11" s="318"/>
      <c r="AA11" s="319"/>
      <c r="AB11" s="308"/>
      <c r="AC11" s="308"/>
      <c r="AD11" s="308"/>
      <c r="AE11" s="308"/>
      <c r="AF11" s="308"/>
      <c r="AG11" s="308"/>
      <c r="AH11" s="308"/>
      <c r="AI11" s="308"/>
      <c r="AJ11" s="308"/>
      <c r="AK11" s="308"/>
    </row>
    <row r="12" ht="20.25" customHeight="1">
      <c r="A12" s="309">
        <v>4.0</v>
      </c>
      <c r="B12" s="310"/>
      <c r="C12" s="311" t="s">
        <v>165</v>
      </c>
      <c r="D12" s="312" t="str">
        <f t="shared" si="4"/>
        <v>https://api.paylibo.com/paylibo/generator/czech/image?accountNumber=1248728083&amp;bankCode=3030&amp;amount=466&amp;currency=CZK&amp;message=Kamenice-O%C5%A1%C5%A5%C3%A1dalov%C3%A1%20Tereza</v>
      </c>
      <c r="E12" s="313" t="str">
        <f t="shared" si="5"/>
        <v/>
      </c>
      <c r="F12" s="313">
        <f t="shared" si="6"/>
        <v>465.7183442</v>
      </c>
      <c r="G12" s="314">
        <f t="shared" si="7"/>
        <v>466</v>
      </c>
      <c r="H12" s="320"/>
      <c r="I12" s="320"/>
      <c r="J12" s="315">
        <f t="shared" si="8"/>
        <v>466</v>
      </c>
      <c r="K12" s="316"/>
      <c r="L12" s="317" t="s">
        <v>69</v>
      </c>
      <c r="M12" s="317" t="s">
        <v>69</v>
      </c>
      <c r="N12" s="317"/>
      <c r="O12" s="317" t="s">
        <v>69</v>
      </c>
      <c r="P12" s="317"/>
      <c r="Q12" s="317"/>
      <c r="R12" s="317"/>
      <c r="S12" s="317"/>
      <c r="T12" s="318"/>
      <c r="U12" s="318"/>
      <c r="V12" s="318"/>
      <c r="W12" s="318"/>
      <c r="X12" s="317"/>
      <c r="Y12" s="318"/>
      <c r="Z12" s="318"/>
      <c r="AA12" s="319"/>
      <c r="AB12" s="308"/>
      <c r="AC12" s="308"/>
      <c r="AD12" s="308"/>
      <c r="AE12" s="308"/>
      <c r="AF12" s="308"/>
      <c r="AG12" s="308"/>
      <c r="AH12" s="308"/>
      <c r="AI12" s="308"/>
      <c r="AJ12" s="308"/>
      <c r="AK12" s="308"/>
    </row>
    <row r="13" ht="20.25" customHeight="1">
      <c r="A13" s="309">
        <v>5.0</v>
      </c>
      <c r="B13" s="310"/>
      <c r="C13" s="311" t="s">
        <v>166</v>
      </c>
      <c r="D13" s="312" t="str">
        <f t="shared" si="4"/>
        <v>https://api.paylibo.com/paylibo/generator/czech/image?accountNumber=1248728083&amp;bankCode=3030&amp;amount=466&amp;currency=CZK&amp;message=Kamenice-Milotov%C3%A1%20Lada</v>
      </c>
      <c r="E13" s="313" t="str">
        <f t="shared" si="5"/>
        <v/>
      </c>
      <c r="F13" s="313">
        <f t="shared" si="6"/>
        <v>465.7183442</v>
      </c>
      <c r="G13" s="314">
        <f t="shared" si="7"/>
        <v>466</v>
      </c>
      <c r="H13" s="320"/>
      <c r="I13" s="320"/>
      <c r="J13" s="315">
        <f t="shared" si="8"/>
        <v>466</v>
      </c>
      <c r="K13" s="316"/>
      <c r="L13" s="317" t="s">
        <v>69</v>
      </c>
      <c r="M13" s="317" t="s">
        <v>69</v>
      </c>
      <c r="N13" s="317"/>
      <c r="O13" s="317" t="s">
        <v>69</v>
      </c>
      <c r="P13" s="317"/>
      <c r="Q13" s="317"/>
      <c r="R13" s="317"/>
      <c r="S13" s="317"/>
      <c r="T13" s="318"/>
      <c r="U13" s="318"/>
      <c r="V13" s="318"/>
      <c r="W13" s="318"/>
      <c r="X13" s="317"/>
      <c r="Y13" s="318"/>
      <c r="Z13" s="318"/>
      <c r="AA13" s="319"/>
      <c r="AB13" s="308"/>
      <c r="AC13" s="308"/>
      <c r="AD13" s="308"/>
      <c r="AE13" s="308"/>
      <c r="AF13" s="308"/>
      <c r="AG13" s="308"/>
      <c r="AH13" s="308"/>
      <c r="AI13" s="308"/>
      <c r="AJ13" s="308"/>
      <c r="AK13" s="308"/>
    </row>
    <row r="14" ht="20.25" customHeight="1">
      <c r="A14" s="309">
        <v>6.0</v>
      </c>
      <c r="B14" s="310"/>
      <c r="C14" s="311" t="s">
        <v>167</v>
      </c>
      <c r="D14" s="312" t="str">
        <f t="shared" si="4"/>
        <v>https://api.paylibo.com/paylibo/generator/czech/image?accountNumber=1248728083&amp;bankCode=3030&amp;amount=466&amp;currency=CZK&amp;message=Kamenice-Honskus%20J%C3%A1chym</v>
      </c>
      <c r="E14" s="313" t="str">
        <f t="shared" si="5"/>
        <v/>
      </c>
      <c r="F14" s="313">
        <f t="shared" si="6"/>
        <v>465.7183442</v>
      </c>
      <c r="G14" s="314">
        <f t="shared" si="7"/>
        <v>466</v>
      </c>
      <c r="H14" s="320"/>
      <c r="I14" s="320"/>
      <c r="J14" s="315">
        <f t="shared" si="8"/>
        <v>466</v>
      </c>
      <c r="K14" s="316"/>
      <c r="L14" s="317" t="s">
        <v>69</v>
      </c>
      <c r="M14" s="317" t="s">
        <v>69</v>
      </c>
      <c r="N14" s="317"/>
      <c r="O14" s="317" t="s">
        <v>69</v>
      </c>
      <c r="P14" s="317"/>
      <c r="Q14" s="317"/>
      <c r="R14" s="317"/>
      <c r="S14" s="317"/>
      <c r="T14" s="318"/>
      <c r="U14" s="318"/>
      <c r="V14" s="318"/>
      <c r="W14" s="318"/>
      <c r="X14" s="317"/>
      <c r="Y14" s="318"/>
      <c r="Z14" s="318"/>
      <c r="AA14" s="319"/>
      <c r="AB14" s="308"/>
      <c r="AC14" s="308"/>
      <c r="AD14" s="308"/>
      <c r="AE14" s="308"/>
      <c r="AF14" s="308"/>
      <c r="AG14" s="308"/>
      <c r="AH14" s="308"/>
      <c r="AI14" s="308"/>
      <c r="AJ14" s="308"/>
      <c r="AK14" s="308"/>
    </row>
    <row r="15" ht="20.25" customHeight="1">
      <c r="A15" s="309">
        <v>7.0</v>
      </c>
      <c r="B15" s="310"/>
      <c r="C15" s="311" t="s">
        <v>168</v>
      </c>
      <c r="D15" s="312" t="str">
        <f t="shared" si="4"/>
        <v>https://api.paylibo.com/paylibo/generator/czech/image?accountNumber=1248728083&amp;bankCode=3030&amp;amount=466&amp;currency=CZK&amp;message=Kamenice-Proch%C3%A1zka%20Ji%C5%99%C3%AD</v>
      </c>
      <c r="E15" s="313" t="str">
        <f t="shared" si="5"/>
        <v/>
      </c>
      <c r="F15" s="313">
        <f t="shared" si="6"/>
        <v>465.7183442</v>
      </c>
      <c r="G15" s="314">
        <f t="shared" si="7"/>
        <v>466</v>
      </c>
      <c r="H15" s="314"/>
      <c r="I15" s="314"/>
      <c r="J15" s="315">
        <f t="shared" si="8"/>
        <v>466</v>
      </c>
      <c r="K15" s="316"/>
      <c r="L15" s="317" t="s">
        <v>69</v>
      </c>
      <c r="M15" s="317" t="s">
        <v>69</v>
      </c>
      <c r="N15" s="317"/>
      <c r="O15" s="317" t="s">
        <v>69</v>
      </c>
      <c r="P15" s="317"/>
      <c r="Q15" s="317"/>
      <c r="R15" s="317"/>
      <c r="S15" s="317"/>
      <c r="T15" s="318"/>
      <c r="U15" s="318"/>
      <c r="V15" s="318"/>
      <c r="W15" s="318"/>
      <c r="X15" s="317"/>
      <c r="Y15" s="318"/>
      <c r="Z15" s="318"/>
      <c r="AA15" s="319"/>
      <c r="AB15" s="308"/>
      <c r="AC15" s="308"/>
      <c r="AD15" s="308"/>
      <c r="AE15" s="308"/>
      <c r="AF15" s="308"/>
      <c r="AG15" s="308"/>
      <c r="AH15" s="308"/>
      <c r="AI15" s="308"/>
      <c r="AJ15" s="308"/>
      <c r="AK15" s="308"/>
    </row>
    <row r="16" ht="20.25" customHeight="1">
      <c r="A16" s="309">
        <v>8.0</v>
      </c>
      <c r="B16" s="310"/>
      <c r="C16" s="311" t="s">
        <v>169</v>
      </c>
      <c r="D16" s="312" t="str">
        <f t="shared" si="4"/>
        <v>https://api.paylibo.com/paylibo/generator/czech/image?accountNumber=1248728083&amp;bankCode=3030&amp;amount=466&amp;currency=CZK&amp;message=Kamenice-Kuklov%C3%A1%20Anna</v>
      </c>
      <c r="E16" s="313" t="str">
        <f t="shared" si="5"/>
        <v/>
      </c>
      <c r="F16" s="313">
        <f t="shared" si="6"/>
        <v>465.7183442</v>
      </c>
      <c r="G16" s="314">
        <f t="shared" si="7"/>
        <v>466</v>
      </c>
      <c r="H16" s="314"/>
      <c r="I16" s="314"/>
      <c r="J16" s="315">
        <f t="shared" si="8"/>
        <v>466</v>
      </c>
      <c r="K16" s="316"/>
      <c r="L16" s="317" t="s">
        <v>69</v>
      </c>
      <c r="M16" s="317" t="s">
        <v>69</v>
      </c>
      <c r="N16" s="317"/>
      <c r="O16" s="317" t="s">
        <v>69</v>
      </c>
      <c r="P16" s="317"/>
      <c r="Q16" s="317"/>
      <c r="R16" s="317"/>
      <c r="S16" s="317"/>
      <c r="T16" s="318"/>
      <c r="U16" s="318"/>
      <c r="V16" s="318"/>
      <c r="W16" s="318"/>
      <c r="X16" s="317"/>
      <c r="Y16" s="318"/>
      <c r="Z16" s="318"/>
      <c r="AA16" s="319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</row>
    <row r="17" ht="20.25" customHeight="1">
      <c r="A17" s="309">
        <v>9.0</v>
      </c>
      <c r="B17" s="310"/>
      <c r="C17" s="311" t="s">
        <v>170</v>
      </c>
      <c r="D17" s="312" t="str">
        <f t="shared" si="4"/>
        <v>https://api.paylibo.com/paylibo/generator/czech/image?accountNumber=1248728083&amp;bankCode=3030&amp;amount=466&amp;currency=CZK&amp;message=Kamenice-Kukla%20Jarom%C3%ADr</v>
      </c>
      <c r="E17" s="313" t="str">
        <f t="shared" si="5"/>
        <v/>
      </c>
      <c r="F17" s="313">
        <f t="shared" si="6"/>
        <v>465.7183442</v>
      </c>
      <c r="G17" s="314">
        <f t="shared" si="7"/>
        <v>466</v>
      </c>
      <c r="H17" s="320"/>
      <c r="I17" s="320"/>
      <c r="J17" s="315">
        <f t="shared" si="8"/>
        <v>466</v>
      </c>
      <c r="K17" s="316"/>
      <c r="L17" s="317" t="s">
        <v>69</v>
      </c>
      <c r="M17" s="317" t="s">
        <v>69</v>
      </c>
      <c r="N17" s="317"/>
      <c r="O17" s="317" t="s">
        <v>69</v>
      </c>
      <c r="P17" s="317"/>
      <c r="Q17" s="317"/>
      <c r="R17" s="317"/>
      <c r="S17" s="317"/>
      <c r="T17" s="318"/>
      <c r="U17" s="318"/>
      <c r="V17" s="318"/>
      <c r="W17" s="318"/>
      <c r="X17" s="317"/>
      <c r="Y17" s="318"/>
      <c r="Z17" s="318"/>
      <c r="AA17" s="319"/>
      <c r="AB17" s="308"/>
      <c r="AC17" s="308"/>
      <c r="AD17" s="308"/>
      <c r="AE17" s="308"/>
      <c r="AF17" s="308"/>
      <c r="AG17" s="308"/>
      <c r="AH17" s="308"/>
      <c r="AI17" s="308"/>
      <c r="AJ17" s="308"/>
      <c r="AK17" s="308"/>
    </row>
    <row r="18" ht="20.25" customHeight="1">
      <c r="A18" s="309">
        <v>10.0</v>
      </c>
      <c r="B18" s="310"/>
      <c r="C18" s="311" t="s">
        <v>171</v>
      </c>
      <c r="D18" s="312" t="str">
        <f t="shared" si="4"/>
        <v>https://api.paylibo.com/paylibo/generator/czech/image?accountNumber=1248728083&amp;bankCode=3030&amp;amount=466&amp;currency=CZK&amp;message=Kamenice-Iacono%20Brigida</v>
      </c>
      <c r="E18" s="313" t="str">
        <f t="shared" si="5"/>
        <v/>
      </c>
      <c r="F18" s="313">
        <f t="shared" si="6"/>
        <v>465.7183442</v>
      </c>
      <c r="G18" s="314">
        <f t="shared" si="7"/>
        <v>466</v>
      </c>
      <c r="H18" s="320"/>
      <c r="I18" s="320"/>
      <c r="J18" s="315">
        <f t="shared" si="8"/>
        <v>466</v>
      </c>
      <c r="K18" s="316"/>
      <c r="L18" s="317" t="s">
        <v>69</v>
      </c>
      <c r="M18" s="317" t="s">
        <v>69</v>
      </c>
      <c r="N18" s="317"/>
      <c r="O18" s="317" t="s">
        <v>69</v>
      </c>
      <c r="P18" s="317"/>
      <c r="Q18" s="317"/>
      <c r="R18" s="317"/>
      <c r="S18" s="317"/>
      <c r="T18" s="318"/>
      <c r="U18" s="318"/>
      <c r="V18" s="318"/>
      <c r="W18" s="318"/>
      <c r="X18" s="317"/>
      <c r="Y18" s="318"/>
      <c r="Z18" s="318"/>
      <c r="AA18" s="319"/>
      <c r="AB18" s="308"/>
      <c r="AC18" s="308"/>
      <c r="AD18" s="308"/>
      <c r="AE18" s="308"/>
      <c r="AF18" s="308"/>
      <c r="AG18" s="308"/>
      <c r="AH18" s="308"/>
      <c r="AI18" s="308"/>
      <c r="AJ18" s="308"/>
      <c r="AK18" s="308"/>
    </row>
    <row r="19" ht="20.25" customHeight="1">
      <c r="A19" s="309">
        <v>11.0</v>
      </c>
      <c r="B19" s="310"/>
      <c r="C19" s="311" t="s">
        <v>172</v>
      </c>
      <c r="D19" s="312" t="str">
        <f t="shared" si="4"/>
        <v>https://api.paylibo.com/paylibo/generator/czech/image?accountNumber=1248728083&amp;bankCode=3030&amp;amount=466&amp;currency=CZK&amp;message=Kamenice-Leg%C3%A1t%20Kuba</v>
      </c>
      <c r="E19" s="313" t="str">
        <f t="shared" si="5"/>
        <v/>
      </c>
      <c r="F19" s="313">
        <f t="shared" si="6"/>
        <v>465.7183442</v>
      </c>
      <c r="G19" s="314">
        <f t="shared" si="7"/>
        <v>466</v>
      </c>
      <c r="H19" s="320"/>
      <c r="I19" s="320"/>
      <c r="J19" s="315">
        <f t="shared" si="8"/>
        <v>466</v>
      </c>
      <c r="K19" s="316"/>
      <c r="L19" s="317" t="s">
        <v>69</v>
      </c>
      <c r="M19" s="317" t="s">
        <v>69</v>
      </c>
      <c r="N19" s="317"/>
      <c r="O19" s="317" t="s">
        <v>69</v>
      </c>
      <c r="P19" s="317"/>
      <c r="Q19" s="317"/>
      <c r="R19" s="317"/>
      <c r="S19" s="317"/>
      <c r="T19" s="318"/>
      <c r="U19" s="318"/>
      <c r="V19" s="318"/>
      <c r="W19" s="318"/>
      <c r="X19" s="317"/>
      <c r="Y19" s="318"/>
      <c r="Z19" s="318"/>
      <c r="AA19" s="319"/>
      <c r="AB19" s="308"/>
      <c r="AC19" s="308"/>
      <c r="AD19" s="308"/>
      <c r="AE19" s="308"/>
      <c r="AF19" s="308"/>
      <c r="AG19" s="308"/>
      <c r="AH19" s="308"/>
      <c r="AI19" s="308"/>
      <c r="AJ19" s="308"/>
      <c r="AK19" s="308"/>
    </row>
    <row r="20" ht="20.25" customHeight="1">
      <c r="A20" s="309">
        <v>12.0</v>
      </c>
      <c r="B20" s="310"/>
      <c r="C20" s="311" t="s">
        <v>173</v>
      </c>
      <c r="D20" s="312" t="str">
        <f t="shared" si="4"/>
        <v>https://api.paylibo.com/paylibo/generator/czech/image?accountNumber=1248728083&amp;bankCode=3030&amp;amount=466&amp;currency=CZK&amp;message=Kamenice-Leg%C3%A1t%20David</v>
      </c>
      <c r="E20" s="313" t="str">
        <f t="shared" si="5"/>
        <v/>
      </c>
      <c r="F20" s="313">
        <f t="shared" si="6"/>
        <v>465.7183442</v>
      </c>
      <c r="G20" s="314">
        <f t="shared" si="7"/>
        <v>466</v>
      </c>
      <c r="H20" s="320"/>
      <c r="I20" s="320"/>
      <c r="J20" s="315">
        <f t="shared" si="8"/>
        <v>466</v>
      </c>
      <c r="K20" s="316"/>
      <c r="L20" s="317" t="s">
        <v>69</v>
      </c>
      <c r="M20" s="317" t="s">
        <v>69</v>
      </c>
      <c r="N20" s="317"/>
      <c r="O20" s="317" t="s">
        <v>69</v>
      </c>
      <c r="P20" s="317"/>
      <c r="Q20" s="321"/>
      <c r="R20" s="317"/>
      <c r="S20" s="321"/>
      <c r="T20" s="318"/>
      <c r="U20" s="318"/>
      <c r="V20" s="318"/>
      <c r="W20" s="318"/>
      <c r="X20" s="317"/>
      <c r="Y20" s="318"/>
      <c r="Z20" s="318"/>
      <c r="AA20" s="319"/>
      <c r="AB20" s="308"/>
      <c r="AC20" s="308"/>
      <c r="AD20" s="308"/>
      <c r="AE20" s="308"/>
      <c r="AF20" s="308"/>
      <c r="AG20" s="308"/>
      <c r="AH20" s="308"/>
      <c r="AI20" s="308"/>
      <c r="AJ20" s="308"/>
      <c r="AK20" s="308"/>
    </row>
    <row r="21" ht="20.25" customHeight="1">
      <c r="A21" s="309">
        <v>13.0</v>
      </c>
      <c r="B21" s="310"/>
      <c r="C21" s="311" t="s">
        <v>174</v>
      </c>
      <c r="D21" s="312" t="str">
        <f t="shared" si="4"/>
        <v>https://api.paylibo.com/paylibo/generator/czech/image?accountNumber=1248728083&amp;bankCode=3030&amp;amount=466&amp;currency=CZK&amp;message=Kamenice-Hillerov%C3%A1%20M%C3%A1ja</v>
      </c>
      <c r="E21" s="313" t="str">
        <f t="shared" si="5"/>
        <v/>
      </c>
      <c r="F21" s="313">
        <f t="shared" si="6"/>
        <v>465.7183442</v>
      </c>
      <c r="G21" s="314">
        <f t="shared" si="7"/>
        <v>466</v>
      </c>
      <c r="H21" s="320"/>
      <c r="I21" s="320"/>
      <c r="J21" s="315">
        <f t="shared" si="8"/>
        <v>466</v>
      </c>
      <c r="K21" s="316"/>
      <c r="L21" s="317" t="s">
        <v>69</v>
      </c>
      <c r="M21" s="317" t="s">
        <v>69</v>
      </c>
      <c r="N21" s="317"/>
      <c r="O21" s="317" t="s">
        <v>69</v>
      </c>
      <c r="P21" s="317"/>
      <c r="Q21" s="321"/>
      <c r="R21" s="317"/>
      <c r="S21" s="321"/>
      <c r="T21" s="318"/>
      <c r="U21" s="318"/>
      <c r="V21" s="318"/>
      <c r="W21" s="318"/>
      <c r="X21" s="317"/>
      <c r="Y21" s="318"/>
      <c r="Z21" s="318"/>
      <c r="AA21" s="319"/>
      <c r="AB21" s="308"/>
      <c r="AC21" s="308"/>
      <c r="AD21" s="308"/>
      <c r="AE21" s="308"/>
      <c r="AF21" s="308"/>
      <c r="AG21" s="308"/>
      <c r="AH21" s="308"/>
      <c r="AI21" s="308"/>
      <c r="AJ21" s="308"/>
      <c r="AK21" s="308"/>
    </row>
    <row r="22" ht="20.25" customHeight="1">
      <c r="A22" s="309">
        <v>14.0</v>
      </c>
      <c r="B22" s="310"/>
      <c r="C22" s="311" t="s">
        <v>175</v>
      </c>
      <c r="D22" s="312" t="str">
        <f t="shared" si="4"/>
        <v>https://api.paylibo.com/paylibo/generator/czech/image?accountNumber=1248728083&amp;bankCode=3030&amp;amount=466&amp;currency=CZK&amp;message=Kamenice-Krej%C4%8D%C3%AD%20So%C5%88a</v>
      </c>
      <c r="E22" s="313" t="str">
        <f t="shared" si="5"/>
        <v/>
      </c>
      <c r="F22" s="313">
        <f t="shared" si="6"/>
        <v>465.7183442</v>
      </c>
      <c r="G22" s="314">
        <f t="shared" si="7"/>
        <v>466</v>
      </c>
      <c r="H22" s="320"/>
      <c r="I22" s="320"/>
      <c r="J22" s="315">
        <f t="shared" si="8"/>
        <v>466</v>
      </c>
      <c r="K22" s="322"/>
      <c r="L22" s="317" t="s">
        <v>69</v>
      </c>
      <c r="M22" s="317" t="s">
        <v>69</v>
      </c>
      <c r="N22" s="317"/>
      <c r="O22" s="317" t="s">
        <v>69</v>
      </c>
      <c r="P22" s="317"/>
      <c r="Q22" s="321"/>
      <c r="R22" s="317"/>
      <c r="S22" s="321"/>
      <c r="T22" s="318"/>
      <c r="U22" s="318"/>
      <c r="V22" s="318"/>
      <c r="W22" s="318"/>
      <c r="X22" s="317"/>
      <c r="Y22" s="318"/>
      <c r="Z22" s="318"/>
      <c r="AA22" s="319"/>
      <c r="AB22" s="308"/>
      <c r="AC22" s="308"/>
      <c r="AD22" s="308"/>
      <c r="AE22" s="308"/>
      <c r="AF22" s="308"/>
      <c r="AG22" s="308"/>
      <c r="AH22" s="308"/>
      <c r="AI22" s="308"/>
      <c r="AJ22" s="308"/>
      <c r="AK22" s="308"/>
    </row>
    <row r="23" ht="20.25" customHeight="1">
      <c r="A23" s="309">
        <v>15.0</v>
      </c>
      <c r="B23" s="310"/>
      <c r="C23" s="311" t="s">
        <v>176</v>
      </c>
      <c r="D23" s="312" t="str">
        <f t="shared" si="4"/>
        <v>https://api.paylibo.com/paylibo/generator/czech/image?accountNumber=1248728083&amp;bankCode=3030&amp;amount=466&amp;currency=CZK&amp;message=Kamenice-Milotov%C3%A1%20Dora</v>
      </c>
      <c r="E23" s="313" t="str">
        <f t="shared" si="5"/>
        <v/>
      </c>
      <c r="F23" s="313">
        <f t="shared" si="6"/>
        <v>465.7183442</v>
      </c>
      <c r="G23" s="314">
        <f t="shared" si="7"/>
        <v>466</v>
      </c>
      <c r="H23" s="320"/>
      <c r="I23" s="320"/>
      <c r="J23" s="315">
        <f t="shared" si="8"/>
        <v>466</v>
      </c>
      <c r="K23" s="316"/>
      <c r="L23" s="317" t="s">
        <v>69</v>
      </c>
      <c r="M23" s="317" t="s">
        <v>69</v>
      </c>
      <c r="N23" s="317"/>
      <c r="O23" s="317" t="s">
        <v>69</v>
      </c>
      <c r="P23" s="317"/>
      <c r="Q23" s="317"/>
      <c r="R23" s="317"/>
      <c r="S23" s="317"/>
      <c r="T23" s="318"/>
      <c r="U23" s="318"/>
      <c r="V23" s="318"/>
      <c r="W23" s="318"/>
      <c r="X23" s="317"/>
      <c r="Y23" s="318"/>
      <c r="Z23" s="318"/>
      <c r="AA23" s="319"/>
      <c r="AB23" s="308"/>
      <c r="AC23" s="308"/>
      <c r="AD23" s="308"/>
      <c r="AE23" s="308"/>
      <c r="AF23" s="308"/>
      <c r="AG23" s="308"/>
      <c r="AH23" s="308"/>
      <c r="AI23" s="308"/>
      <c r="AJ23" s="308"/>
      <c r="AK23" s="308"/>
    </row>
    <row r="24" ht="20.25" customHeight="1">
      <c r="A24" s="309">
        <v>16.0</v>
      </c>
      <c r="B24" s="310"/>
      <c r="C24" s="311" t="s">
        <v>177</v>
      </c>
      <c r="D24" s="312" t="str">
        <f t="shared" si="4"/>
        <v>https://api.paylibo.com/paylibo/generator/czech/image?accountNumber=1248728083&amp;bankCode=3030&amp;amount=466&amp;currency=CZK&amp;message=Kamenice-Hillerov%C3%A1%20Ida</v>
      </c>
      <c r="E24" s="313" t="str">
        <f t="shared" si="5"/>
        <v/>
      </c>
      <c r="F24" s="313">
        <f t="shared" si="6"/>
        <v>465.7183442</v>
      </c>
      <c r="G24" s="314">
        <f t="shared" si="7"/>
        <v>466</v>
      </c>
      <c r="H24" s="320"/>
      <c r="I24" s="320"/>
      <c r="J24" s="315">
        <f t="shared" si="8"/>
        <v>466</v>
      </c>
      <c r="K24" s="322"/>
      <c r="L24" s="317" t="s">
        <v>69</v>
      </c>
      <c r="M24" s="317" t="s">
        <v>69</v>
      </c>
      <c r="N24" s="317"/>
      <c r="O24" s="317" t="s">
        <v>69</v>
      </c>
      <c r="P24" s="317"/>
      <c r="Q24" s="321"/>
      <c r="R24" s="317"/>
      <c r="S24" s="321"/>
      <c r="T24" s="318"/>
      <c r="U24" s="318"/>
      <c r="V24" s="318"/>
      <c r="W24" s="318"/>
      <c r="X24" s="317"/>
      <c r="Y24" s="318"/>
      <c r="Z24" s="318"/>
      <c r="AA24" s="319"/>
      <c r="AB24" s="308"/>
      <c r="AC24" s="308"/>
      <c r="AD24" s="308"/>
      <c r="AE24" s="308"/>
      <c r="AF24" s="308"/>
      <c r="AG24" s="308"/>
      <c r="AH24" s="308"/>
      <c r="AI24" s="308"/>
      <c r="AJ24" s="308"/>
      <c r="AK24" s="308"/>
    </row>
    <row r="25" ht="20.25" customHeight="1">
      <c r="A25" s="309">
        <v>17.0</v>
      </c>
      <c r="B25" s="310"/>
      <c r="C25" s="311" t="s">
        <v>178</v>
      </c>
      <c r="D25" s="312" t="str">
        <f t="shared" si="4"/>
        <v>https://api.paylibo.com/paylibo/generator/czech/image?accountNumber=1248728083&amp;bankCode=3030&amp;amount=466&amp;currency=CZK&amp;message=Kamenice-Hlad%C3%ADkov%C3%A1%20Nikola</v>
      </c>
      <c r="E25" s="313" t="str">
        <f t="shared" si="5"/>
        <v/>
      </c>
      <c r="F25" s="313">
        <f t="shared" si="6"/>
        <v>465.7183442</v>
      </c>
      <c r="G25" s="314">
        <f t="shared" si="7"/>
        <v>466</v>
      </c>
      <c r="H25" s="320"/>
      <c r="I25" s="320"/>
      <c r="J25" s="315">
        <f t="shared" si="8"/>
        <v>466</v>
      </c>
      <c r="K25" s="316"/>
      <c r="L25" s="317" t="s">
        <v>69</v>
      </c>
      <c r="M25" s="317" t="s">
        <v>69</v>
      </c>
      <c r="N25" s="317"/>
      <c r="O25" s="317" t="s">
        <v>69</v>
      </c>
      <c r="P25" s="317"/>
      <c r="Q25" s="317"/>
      <c r="R25" s="317"/>
      <c r="S25" s="317"/>
      <c r="T25" s="318"/>
      <c r="U25" s="318"/>
      <c r="V25" s="318"/>
      <c r="W25" s="318"/>
      <c r="X25" s="317"/>
      <c r="Y25" s="318"/>
      <c r="Z25" s="318"/>
      <c r="AA25" s="319"/>
      <c r="AB25" s="308"/>
      <c r="AC25" s="308"/>
      <c r="AD25" s="308"/>
      <c r="AE25" s="308"/>
      <c r="AF25" s="308"/>
      <c r="AG25" s="308"/>
      <c r="AH25" s="308"/>
      <c r="AI25" s="308"/>
      <c r="AJ25" s="308"/>
      <c r="AK25" s="308"/>
    </row>
    <row r="26" ht="20.25" customHeight="1">
      <c r="A26" s="309">
        <v>18.0</v>
      </c>
      <c r="B26" s="310"/>
      <c r="C26" s="311" t="s">
        <v>179</v>
      </c>
      <c r="D26" s="312" t="str">
        <f t="shared" si="4"/>
        <v>https://api.paylibo.com/paylibo/generator/czech/image?accountNumber=1248728083&amp;bankCode=3030&amp;amount=466&amp;currency=CZK&amp;message=Kamenice-Mith%20David</v>
      </c>
      <c r="E26" s="313" t="str">
        <f t="shared" si="5"/>
        <v/>
      </c>
      <c r="F26" s="313">
        <f t="shared" si="6"/>
        <v>465.7183442</v>
      </c>
      <c r="G26" s="314">
        <f t="shared" si="7"/>
        <v>466</v>
      </c>
      <c r="H26" s="320"/>
      <c r="I26" s="320"/>
      <c r="J26" s="315">
        <f t="shared" si="8"/>
        <v>466</v>
      </c>
      <c r="K26" s="322"/>
      <c r="L26" s="317" t="s">
        <v>69</v>
      </c>
      <c r="M26" s="317" t="s">
        <v>69</v>
      </c>
      <c r="N26" s="317"/>
      <c r="O26" s="317" t="s">
        <v>69</v>
      </c>
      <c r="P26" s="317"/>
      <c r="Q26" s="321"/>
      <c r="R26" s="317"/>
      <c r="S26" s="321"/>
      <c r="T26" s="318"/>
      <c r="U26" s="318"/>
      <c r="V26" s="318"/>
      <c r="W26" s="318"/>
      <c r="X26" s="317"/>
      <c r="Y26" s="318"/>
      <c r="Z26" s="318"/>
      <c r="AA26" s="319"/>
      <c r="AB26" s="308"/>
      <c r="AC26" s="308"/>
      <c r="AD26" s="308"/>
      <c r="AE26" s="308"/>
      <c r="AF26" s="308"/>
      <c r="AG26" s="308"/>
      <c r="AH26" s="308"/>
      <c r="AI26" s="308"/>
      <c r="AJ26" s="308"/>
      <c r="AK26" s="308"/>
    </row>
    <row r="27" ht="20.25" customHeight="1">
      <c r="A27" s="309">
        <v>19.0</v>
      </c>
      <c r="B27" s="310"/>
      <c r="C27" s="311" t="s">
        <v>180</v>
      </c>
      <c r="D27" s="312" t="str">
        <f t="shared" si="4"/>
        <v>https://api.paylibo.com/paylibo/generator/czech/image?accountNumber=1248728083&amp;bankCode=3030&amp;amount=466&amp;currency=CZK&amp;message=Kamenice-Klus%C3%A1%C4%8Dek%20Filip%20%28Pil%C3%ADn%29</v>
      </c>
      <c r="E27" s="313" t="str">
        <f t="shared" si="5"/>
        <v/>
      </c>
      <c r="F27" s="313">
        <f t="shared" si="6"/>
        <v>465.7183442</v>
      </c>
      <c r="G27" s="314">
        <f t="shared" si="7"/>
        <v>466</v>
      </c>
      <c r="H27" s="320"/>
      <c r="I27" s="320"/>
      <c r="J27" s="315">
        <f t="shared" si="8"/>
        <v>466</v>
      </c>
      <c r="K27" s="316"/>
      <c r="L27" s="317" t="s">
        <v>69</v>
      </c>
      <c r="M27" s="317" t="s">
        <v>69</v>
      </c>
      <c r="N27" s="317"/>
      <c r="O27" s="317" t="s">
        <v>69</v>
      </c>
      <c r="P27" s="317"/>
      <c r="Q27" s="317"/>
      <c r="R27" s="317"/>
      <c r="S27" s="317"/>
      <c r="T27" s="318"/>
      <c r="U27" s="318"/>
      <c r="V27" s="318"/>
      <c r="W27" s="318"/>
      <c r="X27" s="317"/>
      <c r="Y27" s="318"/>
      <c r="Z27" s="318"/>
      <c r="AA27" s="319"/>
      <c r="AB27" s="308"/>
      <c r="AC27" s="308"/>
      <c r="AD27" s="308"/>
      <c r="AE27" s="308"/>
      <c r="AF27" s="308"/>
      <c r="AG27" s="308"/>
      <c r="AH27" s="308"/>
      <c r="AI27" s="308"/>
      <c r="AJ27" s="308"/>
      <c r="AK27" s="308"/>
    </row>
    <row r="28" ht="20.25" customHeight="1">
      <c r="A28" s="309">
        <v>20.0</v>
      </c>
      <c r="B28" s="310">
        <v>7.76840647E8</v>
      </c>
      <c r="C28" s="311" t="s">
        <v>98</v>
      </c>
      <c r="D28" s="312" t="str">
        <f t="shared" si="4"/>
        <v>https://api.paylibo.com/paylibo/generator/czech/image?accountNumber=1248728083&amp;bankCode=3030&amp;amount=466&amp;currency=CZK&amp;message=Kamenice-Kl%C3%ADma%20Ji%C5%99%C3%AD</v>
      </c>
      <c r="E28" s="313" t="str">
        <f t="shared" si="5"/>
        <v/>
      </c>
      <c r="F28" s="313">
        <f t="shared" si="6"/>
        <v>465.7183442</v>
      </c>
      <c r="G28" s="314">
        <f t="shared" si="7"/>
        <v>466</v>
      </c>
      <c r="H28" s="323">
        <f>J10+J11+J12+J13+J14+J15+J16+J17+J18+J19+J20+J21+J22+J23+J24+J25+J26+J27+J28+J29+J42+J49</f>
        <v>10252</v>
      </c>
      <c r="I28" s="320"/>
      <c r="J28" s="315">
        <f t="shared" si="8"/>
        <v>466</v>
      </c>
      <c r="K28" s="316"/>
      <c r="L28" s="317" t="s">
        <v>69</v>
      </c>
      <c r="M28" s="317" t="s">
        <v>69</v>
      </c>
      <c r="N28" s="317"/>
      <c r="O28" s="317" t="s">
        <v>69</v>
      </c>
      <c r="P28" s="317"/>
      <c r="Q28" s="321"/>
      <c r="R28" s="317"/>
      <c r="S28" s="321"/>
      <c r="T28" s="318"/>
      <c r="U28" s="318"/>
      <c r="V28" s="318"/>
      <c r="W28" s="318"/>
      <c r="X28" s="317"/>
      <c r="Y28" s="318"/>
      <c r="Z28" s="318"/>
      <c r="AA28" s="319"/>
      <c r="AB28" s="308"/>
      <c r="AC28" s="308"/>
      <c r="AD28" s="308"/>
      <c r="AE28" s="308"/>
      <c r="AF28" s="308"/>
      <c r="AG28" s="308"/>
      <c r="AH28" s="308"/>
      <c r="AI28" s="308"/>
      <c r="AJ28" s="308"/>
      <c r="AK28" s="308"/>
    </row>
    <row r="29" ht="20.25" customHeight="1">
      <c r="A29" s="309">
        <v>21.0</v>
      </c>
      <c r="B29" s="310"/>
      <c r="C29" s="311" t="s">
        <v>181</v>
      </c>
      <c r="D29" s="312" t="str">
        <f t="shared" si="4"/>
        <v>https://api.paylibo.com/paylibo/generator/czech/image?accountNumber=1248728083&amp;bankCode=3030&amp;amount=466&amp;currency=CZK&amp;message=Kamenice-Topol%20Martin</v>
      </c>
      <c r="E29" s="313" t="str">
        <f t="shared" si="5"/>
        <v/>
      </c>
      <c r="F29" s="313">
        <f t="shared" si="6"/>
        <v>465.7183442</v>
      </c>
      <c r="G29" s="314">
        <f t="shared" si="7"/>
        <v>466</v>
      </c>
      <c r="H29" s="320"/>
      <c r="I29" s="320"/>
      <c r="J29" s="315">
        <f t="shared" si="8"/>
        <v>466</v>
      </c>
      <c r="K29" s="322"/>
      <c r="L29" s="317" t="s">
        <v>69</v>
      </c>
      <c r="M29" s="317" t="s">
        <v>69</v>
      </c>
      <c r="N29" s="317"/>
      <c r="O29" s="317" t="s">
        <v>69</v>
      </c>
      <c r="P29" s="317"/>
      <c r="Q29" s="317"/>
      <c r="R29" s="317"/>
      <c r="S29" s="317"/>
      <c r="T29" s="318"/>
      <c r="U29" s="318"/>
      <c r="V29" s="318"/>
      <c r="W29" s="318"/>
      <c r="X29" s="317"/>
      <c r="Y29" s="318"/>
      <c r="Z29" s="318"/>
      <c r="AA29" s="319"/>
      <c r="AB29" s="308"/>
      <c r="AC29" s="308"/>
      <c r="AD29" s="308"/>
      <c r="AE29" s="308"/>
      <c r="AF29" s="308"/>
      <c r="AG29" s="308"/>
      <c r="AH29" s="308"/>
      <c r="AI29" s="308"/>
      <c r="AJ29" s="308"/>
      <c r="AK29" s="308"/>
    </row>
    <row r="30" ht="20.25" customHeight="1">
      <c r="A30" s="309">
        <v>23.0</v>
      </c>
      <c r="B30" s="310">
        <v>7.77877447E8</v>
      </c>
      <c r="C30" s="324" t="s">
        <v>68</v>
      </c>
      <c r="D30" s="312" t="str">
        <f t="shared" si="4"/>
        <v>https://api.paylibo.com/paylibo/generator/czech/image?accountNumber=1248728083&amp;bankCode=3030&amp;amount=-33&amp;currency=CZK&amp;message=Kamenice-Mat%C4%9Bjka%20Tom%C3%A1%C5%A1</v>
      </c>
      <c r="E30" s="313" t="str">
        <f t="shared" si="5"/>
        <v/>
      </c>
      <c r="F30" s="313">
        <f t="shared" si="6"/>
        <v>-32.00892857</v>
      </c>
      <c r="G30" s="314">
        <f t="shared" si="7"/>
        <v>-33</v>
      </c>
      <c r="H30" s="325">
        <f>sum(J30:J33)</f>
        <v>-94</v>
      </c>
      <c r="I30" s="320"/>
      <c r="J30" s="326">
        <f t="shared" si="8"/>
        <v>-33</v>
      </c>
      <c r="K30" s="316" t="s">
        <v>69</v>
      </c>
      <c r="L30" s="317" t="s">
        <v>69</v>
      </c>
      <c r="M30" s="317" t="s">
        <v>69</v>
      </c>
      <c r="N30" s="317" t="s">
        <v>69</v>
      </c>
      <c r="O30" s="317"/>
      <c r="P30" s="317"/>
      <c r="Q30" s="317"/>
      <c r="R30" s="317"/>
      <c r="S30" s="317"/>
      <c r="T30" s="318"/>
      <c r="U30" s="318"/>
      <c r="V30" s="318"/>
      <c r="W30" s="318"/>
      <c r="X30" s="317"/>
      <c r="Y30" s="318"/>
      <c r="Z30" s="318"/>
      <c r="AA30" s="319"/>
      <c r="AB30" s="308"/>
      <c r="AC30" s="308"/>
      <c r="AD30" s="308"/>
      <c r="AE30" s="308"/>
      <c r="AF30" s="308"/>
      <c r="AG30" s="308"/>
      <c r="AH30" s="308"/>
      <c r="AI30" s="308"/>
      <c r="AJ30" s="308"/>
      <c r="AK30" s="308"/>
    </row>
    <row r="31" ht="20.25" customHeight="1">
      <c r="A31" s="309">
        <v>24.0</v>
      </c>
      <c r="B31" s="310" t="s">
        <v>182</v>
      </c>
      <c r="C31" s="324" t="s">
        <v>71</v>
      </c>
      <c r="D31" s="312" t="str">
        <f t="shared" si="4"/>
        <v>https://api.paylibo.com/paylibo/generator/czech/image?accountNumber=1248728083&amp;bankCode=3030&amp;amount=-321&amp;currency=CZK&amp;message=Kamenice-Mat%C4%9Bjkov%C3%A1%20Kl%C3%A1ra</v>
      </c>
      <c r="E31" s="313" t="str">
        <f t="shared" si="5"/>
        <v/>
      </c>
      <c r="F31" s="313">
        <f t="shared" si="6"/>
        <v>-320.9375</v>
      </c>
      <c r="G31" s="314">
        <f t="shared" si="7"/>
        <v>-321</v>
      </c>
      <c r="H31" s="320"/>
      <c r="I31" s="320"/>
      <c r="J31" s="326">
        <f t="shared" si="8"/>
        <v>-321</v>
      </c>
      <c r="K31" s="316" t="s">
        <v>69</v>
      </c>
      <c r="L31" s="317" t="s">
        <v>74</v>
      </c>
      <c r="M31" s="317" t="s">
        <v>69</v>
      </c>
      <c r="N31" s="317" t="s">
        <v>69</v>
      </c>
      <c r="O31" s="317"/>
      <c r="P31" s="317"/>
      <c r="Q31" s="321"/>
      <c r="R31" s="317"/>
      <c r="S31" s="321"/>
      <c r="T31" s="318"/>
      <c r="U31" s="318"/>
      <c r="V31" s="318"/>
      <c r="W31" s="318"/>
      <c r="X31" s="317"/>
      <c r="Y31" s="318"/>
      <c r="Z31" s="318"/>
      <c r="AA31" s="319"/>
      <c r="AB31" s="308"/>
      <c r="AC31" s="308"/>
      <c r="AD31" s="308"/>
      <c r="AE31" s="308"/>
      <c r="AF31" s="308"/>
      <c r="AG31" s="308"/>
      <c r="AH31" s="308"/>
      <c r="AI31" s="308"/>
      <c r="AJ31" s="308"/>
      <c r="AK31" s="308"/>
    </row>
    <row r="32" ht="20.25" customHeight="1">
      <c r="A32" s="309">
        <v>25.0</v>
      </c>
      <c r="B32" s="310" t="s">
        <v>182</v>
      </c>
      <c r="C32" s="324" t="s">
        <v>73</v>
      </c>
      <c r="D32" s="312" t="str">
        <f t="shared" si="4"/>
        <v>https://api.paylibo.com/paylibo/generator/czech/image?accountNumber=1248728083&amp;bankCode=3030&amp;amount=130&amp;currency=CZK&amp;message=Kamenice-Mat%C4%9Bjka%20Oskar</v>
      </c>
      <c r="E32" s="313" t="str">
        <f t="shared" si="5"/>
        <v/>
      </c>
      <c r="F32" s="313">
        <f t="shared" si="6"/>
        <v>130</v>
      </c>
      <c r="G32" s="314">
        <f t="shared" si="7"/>
        <v>130</v>
      </c>
      <c r="H32" s="320"/>
      <c r="I32" s="320"/>
      <c r="J32" s="326">
        <f t="shared" si="8"/>
        <v>130</v>
      </c>
      <c r="K32" s="316" t="s">
        <v>74</v>
      </c>
      <c r="L32" s="317" t="s">
        <v>74</v>
      </c>
      <c r="M32" s="317" t="s">
        <v>74</v>
      </c>
      <c r="N32" s="317" t="s">
        <v>74</v>
      </c>
      <c r="O32" s="317"/>
      <c r="P32" s="317" t="s">
        <v>69</v>
      </c>
      <c r="Q32" s="317"/>
      <c r="R32" s="317"/>
      <c r="S32" s="317"/>
      <c r="T32" s="318"/>
      <c r="U32" s="318"/>
      <c r="V32" s="318"/>
      <c r="W32" s="318"/>
      <c r="X32" s="317"/>
      <c r="Y32" s="318"/>
      <c r="Z32" s="318"/>
      <c r="AA32" s="319"/>
      <c r="AB32" s="308"/>
      <c r="AC32" s="308"/>
      <c r="AD32" s="308"/>
      <c r="AE32" s="308"/>
      <c r="AF32" s="308"/>
      <c r="AG32" s="308"/>
      <c r="AH32" s="308"/>
      <c r="AI32" s="308"/>
      <c r="AJ32" s="308"/>
      <c r="AK32" s="308"/>
    </row>
    <row r="33" ht="20.25" customHeight="1">
      <c r="A33" s="309">
        <v>26.0</v>
      </c>
      <c r="B33" s="310" t="s">
        <v>182</v>
      </c>
      <c r="C33" s="324" t="s">
        <v>72</v>
      </c>
      <c r="D33" s="312" t="str">
        <f t="shared" si="4"/>
        <v>https://api.paylibo.com/paylibo/generator/czech/image?accountNumber=1248728083&amp;bankCode=3030&amp;amount=130&amp;currency=CZK&amp;message=Kamenice-Mat%C4%9Bjkov%C3%A1%20Marie</v>
      </c>
      <c r="E33" s="313" t="str">
        <f t="shared" si="5"/>
        <v/>
      </c>
      <c r="F33" s="313">
        <f t="shared" si="6"/>
        <v>130</v>
      </c>
      <c r="G33" s="314">
        <f t="shared" si="7"/>
        <v>130</v>
      </c>
      <c r="H33" s="320"/>
      <c r="I33" s="320"/>
      <c r="J33" s="326">
        <f t="shared" si="8"/>
        <v>130</v>
      </c>
      <c r="K33" s="316"/>
      <c r="L33" s="317" t="s">
        <v>74</v>
      </c>
      <c r="M33" s="317" t="s">
        <v>74</v>
      </c>
      <c r="N33" s="317" t="s">
        <v>74</v>
      </c>
      <c r="O33" s="317"/>
      <c r="P33" s="317" t="s">
        <v>69</v>
      </c>
      <c r="Q33" s="321"/>
      <c r="R33" s="317"/>
      <c r="S33" s="321"/>
      <c r="T33" s="318"/>
      <c r="U33" s="318"/>
      <c r="V33" s="318"/>
      <c r="W33" s="318"/>
      <c r="X33" s="317"/>
      <c r="Y33" s="318"/>
      <c r="Z33" s="318"/>
      <c r="AA33" s="319"/>
      <c r="AB33" s="308"/>
      <c r="AC33" s="308"/>
      <c r="AD33" s="308"/>
      <c r="AE33" s="308"/>
      <c r="AF33" s="308"/>
      <c r="AG33" s="308"/>
      <c r="AH33" s="308"/>
      <c r="AI33" s="308"/>
      <c r="AJ33" s="308"/>
      <c r="AK33" s="308"/>
    </row>
    <row r="34" ht="20.25" customHeight="1">
      <c r="A34" s="309">
        <v>27.0</v>
      </c>
      <c r="B34" s="310">
        <v>6.0218575E8</v>
      </c>
      <c r="C34" s="324" t="s">
        <v>81</v>
      </c>
      <c r="D34" s="312" t="str">
        <f t="shared" si="4"/>
        <v>https://api.paylibo.com/paylibo/generator/czech/image?accountNumber=1248728083&amp;bankCode=3030&amp;amount=-33&amp;currency=CZK&amp;message=Kamenice-Mat%C4%9Bjkov%C3%A1%20Eva</v>
      </c>
      <c r="E34" s="313" t="str">
        <f t="shared" si="5"/>
        <v/>
      </c>
      <c r="F34" s="313">
        <f t="shared" si="6"/>
        <v>-32.00892857</v>
      </c>
      <c r="G34" s="314">
        <f t="shared" si="7"/>
        <v>-33</v>
      </c>
      <c r="H34" s="325">
        <f>sum(J34:J35)</f>
        <v>27</v>
      </c>
      <c r="I34" s="320"/>
      <c r="J34" s="327">
        <f t="shared" si="8"/>
        <v>-33</v>
      </c>
      <c r="K34" s="316" t="s">
        <v>69</v>
      </c>
      <c r="L34" s="317" t="s">
        <v>69</v>
      </c>
      <c r="M34" s="317" t="s">
        <v>69</v>
      </c>
      <c r="N34" s="317" t="s">
        <v>69</v>
      </c>
      <c r="O34" s="317"/>
      <c r="P34" s="317"/>
      <c r="Q34" s="317"/>
      <c r="R34" s="317"/>
      <c r="S34" s="317"/>
      <c r="T34" s="318"/>
      <c r="U34" s="318"/>
      <c r="V34" s="318"/>
      <c r="W34" s="318"/>
      <c r="X34" s="317"/>
      <c r="Y34" s="318"/>
      <c r="Z34" s="318"/>
      <c r="AA34" s="319"/>
      <c r="AB34" s="308"/>
      <c r="AC34" s="308"/>
      <c r="AD34" s="308"/>
      <c r="AE34" s="308"/>
      <c r="AF34" s="308"/>
      <c r="AG34" s="308"/>
      <c r="AH34" s="308"/>
      <c r="AI34" s="308"/>
      <c r="AJ34" s="308"/>
      <c r="AK34" s="308"/>
    </row>
    <row r="35" ht="20.25" customHeight="1">
      <c r="A35" s="309">
        <v>28.0</v>
      </c>
      <c r="B35" s="310" t="s">
        <v>182</v>
      </c>
      <c r="C35" s="324" t="s">
        <v>183</v>
      </c>
      <c r="D35" s="312" t="str">
        <f t="shared" si="4"/>
        <v>https://api.paylibo.com/paylibo/generator/czech/image?accountNumber=1248728083&amp;bankCode=3030&amp;amount=60&amp;currency=CZK&amp;message=Kamenice-Mat%C4%9Bjka%20Fanda</v>
      </c>
      <c r="E35" s="313" t="str">
        <f t="shared" si="5"/>
        <v/>
      </c>
      <c r="F35" s="313">
        <f t="shared" si="6"/>
        <v>59.0625</v>
      </c>
      <c r="G35" s="314">
        <f t="shared" si="7"/>
        <v>60</v>
      </c>
      <c r="H35" s="320"/>
      <c r="I35" s="320"/>
      <c r="J35" s="327">
        <f t="shared" si="8"/>
        <v>60</v>
      </c>
      <c r="K35" s="316"/>
      <c r="L35" s="317" t="s">
        <v>74</v>
      </c>
      <c r="M35" s="317" t="s">
        <v>69</v>
      </c>
      <c r="N35" s="317" t="s">
        <v>69</v>
      </c>
      <c r="O35" s="317"/>
      <c r="P35" s="317" t="s">
        <v>69</v>
      </c>
      <c r="Q35" s="321"/>
      <c r="R35" s="317"/>
      <c r="S35" s="321"/>
      <c r="T35" s="318"/>
      <c r="U35" s="318"/>
      <c r="V35" s="318"/>
      <c r="W35" s="318"/>
      <c r="X35" s="317"/>
      <c r="Y35" s="318"/>
      <c r="Z35" s="318"/>
      <c r="AA35" s="319"/>
      <c r="AB35" s="308"/>
      <c r="AC35" s="308"/>
      <c r="AD35" s="308"/>
      <c r="AE35" s="308"/>
      <c r="AF35" s="308"/>
      <c r="AG35" s="308"/>
      <c r="AH35" s="308"/>
      <c r="AI35" s="308"/>
      <c r="AJ35" s="308"/>
      <c r="AK35" s="308"/>
    </row>
    <row r="36" ht="20.25" customHeight="1">
      <c r="A36" s="309">
        <v>29.0</v>
      </c>
      <c r="B36" s="310">
        <v>7.75238898E8</v>
      </c>
      <c r="C36" s="324" t="s">
        <v>148</v>
      </c>
      <c r="D36" s="312" t="str">
        <f t="shared" si="4"/>
        <v>https://api.paylibo.com/paylibo/generator/czech/image?accountNumber=1248728083&amp;bankCode=3030&amp;amount=-33&amp;currency=CZK&amp;message=Kamenice-Kostkov%C3%A1%20Barbora</v>
      </c>
      <c r="E36" s="313" t="str">
        <f t="shared" si="5"/>
        <v/>
      </c>
      <c r="F36" s="313">
        <f t="shared" si="6"/>
        <v>-32.00892857</v>
      </c>
      <c r="G36" s="314">
        <f t="shared" si="7"/>
        <v>-33</v>
      </c>
      <c r="H36" s="325">
        <f>SUM(J36:J39)</f>
        <v>156</v>
      </c>
      <c r="I36" s="320"/>
      <c r="J36" s="328">
        <f t="shared" si="8"/>
        <v>-33</v>
      </c>
      <c r="K36" s="316" t="s">
        <v>69</v>
      </c>
      <c r="L36" s="317" t="s">
        <v>69</v>
      </c>
      <c r="M36" s="317" t="s">
        <v>69</v>
      </c>
      <c r="N36" s="317" t="s">
        <v>69</v>
      </c>
      <c r="O36" s="317" t="s">
        <v>74</v>
      </c>
      <c r="P36" s="317"/>
      <c r="Q36" s="317"/>
      <c r="R36" s="317"/>
      <c r="S36" s="317"/>
      <c r="T36" s="318"/>
      <c r="U36" s="318"/>
      <c r="V36" s="318"/>
      <c r="W36" s="318"/>
      <c r="X36" s="317"/>
      <c r="Y36" s="318"/>
      <c r="Z36" s="318"/>
      <c r="AA36" s="319"/>
      <c r="AB36" s="329"/>
      <c r="AC36" s="329"/>
      <c r="AD36" s="329"/>
      <c r="AE36" s="329"/>
      <c r="AF36" s="329"/>
      <c r="AG36" s="329"/>
      <c r="AH36" s="329"/>
      <c r="AI36" s="329"/>
      <c r="AJ36" s="329"/>
      <c r="AK36" s="329"/>
    </row>
    <row r="37" ht="20.25" customHeight="1">
      <c r="A37" s="309">
        <v>30.0</v>
      </c>
      <c r="B37" s="310" t="s">
        <v>182</v>
      </c>
      <c r="C37" s="324" t="s">
        <v>184</v>
      </c>
      <c r="D37" s="312" t="str">
        <f t="shared" si="4"/>
        <v>https://api.paylibo.com/paylibo/generator/czech/image?accountNumber=1248728083&amp;bankCode=3030&amp;amount=-71&amp;currency=CZK&amp;message=Kamenice-Ka%C4%8Daba%20Vojta</v>
      </c>
      <c r="E37" s="313" t="str">
        <f t="shared" si="5"/>
        <v/>
      </c>
      <c r="F37" s="313">
        <f t="shared" si="6"/>
        <v>-70.9375</v>
      </c>
      <c r="G37" s="314">
        <f t="shared" si="7"/>
        <v>-71</v>
      </c>
      <c r="H37" s="320"/>
      <c r="I37" s="320"/>
      <c r="J37" s="328">
        <f t="shared" si="8"/>
        <v>-71</v>
      </c>
      <c r="K37" s="322"/>
      <c r="L37" s="317" t="s">
        <v>74</v>
      </c>
      <c r="M37" s="317" t="s">
        <v>69</v>
      </c>
      <c r="N37" s="317" t="s">
        <v>69</v>
      </c>
      <c r="O37" s="317" t="s">
        <v>74</v>
      </c>
      <c r="P37" s="317"/>
      <c r="Q37" s="317"/>
      <c r="R37" s="317"/>
      <c r="S37" s="317"/>
      <c r="T37" s="318"/>
      <c r="U37" s="318"/>
      <c r="V37" s="318"/>
      <c r="W37" s="318"/>
      <c r="X37" s="317"/>
      <c r="Y37" s="318"/>
      <c r="Z37" s="318"/>
      <c r="AA37" s="319"/>
      <c r="AB37" s="308"/>
      <c r="AC37" s="308"/>
      <c r="AD37" s="308"/>
      <c r="AE37" s="308"/>
      <c r="AF37" s="308"/>
      <c r="AG37" s="308"/>
      <c r="AH37" s="308"/>
      <c r="AI37" s="308"/>
      <c r="AJ37" s="308"/>
      <c r="AK37" s="308"/>
    </row>
    <row r="38" ht="20.25" customHeight="1">
      <c r="A38" s="309">
        <v>31.0</v>
      </c>
      <c r="B38" s="310" t="s">
        <v>182</v>
      </c>
      <c r="C38" s="324" t="s">
        <v>185</v>
      </c>
      <c r="D38" s="312" t="str">
        <f t="shared" si="4"/>
        <v>https://api.paylibo.com/paylibo/generator/czech/image?accountNumber=1248728083&amp;bankCode=3030&amp;amount=130&amp;currency=CZK&amp;message=Kamenice-Ka%C4%8Daba%20Vojt%C3%ADk</v>
      </c>
      <c r="E38" s="313" t="str">
        <f t="shared" si="5"/>
        <v/>
      </c>
      <c r="F38" s="313">
        <f t="shared" si="6"/>
        <v>130</v>
      </c>
      <c r="G38" s="314">
        <f t="shared" si="7"/>
        <v>130</v>
      </c>
      <c r="H38" s="320"/>
      <c r="I38" s="320"/>
      <c r="J38" s="328">
        <f t="shared" si="8"/>
        <v>130</v>
      </c>
      <c r="K38" s="322"/>
      <c r="L38" s="317" t="s">
        <v>74</v>
      </c>
      <c r="M38" s="317" t="s">
        <v>74</v>
      </c>
      <c r="N38" s="317"/>
      <c r="O38" s="317"/>
      <c r="P38" s="317" t="s">
        <v>69</v>
      </c>
      <c r="Q38" s="317"/>
      <c r="R38" s="317"/>
      <c r="S38" s="317"/>
      <c r="T38" s="318"/>
      <c r="U38" s="318"/>
      <c r="V38" s="318"/>
      <c r="W38" s="318"/>
      <c r="X38" s="317"/>
      <c r="Y38" s="318"/>
      <c r="Z38" s="318"/>
      <c r="AA38" s="319"/>
      <c r="AB38" s="329"/>
      <c r="AC38" s="329"/>
      <c r="AD38" s="329"/>
      <c r="AE38" s="329"/>
      <c r="AF38" s="329"/>
      <c r="AG38" s="329"/>
      <c r="AH38" s="329"/>
      <c r="AI38" s="329"/>
      <c r="AJ38" s="329"/>
      <c r="AK38" s="329"/>
    </row>
    <row r="39" ht="20.25" customHeight="1">
      <c r="A39" s="309">
        <v>32.0</v>
      </c>
      <c r="B39" s="310" t="s">
        <v>182</v>
      </c>
      <c r="C39" s="324" t="s">
        <v>186</v>
      </c>
      <c r="D39" s="312" t="str">
        <f t="shared" si="4"/>
        <v>https://api.paylibo.com/paylibo/generator/czech/image?accountNumber=1248728083&amp;bankCode=3030&amp;amount=130&amp;currency=CZK&amp;message=Kamenice-Ka%C4%8Daba%20Jakub</v>
      </c>
      <c r="E39" s="313" t="str">
        <f t="shared" si="5"/>
        <v/>
      </c>
      <c r="F39" s="313">
        <f t="shared" si="6"/>
        <v>130</v>
      </c>
      <c r="G39" s="314">
        <f t="shared" si="7"/>
        <v>130</v>
      </c>
      <c r="H39" s="320"/>
      <c r="I39" s="320"/>
      <c r="J39" s="328">
        <f t="shared" si="8"/>
        <v>130</v>
      </c>
      <c r="K39" s="316"/>
      <c r="L39" s="317" t="s">
        <v>74</v>
      </c>
      <c r="M39" s="317" t="s">
        <v>74</v>
      </c>
      <c r="N39" s="317"/>
      <c r="O39" s="317"/>
      <c r="P39" s="317" t="s">
        <v>69</v>
      </c>
      <c r="Q39" s="321"/>
      <c r="R39" s="317"/>
      <c r="S39" s="321"/>
      <c r="T39" s="318"/>
      <c r="U39" s="318"/>
      <c r="V39" s="318"/>
      <c r="W39" s="318"/>
      <c r="X39" s="317"/>
      <c r="Y39" s="318"/>
      <c r="Z39" s="318"/>
      <c r="AA39" s="319"/>
      <c r="AB39" s="329"/>
      <c r="AC39" s="329"/>
      <c r="AD39" s="329"/>
      <c r="AE39" s="329"/>
      <c r="AF39" s="329"/>
      <c r="AG39" s="329"/>
      <c r="AH39" s="329"/>
      <c r="AI39" s="329"/>
      <c r="AJ39" s="329"/>
      <c r="AK39" s="329"/>
    </row>
    <row r="40" ht="20.25" customHeight="1">
      <c r="A40" s="309">
        <v>33.0</v>
      </c>
      <c r="B40" s="310">
        <v>6.03195224E8</v>
      </c>
      <c r="C40" s="324" t="s">
        <v>187</v>
      </c>
      <c r="D40" s="312" t="str">
        <f t="shared" si="4"/>
        <v>https://api.paylibo.com/paylibo/generator/czech/image?accountNumber=1248728083&amp;bankCode=3030&amp;amount=-33&amp;currency=CZK&amp;message=Kamenice-%C5%A0%C3%A1lek%20Pavel</v>
      </c>
      <c r="E40" s="313" t="str">
        <f t="shared" si="5"/>
        <v/>
      </c>
      <c r="F40" s="313">
        <f t="shared" si="6"/>
        <v>-32.00892857</v>
      </c>
      <c r="G40" s="314">
        <f t="shared" si="7"/>
        <v>-33</v>
      </c>
      <c r="H40" s="320">
        <f t="shared" ref="H40:H41" si="9">J40</f>
        <v>-33</v>
      </c>
      <c r="I40" s="320"/>
      <c r="J40" s="330">
        <f t="shared" si="8"/>
        <v>-33</v>
      </c>
      <c r="K40" s="316" t="s">
        <v>69</v>
      </c>
      <c r="L40" s="317" t="s">
        <v>69</v>
      </c>
      <c r="M40" s="317" t="s">
        <v>69</v>
      </c>
      <c r="N40" s="317" t="s">
        <v>69</v>
      </c>
      <c r="O40" s="317"/>
      <c r="P40" s="317"/>
      <c r="Q40" s="317"/>
      <c r="R40" s="317"/>
      <c r="S40" s="317"/>
      <c r="T40" s="318"/>
      <c r="U40" s="318"/>
      <c r="V40" s="318"/>
      <c r="W40" s="318"/>
      <c r="X40" s="317"/>
      <c r="Y40" s="318"/>
      <c r="Z40" s="318"/>
      <c r="AA40" s="319"/>
      <c r="AB40" s="308"/>
      <c r="AC40" s="308"/>
      <c r="AD40" s="308"/>
      <c r="AE40" s="308"/>
      <c r="AF40" s="308"/>
      <c r="AG40" s="308"/>
      <c r="AH40" s="308"/>
      <c r="AI40" s="308"/>
      <c r="AJ40" s="308"/>
      <c r="AK40" s="308"/>
    </row>
    <row r="41" ht="20.25" customHeight="1">
      <c r="A41" s="309">
        <v>34.0</v>
      </c>
      <c r="B41" s="310">
        <v>6.04373044E8</v>
      </c>
      <c r="C41" s="324" t="s">
        <v>188</v>
      </c>
      <c r="D41" s="312" t="str">
        <f t="shared" si="4"/>
        <v>https://api.paylibo.com/paylibo/generator/czech/image?accountNumber=1248728083&amp;bankCode=3030&amp;amount=-33&amp;currency=CZK&amp;message=Kamenice-Pt%C3%A1%C4%8Dek%20Miroslav</v>
      </c>
      <c r="E41" s="313" t="str">
        <f t="shared" si="5"/>
        <v/>
      </c>
      <c r="F41" s="313">
        <f t="shared" si="6"/>
        <v>-32.00892857</v>
      </c>
      <c r="G41" s="314">
        <f t="shared" si="7"/>
        <v>-33</v>
      </c>
      <c r="H41" s="320">
        <f t="shared" si="9"/>
        <v>-33</v>
      </c>
      <c r="I41" s="320"/>
      <c r="J41" s="330">
        <f t="shared" si="8"/>
        <v>-33</v>
      </c>
      <c r="K41" s="316" t="s">
        <v>69</v>
      </c>
      <c r="L41" s="317" t="s">
        <v>69</v>
      </c>
      <c r="M41" s="317" t="s">
        <v>69</v>
      </c>
      <c r="N41" s="317" t="s">
        <v>69</v>
      </c>
      <c r="O41" s="317" t="s">
        <v>74</v>
      </c>
      <c r="P41" s="317"/>
      <c r="Q41" s="321"/>
      <c r="R41" s="317"/>
      <c r="S41" s="321"/>
      <c r="T41" s="318"/>
      <c r="U41" s="318"/>
      <c r="V41" s="318"/>
      <c r="W41" s="318"/>
      <c r="X41" s="317"/>
      <c r="Y41" s="318"/>
      <c r="Z41" s="318"/>
      <c r="AA41" s="319"/>
      <c r="AB41" s="329"/>
      <c r="AC41" s="329"/>
      <c r="AD41" s="329"/>
      <c r="AE41" s="329"/>
      <c r="AF41" s="329"/>
      <c r="AG41" s="329"/>
      <c r="AH41" s="329"/>
      <c r="AI41" s="329"/>
      <c r="AJ41" s="329"/>
      <c r="AK41" s="329"/>
    </row>
    <row r="42" ht="20.25" customHeight="1">
      <c r="A42" s="309">
        <v>35.0</v>
      </c>
      <c r="B42" s="310">
        <v>6.02224269E8</v>
      </c>
      <c r="C42" s="311" t="s">
        <v>96</v>
      </c>
      <c r="D42" s="312" t="str">
        <f t="shared" si="4"/>
        <v>https://api.paylibo.com/paylibo/generator/czech/image?accountNumber=1248728083&amp;bankCode=3030&amp;amount=466&amp;currency=CZK&amp;message=Kamenice-Kop%C5%99iva%20J%C3%A1chym</v>
      </c>
      <c r="E42" s="313" t="str">
        <f t="shared" si="5"/>
        <v/>
      </c>
      <c r="F42" s="313">
        <f t="shared" si="6"/>
        <v>465.7183442</v>
      </c>
      <c r="G42" s="314">
        <f t="shared" si="7"/>
        <v>466</v>
      </c>
      <c r="H42" s="320"/>
      <c r="I42" s="320"/>
      <c r="J42" s="315">
        <f t="shared" si="8"/>
        <v>466</v>
      </c>
      <c r="K42" s="316" t="s">
        <v>74</v>
      </c>
      <c r="L42" s="317" t="s">
        <v>69</v>
      </c>
      <c r="M42" s="317" t="s">
        <v>69</v>
      </c>
      <c r="N42" s="317" t="s">
        <v>74</v>
      </c>
      <c r="O42" s="317" t="s">
        <v>69</v>
      </c>
      <c r="P42" s="317"/>
      <c r="Q42" s="317"/>
      <c r="R42" s="317"/>
      <c r="S42" s="317"/>
      <c r="T42" s="318"/>
      <c r="U42" s="318"/>
      <c r="V42" s="318"/>
      <c r="W42" s="318"/>
      <c r="X42" s="317"/>
      <c r="Y42" s="318"/>
      <c r="Z42" s="318"/>
      <c r="AA42" s="319"/>
      <c r="AB42" s="308"/>
      <c r="AC42" s="308"/>
      <c r="AD42" s="308"/>
      <c r="AE42" s="308"/>
      <c r="AF42" s="308"/>
      <c r="AG42" s="308"/>
      <c r="AH42" s="308"/>
      <c r="AI42" s="308"/>
      <c r="AJ42" s="308"/>
      <c r="AK42" s="308"/>
    </row>
    <row r="43" ht="20.25" customHeight="1">
      <c r="A43" s="309">
        <v>36.0</v>
      </c>
      <c r="B43" s="310">
        <v>7.25988576E8</v>
      </c>
      <c r="C43" s="324" t="s">
        <v>189</v>
      </c>
      <c r="D43" s="312" t="str">
        <f t="shared" si="4"/>
        <v>https://api.paylibo.com/paylibo/generator/czech/image?accountNumber=1248728083&amp;bankCode=3030&amp;amount=168&amp;currency=CZK&amp;message=Kamenice-Klepa%C4%8D%20%C5%A0t%C4%9Bp%C3%A1n</v>
      </c>
      <c r="E43" s="313" t="str">
        <f t="shared" si="5"/>
        <v/>
      </c>
      <c r="F43" s="313">
        <f t="shared" si="6"/>
        <v>167.9910714</v>
      </c>
      <c r="G43" s="314">
        <f t="shared" si="7"/>
        <v>168</v>
      </c>
      <c r="H43" s="331"/>
      <c r="I43" s="320"/>
      <c r="J43" s="332">
        <f t="shared" si="8"/>
        <v>168</v>
      </c>
      <c r="K43" s="316" t="s">
        <v>69</v>
      </c>
      <c r="L43" s="317" t="s">
        <v>69</v>
      </c>
      <c r="M43" s="317" t="s">
        <v>69</v>
      </c>
      <c r="N43" s="317"/>
      <c r="O43" s="317"/>
      <c r="P43" s="317"/>
      <c r="Q43" s="321"/>
      <c r="R43" s="317"/>
      <c r="S43" s="321"/>
      <c r="T43" s="318"/>
      <c r="U43" s="318"/>
      <c r="V43" s="318"/>
      <c r="W43" s="318"/>
      <c r="X43" s="317"/>
      <c r="Y43" s="318"/>
      <c r="Z43" s="318"/>
      <c r="AA43" s="319"/>
      <c r="AB43" s="329"/>
      <c r="AC43" s="329"/>
      <c r="AD43" s="329"/>
      <c r="AE43" s="329"/>
      <c r="AF43" s="329"/>
      <c r="AG43" s="329"/>
      <c r="AH43" s="329"/>
      <c r="AI43" s="329"/>
      <c r="AJ43" s="329"/>
      <c r="AK43" s="329"/>
    </row>
    <row r="44" ht="20.25" customHeight="1">
      <c r="A44" s="309">
        <v>37.0</v>
      </c>
      <c r="B44" s="310">
        <v>7.73474688E8</v>
      </c>
      <c r="C44" s="324" t="s">
        <v>190</v>
      </c>
      <c r="D44" s="312" t="str">
        <f t="shared" si="4"/>
        <v>https://api.paylibo.com/paylibo/generator/czech/image?accountNumber=1248728083&amp;bankCode=3030&amp;amount=-121&amp;currency=CZK&amp;message=Kamenice-Klepa%C4%8Dov%C3%A1%20Kate%C5%99ina</v>
      </c>
      <c r="E44" s="313" t="str">
        <f t="shared" si="5"/>
        <v/>
      </c>
      <c r="F44" s="313">
        <f t="shared" si="6"/>
        <v>-120.9375</v>
      </c>
      <c r="G44" s="314">
        <f t="shared" si="7"/>
        <v>-121</v>
      </c>
      <c r="H44" s="325">
        <f>sum(J43:J46)</f>
        <v>307</v>
      </c>
      <c r="I44" s="320"/>
      <c r="J44" s="332">
        <f t="shared" si="8"/>
        <v>-121</v>
      </c>
      <c r="K44" s="316" t="s">
        <v>69</v>
      </c>
      <c r="L44" s="317" t="s">
        <v>74</v>
      </c>
      <c r="M44" s="317" t="s">
        <v>69</v>
      </c>
      <c r="N44" s="317"/>
      <c r="O44" s="317"/>
      <c r="P44" s="317"/>
      <c r="Q44" s="317"/>
      <c r="R44" s="317"/>
      <c r="S44" s="317"/>
      <c r="T44" s="318"/>
      <c r="U44" s="318"/>
      <c r="V44" s="318"/>
      <c r="W44" s="318"/>
      <c r="X44" s="317"/>
      <c r="Y44" s="318"/>
      <c r="Z44" s="318"/>
      <c r="AA44" s="319"/>
      <c r="AB44" s="329"/>
      <c r="AC44" s="329"/>
      <c r="AD44" s="329"/>
      <c r="AE44" s="329"/>
      <c r="AF44" s="329"/>
      <c r="AG44" s="329"/>
      <c r="AH44" s="329"/>
      <c r="AI44" s="329"/>
      <c r="AJ44" s="329"/>
      <c r="AK44" s="329"/>
    </row>
    <row r="45" ht="20.25" customHeight="1">
      <c r="A45" s="309">
        <v>38.0</v>
      </c>
      <c r="B45" s="310" t="s">
        <v>182</v>
      </c>
      <c r="C45" s="324" t="s">
        <v>191</v>
      </c>
      <c r="D45" s="312" t="str">
        <f t="shared" si="4"/>
        <v>https://api.paylibo.com/paylibo/generator/czech/image?accountNumber=1248728083&amp;bankCode=3030&amp;amount=130&amp;currency=CZK&amp;message=Kamenice-Klepa%C4%8Dov%C3%A1%20Tonka</v>
      </c>
      <c r="E45" s="313" t="str">
        <f t="shared" si="5"/>
        <v/>
      </c>
      <c r="F45" s="313">
        <f t="shared" si="6"/>
        <v>130</v>
      </c>
      <c r="G45" s="314">
        <f t="shared" si="7"/>
        <v>130</v>
      </c>
      <c r="H45" s="320"/>
      <c r="I45" s="320"/>
      <c r="J45" s="332">
        <f t="shared" si="8"/>
        <v>130</v>
      </c>
      <c r="K45" s="322"/>
      <c r="L45" s="317" t="s">
        <v>74</v>
      </c>
      <c r="M45" s="317" t="s">
        <v>74</v>
      </c>
      <c r="N45" s="317"/>
      <c r="O45" s="317"/>
      <c r="P45" s="317" t="s">
        <v>69</v>
      </c>
      <c r="Q45" s="321"/>
      <c r="R45" s="317"/>
      <c r="S45" s="321"/>
      <c r="T45" s="318"/>
      <c r="U45" s="318"/>
      <c r="V45" s="318"/>
      <c r="W45" s="318"/>
      <c r="X45" s="317"/>
      <c r="Y45" s="318"/>
      <c r="Z45" s="318"/>
      <c r="AA45" s="319"/>
      <c r="AB45" s="329"/>
      <c r="AC45" s="329"/>
      <c r="AD45" s="329"/>
      <c r="AE45" s="329"/>
      <c r="AF45" s="329"/>
      <c r="AG45" s="329"/>
      <c r="AH45" s="329"/>
      <c r="AI45" s="329"/>
      <c r="AJ45" s="329"/>
      <c r="AK45" s="329"/>
    </row>
    <row r="46" ht="20.25" customHeight="1">
      <c r="A46" s="309">
        <v>39.0</v>
      </c>
      <c r="B46" s="310" t="s">
        <v>182</v>
      </c>
      <c r="C46" s="324" t="s">
        <v>192</v>
      </c>
      <c r="D46" s="312" t="str">
        <f t="shared" si="4"/>
        <v>https://api.paylibo.com/paylibo/generator/czech/image?accountNumber=1248728083&amp;bankCode=3030&amp;amount=130&amp;currency=CZK&amp;message=Kamenice-Klepa%C4%8D%20Eda</v>
      </c>
      <c r="E46" s="313" t="str">
        <f t="shared" si="5"/>
        <v/>
      </c>
      <c r="F46" s="313">
        <f t="shared" si="6"/>
        <v>130</v>
      </c>
      <c r="G46" s="314">
        <f t="shared" si="7"/>
        <v>130</v>
      </c>
      <c r="H46" s="320"/>
      <c r="I46" s="320"/>
      <c r="J46" s="332">
        <f t="shared" si="8"/>
        <v>130</v>
      </c>
      <c r="K46" s="316"/>
      <c r="L46" s="317" t="s">
        <v>74</v>
      </c>
      <c r="M46" s="317" t="s">
        <v>74</v>
      </c>
      <c r="N46" s="317"/>
      <c r="O46" s="317"/>
      <c r="P46" s="317" t="s">
        <v>69</v>
      </c>
      <c r="Q46" s="317"/>
      <c r="R46" s="317"/>
      <c r="S46" s="317"/>
      <c r="T46" s="318"/>
      <c r="U46" s="318"/>
      <c r="V46" s="318"/>
      <c r="W46" s="318"/>
      <c r="X46" s="317"/>
      <c r="Y46" s="318"/>
      <c r="Z46" s="318"/>
      <c r="AA46" s="319"/>
      <c r="AB46" s="329"/>
      <c r="AC46" s="329"/>
      <c r="AD46" s="329"/>
      <c r="AE46" s="329"/>
      <c r="AF46" s="329"/>
      <c r="AG46" s="329"/>
      <c r="AH46" s="329"/>
      <c r="AI46" s="329"/>
      <c r="AJ46" s="329"/>
      <c r="AK46" s="329"/>
    </row>
    <row r="47" ht="20.25" customHeight="1">
      <c r="A47" s="309">
        <v>40.0</v>
      </c>
      <c r="B47" s="310">
        <v>6.02357897E8</v>
      </c>
      <c r="C47" s="324" t="s">
        <v>193</v>
      </c>
      <c r="D47" s="312" t="str">
        <f t="shared" si="4"/>
        <v>https://api.paylibo.com/paylibo/generator/czech/image?accountNumber=1248728083&amp;bankCode=3030&amp;amount=0&amp;currency=CZK&amp;message=Kamenice-Kukla%20Jan</v>
      </c>
      <c r="E47" s="313" t="str">
        <f t="shared" si="5"/>
        <v/>
      </c>
      <c r="F47" s="313">
        <f t="shared" si="6"/>
        <v>0</v>
      </c>
      <c r="G47" s="314">
        <f t="shared" si="7"/>
        <v>0</v>
      </c>
      <c r="H47" s="320"/>
      <c r="I47" s="320"/>
      <c r="J47" s="330">
        <f t="shared" si="8"/>
        <v>0</v>
      </c>
      <c r="K47" s="316" t="s">
        <v>74</v>
      </c>
      <c r="L47" s="317" t="s">
        <v>74</v>
      </c>
      <c r="M47" s="317" t="s">
        <v>74</v>
      </c>
      <c r="N47" s="317"/>
      <c r="O47" s="317"/>
      <c r="P47" s="317"/>
      <c r="Q47" s="321"/>
      <c r="R47" s="317"/>
      <c r="S47" s="321"/>
      <c r="T47" s="318"/>
      <c r="U47" s="318"/>
      <c r="V47" s="318"/>
      <c r="W47" s="318"/>
      <c r="X47" s="317"/>
      <c r="Y47" s="318"/>
      <c r="Z47" s="318"/>
      <c r="AA47" s="319"/>
      <c r="AB47" s="329"/>
      <c r="AC47" s="329"/>
      <c r="AD47" s="329"/>
      <c r="AE47" s="329"/>
      <c r="AF47" s="329"/>
      <c r="AG47" s="329"/>
      <c r="AH47" s="329"/>
      <c r="AI47" s="329"/>
      <c r="AJ47" s="329"/>
      <c r="AK47" s="329"/>
    </row>
    <row r="48" ht="20.25" customHeight="1">
      <c r="A48" s="309">
        <v>41.0</v>
      </c>
      <c r="B48" s="310"/>
      <c r="C48" s="324" t="s">
        <v>194</v>
      </c>
      <c r="D48" s="312" t="str">
        <f t="shared" si="4"/>
        <v>https://api.paylibo.com/paylibo/generator/czech/image?accountNumber=1248728083&amp;bankCode=3030&amp;amount=0&amp;currency=CZK&amp;message=Kamenice-Kuklov%C3%A1%20Mark%C3%A9ta</v>
      </c>
      <c r="E48" s="313" t="str">
        <f t="shared" si="5"/>
        <v/>
      </c>
      <c r="F48" s="313">
        <f t="shared" si="6"/>
        <v>0</v>
      </c>
      <c r="G48" s="314">
        <f t="shared" si="7"/>
        <v>0</v>
      </c>
      <c r="H48" s="320"/>
      <c r="I48" s="320"/>
      <c r="J48" s="330">
        <f t="shared" si="8"/>
        <v>0</v>
      </c>
      <c r="K48" s="316" t="s">
        <v>74</v>
      </c>
      <c r="L48" s="317" t="s">
        <v>74</v>
      </c>
      <c r="M48" s="317" t="s">
        <v>74</v>
      </c>
      <c r="N48" s="317"/>
      <c r="O48" s="317"/>
      <c r="P48" s="317"/>
      <c r="Q48" s="317"/>
      <c r="R48" s="317"/>
      <c r="S48" s="317"/>
      <c r="T48" s="318"/>
      <c r="U48" s="318"/>
      <c r="V48" s="318"/>
      <c r="W48" s="318"/>
      <c r="X48" s="317"/>
      <c r="Y48" s="318"/>
      <c r="Z48" s="318"/>
      <c r="AA48" s="319"/>
      <c r="AB48" s="329"/>
      <c r="AC48" s="329"/>
      <c r="AD48" s="329"/>
      <c r="AE48" s="329"/>
      <c r="AF48" s="329"/>
      <c r="AG48" s="329"/>
      <c r="AH48" s="329"/>
      <c r="AI48" s="329"/>
      <c r="AJ48" s="329"/>
      <c r="AK48" s="329"/>
    </row>
    <row r="49" ht="20.25" customHeight="1">
      <c r="A49" s="309">
        <v>43.0</v>
      </c>
      <c r="B49" s="310"/>
      <c r="C49" s="311" t="s">
        <v>195</v>
      </c>
      <c r="D49" s="312" t="str">
        <f t="shared" si="4"/>
        <v>https://api.paylibo.com/paylibo/generator/czech/image?accountNumber=1248728083&amp;bankCode=3030&amp;amount=466&amp;currency=CZK&amp;message=Kamenice-Kotovsk%C3%A1%20Karol%C3%ADna</v>
      </c>
      <c r="E49" s="313" t="str">
        <f t="shared" si="5"/>
        <v/>
      </c>
      <c r="F49" s="313">
        <f t="shared" si="6"/>
        <v>465.7183442</v>
      </c>
      <c r="G49" s="314">
        <f t="shared" si="7"/>
        <v>466</v>
      </c>
      <c r="H49" s="320"/>
      <c r="I49" s="320"/>
      <c r="J49" s="315">
        <f t="shared" si="8"/>
        <v>466</v>
      </c>
      <c r="K49" s="316"/>
      <c r="L49" s="317" t="s">
        <v>69</v>
      </c>
      <c r="M49" s="317" t="s">
        <v>69</v>
      </c>
      <c r="N49" s="317"/>
      <c r="O49" s="317" t="s">
        <v>69</v>
      </c>
      <c r="P49" s="317"/>
      <c r="Q49" s="317"/>
      <c r="R49" s="317"/>
      <c r="S49" s="317"/>
      <c r="T49" s="318"/>
      <c r="U49" s="318"/>
      <c r="V49" s="318"/>
      <c r="W49" s="318"/>
      <c r="X49" s="317"/>
      <c r="Y49" s="318"/>
      <c r="Z49" s="318"/>
      <c r="AA49" s="319"/>
      <c r="AB49" s="329"/>
      <c r="AC49" s="329"/>
      <c r="AD49" s="329"/>
      <c r="AE49" s="329"/>
      <c r="AF49" s="329"/>
      <c r="AG49" s="329"/>
      <c r="AH49" s="329"/>
      <c r="AI49" s="329"/>
      <c r="AJ49" s="329"/>
      <c r="AK49" s="329"/>
    </row>
    <row r="50" ht="20.25" customHeight="1">
      <c r="A50" s="309">
        <v>43.0</v>
      </c>
      <c r="B50" s="310"/>
      <c r="C50" s="324"/>
      <c r="D50" s="312" t="str">
        <f t="shared" si="4"/>
        <v>https://api.paylibo.com/paylibo/generator/czech/image?accountNumber=1248728083&amp;bankCode=3030&amp;amount=0&amp;currency=CZK&amp;message=Kamenice-</v>
      </c>
      <c r="E50" s="313" t="str">
        <f t="shared" si="5"/>
        <v/>
      </c>
      <c r="F50" s="313">
        <f t="shared" si="6"/>
        <v>0</v>
      </c>
      <c r="G50" s="314">
        <f t="shared" si="7"/>
        <v>0</v>
      </c>
      <c r="H50" s="320"/>
      <c r="I50" s="320"/>
      <c r="J50" s="330">
        <f t="shared" si="8"/>
        <v>0</v>
      </c>
      <c r="K50" s="322"/>
      <c r="L50" s="317"/>
      <c r="M50" s="317"/>
      <c r="N50" s="317" t="s">
        <v>74</v>
      </c>
      <c r="O50" s="317"/>
      <c r="P50" s="317"/>
      <c r="Q50" s="321"/>
      <c r="R50" s="317"/>
      <c r="S50" s="321"/>
      <c r="T50" s="318"/>
      <c r="U50" s="318"/>
      <c r="V50" s="318"/>
      <c r="W50" s="318"/>
      <c r="X50" s="317"/>
      <c r="Y50" s="318"/>
      <c r="Z50" s="318"/>
      <c r="AA50" s="319"/>
      <c r="AB50" s="329"/>
      <c r="AC50" s="329"/>
      <c r="AD50" s="329"/>
      <c r="AE50" s="329"/>
      <c r="AF50" s="329"/>
      <c r="AG50" s="329"/>
      <c r="AH50" s="329"/>
      <c r="AI50" s="329"/>
      <c r="AJ50" s="329"/>
      <c r="AK50" s="329"/>
    </row>
    <row r="51" ht="20.25" customHeight="1">
      <c r="A51" s="309">
        <v>44.0</v>
      </c>
      <c r="B51" s="310"/>
      <c r="C51" s="324"/>
      <c r="D51" s="312" t="str">
        <f t="shared" si="4"/>
        <v>https://api.paylibo.com/paylibo/generator/czech/image?accountNumber=1248728083&amp;bankCode=3030&amp;amount=0&amp;currency=CZK&amp;message=Kamenice-</v>
      </c>
      <c r="E51" s="313" t="str">
        <f t="shared" si="5"/>
        <v/>
      </c>
      <c r="F51" s="313">
        <f t="shared" si="6"/>
        <v>0</v>
      </c>
      <c r="G51" s="314">
        <f t="shared" si="7"/>
        <v>0</v>
      </c>
      <c r="H51" s="320"/>
      <c r="I51" s="320"/>
      <c r="J51" s="330">
        <f t="shared" si="8"/>
        <v>0</v>
      </c>
      <c r="K51" s="316"/>
      <c r="L51" s="317"/>
      <c r="M51" s="317"/>
      <c r="N51" s="317"/>
      <c r="O51" s="317"/>
      <c r="P51" s="317"/>
      <c r="Q51" s="317"/>
      <c r="R51" s="317"/>
      <c r="S51" s="317"/>
      <c r="T51" s="318"/>
      <c r="U51" s="318"/>
      <c r="V51" s="318"/>
      <c r="W51" s="318"/>
      <c r="X51" s="317"/>
      <c r="Y51" s="318"/>
      <c r="Z51" s="318"/>
      <c r="AA51" s="319"/>
      <c r="AB51" s="329"/>
      <c r="AC51" s="329"/>
      <c r="AD51" s="329"/>
      <c r="AE51" s="329"/>
      <c r="AF51" s="329"/>
      <c r="AG51" s="329"/>
      <c r="AH51" s="329"/>
      <c r="AI51" s="329"/>
      <c r="AJ51" s="329"/>
      <c r="AK51" s="329"/>
    </row>
    <row r="52" ht="20.25" customHeight="1">
      <c r="A52" s="309">
        <v>45.0</v>
      </c>
      <c r="B52" s="310"/>
      <c r="C52" s="324"/>
      <c r="D52" s="312" t="str">
        <f t="shared" si="4"/>
        <v>https://api.paylibo.com/paylibo/generator/czech/image?accountNumber=1248728083&amp;bankCode=3030&amp;amount=0&amp;currency=CZK&amp;message=Kamenice-</v>
      </c>
      <c r="E52" s="313" t="str">
        <f t="shared" si="5"/>
        <v/>
      </c>
      <c r="F52" s="313">
        <f t="shared" si="6"/>
        <v>0</v>
      </c>
      <c r="G52" s="314">
        <f t="shared" si="7"/>
        <v>0</v>
      </c>
      <c r="H52" s="320"/>
      <c r="I52" s="320"/>
      <c r="J52" s="330">
        <f t="shared" si="8"/>
        <v>0</v>
      </c>
      <c r="K52" s="322"/>
      <c r="L52" s="317"/>
      <c r="M52" s="317"/>
      <c r="N52" s="317"/>
      <c r="O52" s="317"/>
      <c r="P52" s="317"/>
      <c r="Q52" s="321"/>
      <c r="R52" s="317"/>
      <c r="S52" s="321"/>
      <c r="T52" s="318"/>
      <c r="U52" s="318"/>
      <c r="V52" s="318"/>
      <c r="W52" s="318"/>
      <c r="X52" s="317"/>
      <c r="Y52" s="318"/>
      <c r="Z52" s="318"/>
      <c r="AA52" s="319"/>
      <c r="AB52" s="329"/>
      <c r="AC52" s="329"/>
      <c r="AD52" s="329"/>
      <c r="AE52" s="329"/>
      <c r="AF52" s="329"/>
      <c r="AG52" s="329"/>
      <c r="AH52" s="329"/>
      <c r="AI52" s="329"/>
      <c r="AJ52" s="329"/>
      <c r="AK52" s="329"/>
    </row>
    <row r="53" ht="20.25" customHeight="1">
      <c r="A53" s="309">
        <v>46.0</v>
      </c>
      <c r="B53" s="310"/>
      <c r="C53" s="324"/>
      <c r="D53" s="312" t="str">
        <f t="shared" si="4"/>
        <v>https://api.paylibo.com/paylibo/generator/czech/image?accountNumber=1248728083&amp;bankCode=3030&amp;amount=0&amp;currency=CZK&amp;message=Kamenice-</v>
      </c>
      <c r="E53" s="313" t="str">
        <f t="shared" si="5"/>
        <v/>
      </c>
      <c r="F53" s="313">
        <f t="shared" si="6"/>
        <v>0</v>
      </c>
      <c r="G53" s="314">
        <f t="shared" si="7"/>
        <v>0</v>
      </c>
      <c r="H53" s="320"/>
      <c r="I53" s="320"/>
      <c r="J53" s="330">
        <f t="shared" si="8"/>
        <v>0</v>
      </c>
      <c r="K53" s="316"/>
      <c r="L53" s="317"/>
      <c r="M53" s="317"/>
      <c r="N53" s="317"/>
      <c r="O53" s="317"/>
      <c r="P53" s="317"/>
      <c r="Q53" s="317"/>
      <c r="R53" s="317"/>
      <c r="S53" s="317"/>
      <c r="T53" s="318"/>
      <c r="U53" s="318"/>
      <c r="V53" s="318"/>
      <c r="W53" s="318"/>
      <c r="X53" s="317"/>
      <c r="Y53" s="318"/>
      <c r="Z53" s="318"/>
      <c r="AA53" s="319"/>
      <c r="AB53" s="329"/>
      <c r="AC53" s="329"/>
      <c r="AD53" s="329"/>
      <c r="AE53" s="329"/>
      <c r="AF53" s="329"/>
      <c r="AG53" s="329"/>
      <c r="AH53" s="329"/>
      <c r="AI53" s="329"/>
      <c r="AJ53" s="329"/>
      <c r="AK53" s="329"/>
    </row>
    <row r="54" ht="20.25" customHeight="1">
      <c r="A54" s="309">
        <v>47.0</v>
      </c>
      <c r="B54" s="310"/>
      <c r="C54" s="324"/>
      <c r="D54" s="312" t="str">
        <f t="shared" si="4"/>
        <v>https://api.paylibo.com/paylibo/generator/czech/image?accountNumber=1248728083&amp;bankCode=3030&amp;amount=0&amp;currency=CZK&amp;message=Kamenice-</v>
      </c>
      <c r="E54" s="313" t="str">
        <f t="shared" si="5"/>
        <v/>
      </c>
      <c r="F54" s="313">
        <f t="shared" si="6"/>
        <v>0</v>
      </c>
      <c r="G54" s="314">
        <f t="shared" si="7"/>
        <v>0</v>
      </c>
      <c r="H54" s="320"/>
      <c r="I54" s="320"/>
      <c r="J54" s="330">
        <f t="shared" si="8"/>
        <v>0</v>
      </c>
      <c r="K54" s="322"/>
      <c r="L54" s="317"/>
      <c r="M54" s="317"/>
      <c r="N54" s="317"/>
      <c r="O54" s="317"/>
      <c r="P54" s="317"/>
      <c r="Q54" s="321"/>
      <c r="R54" s="317"/>
      <c r="S54" s="321"/>
      <c r="T54" s="318"/>
      <c r="U54" s="318"/>
      <c r="V54" s="318"/>
      <c r="W54" s="318"/>
      <c r="X54" s="317"/>
      <c r="Y54" s="318"/>
      <c r="Z54" s="318"/>
      <c r="AA54" s="319"/>
      <c r="AB54" s="329"/>
      <c r="AC54" s="329"/>
      <c r="AD54" s="329"/>
      <c r="AE54" s="329"/>
      <c r="AF54" s="329"/>
      <c r="AG54" s="329"/>
      <c r="AH54" s="329"/>
      <c r="AI54" s="329"/>
      <c r="AJ54" s="329"/>
      <c r="AK54" s="329"/>
    </row>
    <row r="55" ht="20.25" customHeight="1">
      <c r="A55" s="309">
        <v>48.0</v>
      </c>
      <c r="B55" s="310"/>
      <c r="C55" s="324"/>
      <c r="D55" s="312" t="str">
        <f t="shared" si="4"/>
        <v>https://api.paylibo.com/paylibo/generator/czech/image?accountNumber=1248728083&amp;bankCode=3030&amp;amount=0&amp;currency=CZK&amp;message=Kamenice-</v>
      </c>
      <c r="E55" s="313" t="str">
        <f t="shared" si="5"/>
        <v/>
      </c>
      <c r="F55" s="313">
        <f t="shared" si="6"/>
        <v>0</v>
      </c>
      <c r="G55" s="314">
        <f t="shared" si="7"/>
        <v>0</v>
      </c>
      <c r="H55" s="320"/>
      <c r="I55" s="320"/>
      <c r="J55" s="330">
        <f t="shared" si="8"/>
        <v>0</v>
      </c>
      <c r="K55" s="316"/>
      <c r="L55" s="317"/>
      <c r="M55" s="317"/>
      <c r="N55" s="317"/>
      <c r="O55" s="317"/>
      <c r="P55" s="317"/>
      <c r="Q55" s="317"/>
      <c r="R55" s="317"/>
      <c r="S55" s="317"/>
      <c r="T55" s="318"/>
      <c r="U55" s="318"/>
      <c r="V55" s="318"/>
      <c r="W55" s="318"/>
      <c r="X55" s="317"/>
      <c r="Y55" s="318"/>
      <c r="Z55" s="318"/>
      <c r="AA55" s="319"/>
      <c r="AB55" s="308"/>
      <c r="AC55" s="308"/>
      <c r="AD55" s="308"/>
      <c r="AE55" s="308"/>
      <c r="AF55" s="308"/>
      <c r="AG55" s="308"/>
      <c r="AH55" s="308"/>
      <c r="AI55" s="308"/>
      <c r="AJ55" s="308"/>
      <c r="AK55" s="308"/>
    </row>
    <row r="56" ht="20.25" customHeight="1">
      <c r="A56" s="333">
        <v>49.0</v>
      </c>
      <c r="B56" s="334"/>
      <c r="C56" s="335"/>
      <c r="D56" s="336" t="str">
        <f t="shared" si="4"/>
        <v>https://api.paylibo.com/paylibo/generator/czech/image?accountNumber=1248728083&amp;bankCode=3030&amp;amount=0&amp;currency=CZK&amp;message=Kamenice-</v>
      </c>
      <c r="E56" s="337" t="str">
        <f t="shared" si="5"/>
        <v/>
      </c>
      <c r="F56" s="337">
        <f t="shared" si="6"/>
        <v>0</v>
      </c>
      <c r="G56" s="338">
        <f t="shared" si="7"/>
        <v>0</v>
      </c>
      <c r="H56" s="339"/>
      <c r="I56" s="339"/>
      <c r="J56" s="340">
        <f t="shared" si="8"/>
        <v>0</v>
      </c>
      <c r="K56" s="316"/>
      <c r="L56" s="317"/>
      <c r="M56" s="317"/>
      <c r="N56" s="317"/>
      <c r="O56" s="317"/>
      <c r="P56" s="317"/>
      <c r="Q56" s="321"/>
      <c r="R56" s="321"/>
      <c r="S56" s="321"/>
      <c r="T56" s="321"/>
      <c r="U56" s="321"/>
      <c r="V56" s="321"/>
      <c r="W56" s="321"/>
      <c r="X56" s="321"/>
      <c r="Y56" s="318"/>
      <c r="Z56" s="318"/>
      <c r="AA56" s="319"/>
      <c r="AB56" s="308"/>
      <c r="AC56" s="308"/>
      <c r="AD56" s="308"/>
      <c r="AE56" s="308"/>
      <c r="AF56" s="308"/>
      <c r="AG56" s="308"/>
      <c r="AH56" s="308"/>
      <c r="AI56" s="308"/>
      <c r="AJ56" s="308"/>
      <c r="AK56" s="308"/>
    </row>
    <row r="57">
      <c r="A57" s="341"/>
      <c r="B57" s="105"/>
      <c r="C57" s="105"/>
      <c r="D57" s="106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</row>
    <row r="58">
      <c r="B58" s="105"/>
      <c r="C58" s="105"/>
      <c r="D58" s="106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</row>
    <row r="59">
      <c r="B59" s="105"/>
      <c r="C59" s="105"/>
      <c r="D59" s="106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</row>
    <row r="60">
      <c r="B60" s="342"/>
      <c r="C60" s="108" t="s">
        <v>28</v>
      </c>
      <c r="D60" s="109"/>
      <c r="E60" s="110"/>
      <c r="F60" s="110" t="s">
        <v>29</v>
      </c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</row>
    <row r="61">
      <c r="B61" s="342"/>
      <c r="C61" s="111"/>
      <c r="D61" s="112"/>
      <c r="E61" s="113"/>
      <c r="F61" s="113" t="s">
        <v>30</v>
      </c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</row>
    <row r="62">
      <c r="B62" s="342"/>
      <c r="C62" s="111"/>
      <c r="D62" s="112"/>
      <c r="E62" s="113"/>
      <c r="F62" s="113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</row>
    <row r="63">
      <c r="B63" s="342"/>
      <c r="C63" s="114"/>
      <c r="D63" s="115"/>
      <c r="E63" s="116"/>
      <c r="F63" s="116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</row>
    <row r="64">
      <c r="B64" s="342"/>
      <c r="C64" s="117" t="s">
        <v>31</v>
      </c>
      <c r="D64" s="112"/>
      <c r="E64" s="113"/>
      <c r="F64" s="113" t="s">
        <v>32</v>
      </c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</row>
    <row r="65">
      <c r="B65" s="342"/>
      <c r="C65" s="111"/>
      <c r="D65" s="112"/>
      <c r="E65" s="113"/>
      <c r="F65" s="113" t="s">
        <v>33</v>
      </c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</row>
    <row r="66">
      <c r="B66" s="342"/>
      <c r="C66" s="111"/>
      <c r="D66" s="112"/>
      <c r="E66" s="113"/>
      <c r="F66" s="113" t="s">
        <v>34</v>
      </c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</row>
    <row r="67">
      <c r="B67" s="342"/>
      <c r="C67" s="111"/>
      <c r="D67" s="112"/>
      <c r="E67" s="113"/>
      <c r="F67" s="113" t="s">
        <v>35</v>
      </c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</row>
    <row r="68">
      <c r="B68" s="342"/>
      <c r="C68" s="114"/>
      <c r="D68" s="115"/>
      <c r="E68" s="116"/>
      <c r="F68" s="116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</row>
    <row r="69">
      <c r="B69" s="342"/>
      <c r="C69" s="117" t="s">
        <v>36</v>
      </c>
      <c r="D69" s="112"/>
      <c r="E69" s="113"/>
      <c r="F69" s="113" t="s">
        <v>37</v>
      </c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</row>
    <row r="70">
      <c r="B70" s="342"/>
      <c r="C70" s="111"/>
      <c r="D70" s="112"/>
      <c r="E70" s="113"/>
      <c r="F70" s="113" t="s">
        <v>38</v>
      </c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</row>
    <row r="71">
      <c r="B71" s="342"/>
      <c r="C71" s="111"/>
      <c r="D71" s="112"/>
      <c r="E71" s="113"/>
      <c r="F71" s="113" t="s">
        <v>39</v>
      </c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</row>
    <row r="72">
      <c r="B72" s="342"/>
      <c r="C72" s="111"/>
      <c r="D72" s="112"/>
      <c r="E72" s="113"/>
      <c r="F72" s="113" t="s">
        <v>40</v>
      </c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</row>
    <row r="73">
      <c r="B73" s="342"/>
      <c r="C73" s="114"/>
      <c r="D73" s="115"/>
      <c r="E73" s="116"/>
      <c r="F73" s="116" t="s">
        <v>41</v>
      </c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</row>
    <row r="74">
      <c r="B74" s="342"/>
      <c r="C74" s="118" t="s">
        <v>42</v>
      </c>
      <c r="D74" s="119"/>
      <c r="E74" s="120"/>
      <c r="F74" s="120" t="s">
        <v>43</v>
      </c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</row>
    <row r="75">
      <c r="B75" s="342"/>
      <c r="C75" s="117" t="s">
        <v>44</v>
      </c>
      <c r="D75" s="112"/>
      <c r="E75" s="113"/>
      <c r="F75" s="113" t="s">
        <v>39</v>
      </c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</row>
    <row r="76">
      <c r="B76" s="342"/>
      <c r="C76" s="111"/>
      <c r="D76" s="112"/>
      <c r="E76" s="113"/>
      <c r="F76" s="113" t="s">
        <v>45</v>
      </c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</row>
    <row r="77">
      <c r="B77" s="342"/>
      <c r="C77" s="111"/>
      <c r="D77" s="112"/>
      <c r="E77" s="113"/>
      <c r="F77" s="113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</row>
    <row r="78">
      <c r="B78" s="342"/>
      <c r="C78" s="114"/>
      <c r="D78" s="115"/>
      <c r="E78" s="116"/>
      <c r="F78" s="116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</row>
    <row r="79">
      <c r="B79" s="342"/>
      <c r="C79" s="117" t="s">
        <v>46</v>
      </c>
      <c r="D79" s="112"/>
      <c r="E79" s="113"/>
      <c r="F79" s="113" t="s">
        <v>47</v>
      </c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</row>
    <row r="80">
      <c r="B80" s="342"/>
      <c r="C80" s="111"/>
      <c r="D80" s="112"/>
      <c r="E80" s="113"/>
      <c r="F80" s="113" t="s">
        <v>48</v>
      </c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</row>
    <row r="81">
      <c r="B81" s="342"/>
      <c r="C81" s="111"/>
      <c r="D81" s="112"/>
      <c r="E81" s="113"/>
      <c r="F81" s="113" t="s">
        <v>49</v>
      </c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>
      <c r="B82" s="342"/>
      <c r="C82" s="111"/>
      <c r="D82" s="112"/>
      <c r="E82" s="113"/>
      <c r="F82" s="113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</row>
    <row r="83">
      <c r="B83" s="342"/>
      <c r="C83" s="114"/>
      <c r="D83" s="115"/>
      <c r="E83" s="116"/>
      <c r="F83" s="116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</row>
  </sheetData>
  <autoFilter ref="$A$9:$AA$56"/>
  <mergeCells count="6">
    <mergeCell ref="A1:C1"/>
    <mergeCell ref="C60:C63"/>
    <mergeCell ref="C64:C68"/>
    <mergeCell ref="C69:C73"/>
    <mergeCell ref="C75:C78"/>
    <mergeCell ref="C79:C83"/>
  </mergeCells>
  <dataValidations>
    <dataValidation type="list" allowBlank="1" sqref="B10:C56">
      <formula1>seznam_clenu_OVT!$A$2:$A$100</formula1>
    </dataValidation>
    <dataValidation type="list" allowBlank="1" showErrorMessage="1" sqref="K5:AA5">
      <formula1>pomocna_tabulka!$A$2:$A$3</formula1>
    </dataValidation>
    <dataValidation type="list" allowBlank="1" sqref="K10:AA56">
      <formula1>pomocna_tabulka!$B$2:$B$3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2" max="2" width="21.0"/>
    <col customWidth="1" min="3" max="3" width="16.86"/>
    <col customWidth="1" hidden="1" min="4" max="4" width="16.71"/>
    <col hidden="1" min="5" max="5" width="14.43"/>
    <col customWidth="1" min="6" max="6" width="15.29"/>
    <col customWidth="1" min="9" max="25" width="11.86"/>
  </cols>
  <sheetData>
    <row r="1">
      <c r="A1" s="1"/>
      <c r="B1" s="1"/>
      <c r="C1" s="2" t="s">
        <v>0</v>
      </c>
      <c r="D1" s="3"/>
      <c r="E1" s="3"/>
      <c r="H1" s="4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  <c r="AH1" s="7"/>
      <c r="AI1" s="7"/>
    </row>
    <row r="2">
      <c r="A2" s="8" t="s">
        <v>1</v>
      </c>
      <c r="B2" s="9"/>
      <c r="C2" s="10" t="s">
        <v>2</v>
      </c>
      <c r="D2" s="11"/>
      <c r="E2" s="12"/>
      <c r="H2" s="13" t="s">
        <v>3</v>
      </c>
      <c r="I2" s="14" t="s">
        <v>4</v>
      </c>
      <c r="J2" s="15"/>
      <c r="K2" s="15"/>
      <c r="L2" s="15"/>
      <c r="M2" s="16"/>
      <c r="N2" s="16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7"/>
      <c r="AA2" s="7"/>
      <c r="AB2" s="7"/>
      <c r="AC2" s="7"/>
      <c r="AD2" s="7"/>
      <c r="AE2" s="7"/>
      <c r="AF2" s="7"/>
      <c r="AG2" s="7"/>
      <c r="AH2" s="7"/>
      <c r="AI2" s="7"/>
    </row>
    <row r="3">
      <c r="A3" s="17"/>
      <c r="B3" s="18"/>
      <c r="C3" s="19"/>
      <c r="D3" s="11"/>
      <c r="E3" s="12"/>
      <c r="H3" s="13"/>
      <c r="I3" s="14"/>
      <c r="J3" s="15"/>
      <c r="K3" s="15"/>
      <c r="L3" s="20"/>
      <c r="M3" s="15"/>
      <c r="N3" s="15"/>
      <c r="O3" s="15"/>
      <c r="P3" s="15"/>
      <c r="Q3" s="15"/>
      <c r="R3" s="15"/>
      <c r="S3" s="15"/>
      <c r="T3" s="15"/>
      <c r="U3" s="15"/>
      <c r="V3" s="21"/>
      <c r="W3" s="15"/>
      <c r="X3" s="15"/>
      <c r="Y3" s="15"/>
      <c r="Z3" s="7"/>
      <c r="AA3" s="7"/>
      <c r="AB3" s="7"/>
      <c r="AC3" s="7"/>
      <c r="AD3" s="7"/>
      <c r="AE3" s="7"/>
      <c r="AF3" s="7"/>
      <c r="AG3" s="7"/>
      <c r="AH3" s="7"/>
      <c r="AI3" s="7"/>
    </row>
    <row r="4">
      <c r="A4" s="17"/>
      <c r="B4" s="18"/>
      <c r="C4" s="19"/>
      <c r="D4" s="22"/>
      <c r="E4" s="23"/>
      <c r="H4" s="24" t="s">
        <v>5</v>
      </c>
      <c r="I4" s="25"/>
      <c r="J4" s="26"/>
      <c r="K4" s="26"/>
      <c r="L4" s="27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28"/>
      <c r="B5" s="29"/>
      <c r="C5" s="10" t="s">
        <v>6</v>
      </c>
      <c r="D5" s="22"/>
      <c r="E5" s="23"/>
      <c r="H5" s="24" t="s">
        <v>7</v>
      </c>
      <c r="I5" s="30">
        <v>2000.0</v>
      </c>
      <c r="J5" s="31"/>
      <c r="K5" s="27"/>
      <c r="L5" s="27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>
      <c r="A6" s="32" t="s">
        <v>8</v>
      </c>
      <c r="B6" s="33">
        <f>SUMIFS(I8:Y8,I8:Y8,"&gt;0")</f>
        <v>0</v>
      </c>
      <c r="C6" s="34">
        <v>1.248728083E9</v>
      </c>
      <c r="D6" s="23"/>
      <c r="E6" s="23"/>
      <c r="H6" s="35" t="s">
        <v>9</v>
      </c>
      <c r="I6" s="36" t="s">
        <v>10</v>
      </c>
      <c r="J6" s="37" t="s">
        <v>10</v>
      </c>
      <c r="K6" s="37" t="s">
        <v>10</v>
      </c>
      <c r="L6" s="37" t="s">
        <v>11</v>
      </c>
      <c r="M6" s="37" t="s">
        <v>10</v>
      </c>
      <c r="N6" s="37" t="s">
        <v>10</v>
      </c>
      <c r="O6" s="36" t="s">
        <v>10</v>
      </c>
      <c r="P6" s="37" t="s">
        <v>10</v>
      </c>
      <c r="Q6" s="37" t="s">
        <v>10</v>
      </c>
      <c r="R6" s="37" t="s">
        <v>10</v>
      </c>
      <c r="S6" s="37" t="s">
        <v>10</v>
      </c>
      <c r="T6" s="37" t="s">
        <v>10</v>
      </c>
      <c r="U6" s="37" t="s">
        <v>10</v>
      </c>
      <c r="V6" s="37" t="s">
        <v>10</v>
      </c>
      <c r="W6" s="37" t="s">
        <v>10</v>
      </c>
      <c r="X6" s="37" t="s">
        <v>10</v>
      </c>
      <c r="Y6" s="37" t="s">
        <v>10</v>
      </c>
    </row>
    <row r="7">
      <c r="A7" s="38" t="s">
        <v>12</v>
      </c>
      <c r="B7" s="39">
        <f>SUMIFS(I8:Y8,I8:Y8,"&lt;0")</f>
        <v>-2000</v>
      </c>
      <c r="C7" s="34" t="s">
        <v>13</v>
      </c>
      <c r="D7" s="23"/>
      <c r="E7" s="23"/>
      <c r="H7" s="40" t="s">
        <v>14</v>
      </c>
      <c r="I7" s="41">
        <f t="shared" ref="I7:Y7" si="1">COUNTIFS(I11:I36,"&lt;&gt;",I11:I36,"&lt;&gt;-")</f>
        <v>5</v>
      </c>
      <c r="J7" s="41">
        <f t="shared" si="1"/>
        <v>0</v>
      </c>
      <c r="K7" s="41">
        <f t="shared" si="1"/>
        <v>0</v>
      </c>
      <c r="L7" s="41">
        <f t="shared" si="1"/>
        <v>0</v>
      </c>
      <c r="M7" s="41">
        <f t="shared" si="1"/>
        <v>0</v>
      </c>
      <c r="N7" s="41">
        <f t="shared" si="1"/>
        <v>0</v>
      </c>
      <c r="O7" s="41">
        <f t="shared" si="1"/>
        <v>0</v>
      </c>
      <c r="P7" s="41">
        <f t="shared" si="1"/>
        <v>0</v>
      </c>
      <c r="Q7" s="41">
        <f t="shared" si="1"/>
        <v>0</v>
      </c>
      <c r="R7" s="41">
        <f t="shared" si="1"/>
        <v>0</v>
      </c>
      <c r="S7" s="41">
        <f t="shared" si="1"/>
        <v>0</v>
      </c>
      <c r="T7" s="41">
        <f t="shared" si="1"/>
        <v>0</v>
      </c>
      <c r="U7" s="41">
        <f t="shared" si="1"/>
        <v>0</v>
      </c>
      <c r="V7" s="41">
        <f t="shared" si="1"/>
        <v>0</v>
      </c>
      <c r="W7" s="41">
        <f t="shared" si="1"/>
        <v>0</v>
      </c>
      <c r="X7" s="41">
        <f t="shared" si="1"/>
        <v>0</v>
      </c>
      <c r="Y7" s="41">
        <f t="shared" si="1"/>
        <v>0</v>
      </c>
    </row>
    <row r="8">
      <c r="A8" s="42" t="s">
        <v>15</v>
      </c>
      <c r="B8" s="39">
        <f>SUM(F11:F36)</f>
        <v>-2000</v>
      </c>
      <c r="C8" s="34">
        <v>3030.0</v>
      </c>
      <c r="D8" s="23"/>
      <c r="E8" s="23"/>
      <c r="H8" s="40" t="s">
        <v>16</v>
      </c>
      <c r="I8" s="43">
        <f t="shared" ref="I8:X8" si="2">IF(I6="A - Rozdělit",I4-I5,IF(I6="B - Na hlavu",(I4-I5)*I7,"0"))</f>
        <v>-2000</v>
      </c>
      <c r="J8" s="43">
        <f t="shared" si="2"/>
        <v>0</v>
      </c>
      <c r="K8" s="43">
        <f t="shared" si="2"/>
        <v>0</v>
      </c>
      <c r="L8" s="43">
        <f t="shared" si="2"/>
        <v>0</v>
      </c>
      <c r="M8" s="43">
        <f t="shared" si="2"/>
        <v>0</v>
      </c>
      <c r="N8" s="43">
        <f t="shared" si="2"/>
        <v>0</v>
      </c>
      <c r="O8" s="43">
        <f t="shared" si="2"/>
        <v>0</v>
      </c>
      <c r="P8" s="43">
        <f t="shared" si="2"/>
        <v>0</v>
      </c>
      <c r="Q8" s="43">
        <f t="shared" si="2"/>
        <v>0</v>
      </c>
      <c r="R8" s="43">
        <f t="shared" si="2"/>
        <v>0</v>
      </c>
      <c r="S8" s="43">
        <f t="shared" si="2"/>
        <v>0</v>
      </c>
      <c r="T8" s="43">
        <f t="shared" si="2"/>
        <v>0</v>
      </c>
      <c r="U8" s="43">
        <f t="shared" si="2"/>
        <v>0</v>
      </c>
      <c r="V8" s="43">
        <f t="shared" si="2"/>
        <v>0</v>
      </c>
      <c r="W8" s="43">
        <f t="shared" si="2"/>
        <v>0</v>
      </c>
      <c r="X8" s="43">
        <f t="shared" si="2"/>
        <v>0</v>
      </c>
      <c r="Y8" s="44">
        <v>0.0</v>
      </c>
    </row>
    <row r="9">
      <c r="A9" s="45" t="s">
        <v>17</v>
      </c>
      <c r="B9" s="46">
        <f>B8-B6-B7</f>
        <v>0</v>
      </c>
      <c r="C9" s="47"/>
      <c r="D9" s="48"/>
      <c r="E9" s="48"/>
      <c r="H9" s="49" t="s">
        <v>18</v>
      </c>
      <c r="I9" s="50">
        <f t="shared" ref="I9:Y9" si="3">IF(I6="A - Rozdělit",(I4-I5)/I7,IF(I6="B - Na hlavu",I4-I5,"0"))</f>
        <v>-400</v>
      </c>
      <c r="J9" s="50" t="str">
        <f t="shared" si="3"/>
        <v>#DIV/0!</v>
      </c>
      <c r="K9" s="50" t="str">
        <f t="shared" si="3"/>
        <v>#DIV/0!</v>
      </c>
      <c r="L9" s="50">
        <f t="shared" si="3"/>
        <v>0</v>
      </c>
      <c r="M9" s="50" t="str">
        <f t="shared" si="3"/>
        <v>#DIV/0!</v>
      </c>
      <c r="N9" s="50" t="str">
        <f t="shared" si="3"/>
        <v>#DIV/0!</v>
      </c>
      <c r="O9" s="50" t="str">
        <f t="shared" si="3"/>
        <v>#DIV/0!</v>
      </c>
      <c r="P9" s="50" t="str">
        <f t="shared" si="3"/>
        <v>#DIV/0!</v>
      </c>
      <c r="Q9" s="50" t="str">
        <f t="shared" si="3"/>
        <v>#DIV/0!</v>
      </c>
      <c r="R9" s="50" t="str">
        <f t="shared" si="3"/>
        <v>#DIV/0!</v>
      </c>
      <c r="S9" s="50" t="str">
        <f t="shared" si="3"/>
        <v>#DIV/0!</v>
      </c>
      <c r="T9" s="50" t="str">
        <f t="shared" si="3"/>
        <v>#DIV/0!</v>
      </c>
      <c r="U9" s="50" t="str">
        <f t="shared" si="3"/>
        <v>#DIV/0!</v>
      </c>
      <c r="V9" s="50" t="str">
        <f t="shared" si="3"/>
        <v>#DIV/0!</v>
      </c>
      <c r="W9" s="50" t="str">
        <f t="shared" si="3"/>
        <v>#DIV/0!</v>
      </c>
      <c r="X9" s="50" t="str">
        <f t="shared" si="3"/>
        <v>#DIV/0!</v>
      </c>
      <c r="Y9" s="50" t="str">
        <f t="shared" si="3"/>
        <v>#DIV/0!</v>
      </c>
    </row>
    <row r="10">
      <c r="A10" s="51" t="s">
        <v>19</v>
      </c>
      <c r="B10" s="52" t="s">
        <v>20</v>
      </c>
      <c r="C10" s="53" t="s">
        <v>21</v>
      </c>
      <c r="D10" s="54" t="s">
        <v>22</v>
      </c>
      <c r="E10" s="55" t="s">
        <v>196</v>
      </c>
      <c r="F10" s="56" t="s">
        <v>197</v>
      </c>
      <c r="G10" s="57" t="s">
        <v>25</v>
      </c>
      <c r="H10" s="58" t="s">
        <v>26</v>
      </c>
      <c r="I10" s="59" t="s">
        <v>27</v>
      </c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1"/>
    </row>
    <row r="11">
      <c r="A11" s="62"/>
      <c r="B11" s="63" t="s">
        <v>198</v>
      </c>
      <c r="C11" s="64" t="str">
        <f t="shared" ref="C11:C36" si="4">"https://api.paylibo.com/paylibo/generator/czech/image?accountNumber="&amp;$C$6&amp;"&amp;bankCode="&amp;$C$8&amp;"&amp;amount="&amp;H11&amp;"&amp;currency=CZK&amp;message=Kamenice-"&amp;ENCODEURL(B11)</f>
        <v>https://api.paylibo.com/paylibo/generator/czech/image?accountNumber=1248728083&amp;bankCode=3030&amp;amount=-400&amp;currency=CZK&amp;message=Kamenice-Tom%C3%A1%C5%A1%20Mat%C4%9Bjka</v>
      </c>
      <c r="D11" s="65" t="str">
        <f t="shared" ref="D11:D36" si="5">IMAGE(C11,4,150,150)</f>
        <v/>
      </c>
      <c r="E11" s="65">
        <f t="shared" ref="E11:E36" si="6">SUMIFS($I$9:$Y$9,I11:Y11,"&lt;&gt;",I11:Y11,"&lt;&gt;-")</f>
        <v>-400</v>
      </c>
      <c r="F11" s="66">
        <f t="shared" ref="F11:F36" si="7">ROUNDUP(E11,0)</f>
        <v>-400</v>
      </c>
      <c r="G11" s="66"/>
      <c r="H11" s="67">
        <f t="shared" ref="H11:H36" si="8">F11-G11</f>
        <v>-400</v>
      </c>
      <c r="I11" s="68" t="s">
        <v>69</v>
      </c>
      <c r="J11" s="69"/>
      <c r="K11" s="69"/>
      <c r="L11" s="69"/>
      <c r="M11" s="69"/>
      <c r="N11" s="69"/>
      <c r="O11" s="69"/>
      <c r="P11" s="70"/>
      <c r="Q11" s="69"/>
      <c r="R11" s="70"/>
      <c r="S11" s="70"/>
      <c r="T11" s="70"/>
      <c r="U11" s="70"/>
      <c r="V11" s="71"/>
      <c r="W11" s="70"/>
      <c r="X11" s="70"/>
      <c r="Y11" s="72"/>
      <c r="Z11" s="73"/>
      <c r="AA11" s="73"/>
      <c r="AB11" s="73"/>
      <c r="AC11" s="73"/>
      <c r="AD11" s="73"/>
      <c r="AE11" s="73"/>
      <c r="AF11" s="73"/>
      <c r="AG11" s="73"/>
      <c r="AH11" s="73"/>
      <c r="AI11" s="73"/>
    </row>
    <row r="12">
      <c r="A12" s="74"/>
      <c r="B12" s="75" t="s">
        <v>199</v>
      </c>
      <c r="C12" s="64" t="str">
        <f t="shared" si="4"/>
        <v>https://api.paylibo.com/paylibo/generator/czech/image?accountNumber=1248728083&amp;bankCode=3030&amp;amount=-400&amp;currency=CZK&amp;message=Kamenice-Kl%C3%A1ra%20Mat%C4%9Bjkov%C3%A1</v>
      </c>
      <c r="D12" s="76" t="str">
        <f t="shared" si="5"/>
        <v/>
      </c>
      <c r="E12" s="77">
        <f t="shared" si="6"/>
        <v>-400</v>
      </c>
      <c r="F12" s="78">
        <f t="shared" si="7"/>
        <v>-400</v>
      </c>
      <c r="G12" s="78"/>
      <c r="H12" s="79">
        <f t="shared" si="8"/>
        <v>-400</v>
      </c>
      <c r="I12" s="80" t="s">
        <v>69</v>
      </c>
      <c r="J12" s="81"/>
      <c r="K12" s="81"/>
      <c r="L12" s="81"/>
      <c r="M12" s="81"/>
      <c r="N12" s="81"/>
      <c r="O12" s="81"/>
      <c r="P12" s="81"/>
      <c r="Q12" s="81"/>
      <c r="R12" s="82"/>
      <c r="S12" s="82"/>
      <c r="T12" s="82"/>
      <c r="U12" s="82"/>
      <c r="V12" s="81"/>
      <c r="W12" s="82"/>
      <c r="X12" s="82"/>
      <c r="Y12" s="83"/>
      <c r="Z12" s="73"/>
      <c r="AA12" s="73"/>
      <c r="AB12" s="73"/>
      <c r="AC12" s="73"/>
      <c r="AD12" s="73"/>
      <c r="AE12" s="73"/>
      <c r="AF12" s="73"/>
      <c r="AG12" s="73"/>
      <c r="AH12" s="73"/>
      <c r="AI12" s="73"/>
    </row>
    <row r="13">
      <c r="A13" s="84"/>
      <c r="B13" s="85" t="s">
        <v>200</v>
      </c>
      <c r="C13" s="64" t="str">
        <f t="shared" si="4"/>
        <v>https://api.paylibo.com/paylibo/generator/czech/image?accountNumber=1248728083&amp;bankCode=3030&amp;amount=-400&amp;currency=CZK&amp;message=Kamenice-Eva%20Mat%C4%9Bjkov%C3%A1</v>
      </c>
      <c r="D13" s="76" t="str">
        <f t="shared" si="5"/>
        <v/>
      </c>
      <c r="E13" s="76">
        <f t="shared" si="6"/>
        <v>-400</v>
      </c>
      <c r="F13" s="86">
        <f t="shared" si="7"/>
        <v>-400</v>
      </c>
      <c r="G13" s="86"/>
      <c r="H13" s="79">
        <f t="shared" si="8"/>
        <v>-400</v>
      </c>
      <c r="I13" s="87" t="s">
        <v>69</v>
      </c>
      <c r="J13" s="88"/>
      <c r="K13" s="88"/>
      <c r="L13" s="88"/>
      <c r="M13" s="88"/>
      <c r="N13" s="88"/>
      <c r="O13" s="88"/>
      <c r="P13" s="88"/>
      <c r="Q13" s="88"/>
      <c r="R13" s="89"/>
      <c r="S13" s="89"/>
      <c r="T13" s="89"/>
      <c r="U13" s="89"/>
      <c r="V13" s="88"/>
      <c r="W13" s="89"/>
      <c r="X13" s="89"/>
      <c r="Y13" s="90"/>
      <c r="Z13" s="73"/>
      <c r="AA13" s="73"/>
      <c r="AB13" s="73"/>
      <c r="AC13" s="73"/>
      <c r="AD13" s="73"/>
      <c r="AE13" s="73"/>
      <c r="AF13" s="73"/>
      <c r="AG13" s="73"/>
      <c r="AH13" s="73"/>
      <c r="AI13" s="73"/>
    </row>
    <row r="14">
      <c r="A14" s="74"/>
      <c r="B14" s="75" t="s">
        <v>147</v>
      </c>
      <c r="C14" s="64" t="str">
        <f t="shared" si="4"/>
        <v>https://api.paylibo.com/paylibo/generator/czech/image?accountNumber=1248728083&amp;bankCode=3030&amp;amount=0&amp;currency=CZK&amp;message=Kamenice-Fanda%20Mat%C4%9Bjka</v>
      </c>
      <c r="D14" s="76" t="str">
        <f t="shared" si="5"/>
        <v/>
      </c>
      <c r="E14" s="77">
        <f t="shared" si="6"/>
        <v>0</v>
      </c>
      <c r="F14" s="78">
        <f t="shared" si="7"/>
        <v>0</v>
      </c>
      <c r="G14" s="91"/>
      <c r="H14" s="79">
        <f t="shared" si="8"/>
        <v>0</v>
      </c>
      <c r="I14" s="80"/>
      <c r="J14" s="81"/>
      <c r="K14" s="81"/>
      <c r="L14" s="81"/>
      <c r="M14" s="81"/>
      <c r="N14" s="81"/>
      <c r="O14" s="81"/>
      <c r="P14" s="81"/>
      <c r="Q14" s="81"/>
      <c r="R14" s="82"/>
      <c r="S14" s="82"/>
      <c r="T14" s="82"/>
      <c r="U14" s="82"/>
      <c r="V14" s="81"/>
      <c r="W14" s="82"/>
      <c r="X14" s="82"/>
      <c r="Y14" s="83"/>
      <c r="Z14" s="73"/>
      <c r="AA14" s="73"/>
      <c r="AB14" s="73"/>
      <c r="AC14" s="73"/>
      <c r="AD14" s="73"/>
      <c r="AE14" s="73"/>
      <c r="AF14" s="73"/>
      <c r="AG14" s="73"/>
      <c r="AH14" s="73"/>
      <c r="AI14" s="73"/>
    </row>
    <row r="15">
      <c r="A15" s="84"/>
      <c r="B15" s="85" t="s">
        <v>145</v>
      </c>
      <c r="C15" s="64" t="str">
        <f t="shared" si="4"/>
        <v>https://api.paylibo.com/paylibo/generator/czech/image?accountNumber=1248728083&amp;bankCode=3030&amp;amount=0&amp;currency=CZK&amp;message=Kamenice-Oskar%20Mat%C4%9Bjka</v>
      </c>
      <c r="D15" s="76" t="str">
        <f t="shared" si="5"/>
        <v/>
      </c>
      <c r="E15" s="76">
        <f t="shared" si="6"/>
        <v>0</v>
      </c>
      <c r="F15" s="86">
        <f t="shared" si="7"/>
        <v>0</v>
      </c>
      <c r="G15" s="92"/>
      <c r="H15" s="79">
        <f t="shared" si="8"/>
        <v>0</v>
      </c>
      <c r="I15" s="87"/>
      <c r="J15" s="88"/>
      <c r="K15" s="88"/>
      <c r="L15" s="88"/>
      <c r="M15" s="88"/>
      <c r="N15" s="88"/>
      <c r="O15" s="88"/>
      <c r="P15" s="88"/>
      <c r="Q15" s="88"/>
      <c r="R15" s="89"/>
      <c r="S15" s="89"/>
      <c r="T15" s="89"/>
      <c r="U15" s="89"/>
      <c r="V15" s="88"/>
      <c r="W15" s="89"/>
      <c r="X15" s="89"/>
      <c r="Y15" s="90"/>
      <c r="Z15" s="73"/>
      <c r="AA15" s="73"/>
      <c r="AB15" s="73"/>
      <c r="AC15" s="73"/>
      <c r="AD15" s="73"/>
      <c r="AE15" s="73"/>
      <c r="AF15" s="73"/>
      <c r="AG15" s="73"/>
      <c r="AH15" s="73"/>
      <c r="AI15" s="73"/>
    </row>
    <row r="16">
      <c r="A16" s="74"/>
      <c r="B16" s="75" t="s">
        <v>146</v>
      </c>
      <c r="C16" s="64" t="str">
        <f t="shared" si="4"/>
        <v>https://api.paylibo.com/paylibo/generator/czech/image?accountNumber=1248728083&amp;bankCode=3030&amp;amount=0&amp;currency=CZK&amp;message=Kamenice-Marie%20Mat%C4%9Bjkov%C3%A1</v>
      </c>
      <c r="D16" s="76" t="str">
        <f t="shared" si="5"/>
        <v/>
      </c>
      <c r="E16" s="77">
        <f t="shared" si="6"/>
        <v>0</v>
      </c>
      <c r="F16" s="78">
        <f t="shared" si="7"/>
        <v>0</v>
      </c>
      <c r="G16" s="91"/>
      <c r="H16" s="79">
        <f t="shared" si="8"/>
        <v>0</v>
      </c>
      <c r="I16" s="80"/>
      <c r="J16" s="81"/>
      <c r="K16" s="81"/>
      <c r="L16" s="81"/>
      <c r="M16" s="81"/>
      <c r="N16" s="81"/>
      <c r="O16" s="81"/>
      <c r="P16" s="81"/>
      <c r="Q16" s="81"/>
      <c r="R16" s="82"/>
      <c r="S16" s="82"/>
      <c r="T16" s="82"/>
      <c r="U16" s="82"/>
      <c r="V16" s="81"/>
      <c r="W16" s="82"/>
      <c r="X16" s="82"/>
      <c r="Y16" s="83"/>
      <c r="Z16" s="73"/>
      <c r="AA16" s="73"/>
      <c r="AB16" s="73"/>
      <c r="AC16" s="73"/>
      <c r="AD16" s="73"/>
      <c r="AE16" s="73"/>
      <c r="AF16" s="73"/>
      <c r="AG16" s="73"/>
      <c r="AH16" s="73"/>
      <c r="AI16" s="73"/>
    </row>
    <row r="17">
      <c r="A17" s="84"/>
      <c r="B17" s="85" t="s">
        <v>201</v>
      </c>
      <c r="C17" s="64" t="str">
        <f t="shared" si="4"/>
        <v>https://api.paylibo.com/paylibo/generator/czech/image?accountNumber=1248728083&amp;bankCode=3030&amp;amount=-400&amp;currency=CZK&amp;message=Kamenice-Tom%C3%A1%C5%A1%20Bauer</v>
      </c>
      <c r="D17" s="76" t="str">
        <f t="shared" si="5"/>
        <v/>
      </c>
      <c r="E17" s="76">
        <f t="shared" si="6"/>
        <v>-400</v>
      </c>
      <c r="F17" s="86">
        <f t="shared" si="7"/>
        <v>-400</v>
      </c>
      <c r="G17" s="86"/>
      <c r="H17" s="79">
        <f t="shared" si="8"/>
        <v>-400</v>
      </c>
      <c r="I17" s="87" t="s">
        <v>69</v>
      </c>
      <c r="J17" s="88"/>
      <c r="K17" s="88"/>
      <c r="L17" s="88"/>
      <c r="M17" s="88"/>
      <c r="N17" s="88"/>
      <c r="O17" s="88"/>
      <c r="P17" s="88"/>
      <c r="Q17" s="88"/>
      <c r="R17" s="89"/>
      <c r="S17" s="89"/>
      <c r="T17" s="89"/>
      <c r="U17" s="89"/>
      <c r="V17" s="88"/>
      <c r="W17" s="89"/>
      <c r="X17" s="89"/>
      <c r="Y17" s="90"/>
      <c r="Z17" s="73"/>
      <c r="AA17" s="73"/>
      <c r="AB17" s="73"/>
      <c r="AC17" s="73"/>
      <c r="AD17" s="73"/>
      <c r="AE17" s="73"/>
      <c r="AF17" s="73"/>
      <c r="AG17" s="73"/>
      <c r="AH17" s="73"/>
      <c r="AI17" s="73"/>
    </row>
    <row r="18">
      <c r="A18" s="74"/>
      <c r="B18" s="75" t="s">
        <v>202</v>
      </c>
      <c r="C18" s="64" t="str">
        <f t="shared" si="4"/>
        <v>https://api.paylibo.com/paylibo/generator/czech/image?accountNumber=1248728083&amp;bankCode=3030&amp;amount=0&amp;currency=CZK&amp;message=Kamenice-Tobi%C3%A1%C5%A1%20Bauer</v>
      </c>
      <c r="D18" s="76" t="str">
        <f t="shared" si="5"/>
        <v/>
      </c>
      <c r="E18" s="77">
        <f t="shared" si="6"/>
        <v>0</v>
      </c>
      <c r="F18" s="78">
        <f t="shared" si="7"/>
        <v>0</v>
      </c>
      <c r="G18" s="78"/>
      <c r="H18" s="79">
        <f t="shared" si="8"/>
        <v>0</v>
      </c>
      <c r="I18" s="80"/>
      <c r="J18" s="81"/>
      <c r="K18" s="81"/>
      <c r="L18" s="81"/>
      <c r="M18" s="81"/>
      <c r="N18" s="81"/>
      <c r="O18" s="81"/>
      <c r="P18" s="81"/>
      <c r="Q18" s="81"/>
      <c r="R18" s="82"/>
      <c r="S18" s="82"/>
      <c r="T18" s="82"/>
      <c r="U18" s="82"/>
      <c r="V18" s="81"/>
      <c r="W18" s="82"/>
      <c r="X18" s="82"/>
      <c r="Y18" s="83"/>
      <c r="Z18" s="73"/>
      <c r="AA18" s="73"/>
      <c r="AB18" s="73"/>
      <c r="AC18" s="73"/>
      <c r="AD18" s="73"/>
      <c r="AE18" s="73"/>
      <c r="AF18" s="73"/>
      <c r="AG18" s="73"/>
      <c r="AH18" s="73"/>
      <c r="AI18" s="73"/>
    </row>
    <row r="19">
      <c r="A19" s="84"/>
      <c r="B19" s="85" t="s">
        <v>203</v>
      </c>
      <c r="C19" s="64" t="str">
        <f t="shared" si="4"/>
        <v>https://api.paylibo.com/paylibo/generator/czech/image?accountNumber=1248728083&amp;bankCode=3030&amp;amount=0&amp;currency=CZK&amp;message=Kamenice-Martin%20Bauer</v>
      </c>
      <c r="D19" s="76" t="str">
        <f t="shared" si="5"/>
        <v/>
      </c>
      <c r="E19" s="76">
        <f t="shared" si="6"/>
        <v>0</v>
      </c>
      <c r="F19" s="86">
        <f t="shared" si="7"/>
        <v>0</v>
      </c>
      <c r="G19" s="92"/>
      <c r="H19" s="79">
        <f t="shared" si="8"/>
        <v>0</v>
      </c>
      <c r="I19" s="87"/>
      <c r="J19" s="88"/>
      <c r="K19" s="88"/>
      <c r="L19" s="88"/>
      <c r="M19" s="88"/>
      <c r="N19" s="88"/>
      <c r="O19" s="88"/>
      <c r="P19" s="88"/>
      <c r="Q19" s="88"/>
      <c r="R19" s="89"/>
      <c r="S19" s="89"/>
      <c r="T19" s="89"/>
      <c r="U19" s="89"/>
      <c r="V19" s="88"/>
      <c r="W19" s="89"/>
      <c r="X19" s="89"/>
      <c r="Y19" s="90"/>
      <c r="Z19" s="73"/>
      <c r="AA19" s="73"/>
      <c r="AB19" s="73"/>
      <c r="AC19" s="73"/>
      <c r="AD19" s="73"/>
      <c r="AE19" s="73"/>
      <c r="AF19" s="73"/>
      <c r="AG19" s="73"/>
      <c r="AH19" s="73"/>
      <c r="AI19" s="73"/>
    </row>
    <row r="20">
      <c r="A20" s="74"/>
      <c r="B20" s="75" t="s">
        <v>204</v>
      </c>
      <c r="C20" s="64" t="str">
        <f t="shared" si="4"/>
        <v>https://api.paylibo.com/paylibo/generator/czech/image?accountNumber=1248728083&amp;bankCode=3030&amp;amount=-400&amp;currency=CZK&amp;message=Kamenice-Katka%20M%C4%9Brkov%C3%A1</v>
      </c>
      <c r="D20" s="76" t="str">
        <f t="shared" si="5"/>
        <v/>
      </c>
      <c r="E20" s="77">
        <f t="shared" si="6"/>
        <v>-400</v>
      </c>
      <c r="F20" s="78">
        <f t="shared" si="7"/>
        <v>-400</v>
      </c>
      <c r="G20" s="91"/>
      <c r="H20" s="79">
        <f t="shared" si="8"/>
        <v>-400</v>
      </c>
      <c r="I20" s="80" t="s">
        <v>69</v>
      </c>
      <c r="J20" s="81"/>
      <c r="K20" s="81"/>
      <c r="L20" s="81"/>
      <c r="M20" s="81"/>
      <c r="N20" s="81"/>
      <c r="O20" s="81"/>
      <c r="P20" s="81"/>
      <c r="Q20" s="81"/>
      <c r="R20" s="82"/>
      <c r="S20" s="82"/>
      <c r="T20" s="82"/>
      <c r="U20" s="82"/>
      <c r="V20" s="81"/>
      <c r="W20" s="82"/>
      <c r="X20" s="82"/>
      <c r="Y20" s="83"/>
      <c r="Z20" s="73"/>
      <c r="AA20" s="73"/>
      <c r="AB20" s="73"/>
      <c r="AC20" s="73"/>
      <c r="AD20" s="73"/>
      <c r="AE20" s="73"/>
      <c r="AF20" s="73"/>
      <c r="AG20" s="73"/>
      <c r="AH20" s="73"/>
      <c r="AI20" s="73"/>
    </row>
    <row r="21">
      <c r="A21" s="84"/>
      <c r="B21" s="85"/>
      <c r="C21" s="64" t="str">
        <f t="shared" si="4"/>
        <v>https://api.paylibo.com/paylibo/generator/czech/image?accountNumber=1248728083&amp;bankCode=3030&amp;amount=0&amp;currency=CZK&amp;message=Kamenice-</v>
      </c>
      <c r="D21" s="76" t="str">
        <f t="shared" si="5"/>
        <v/>
      </c>
      <c r="E21" s="76">
        <f t="shared" si="6"/>
        <v>0</v>
      </c>
      <c r="F21" s="86">
        <f t="shared" si="7"/>
        <v>0</v>
      </c>
      <c r="G21" s="92"/>
      <c r="H21" s="79">
        <f t="shared" si="8"/>
        <v>0</v>
      </c>
      <c r="I21" s="87"/>
      <c r="J21" s="88"/>
      <c r="K21" s="88"/>
      <c r="L21" s="88"/>
      <c r="M21" s="88"/>
      <c r="N21" s="88"/>
      <c r="O21" s="88"/>
      <c r="P21" s="88"/>
      <c r="Q21" s="88"/>
      <c r="R21" s="89"/>
      <c r="S21" s="89"/>
      <c r="T21" s="89"/>
      <c r="U21" s="89"/>
      <c r="V21" s="88"/>
      <c r="W21" s="89"/>
      <c r="X21" s="89"/>
      <c r="Y21" s="90"/>
      <c r="Z21" s="73"/>
      <c r="AA21" s="73"/>
      <c r="AB21" s="73"/>
      <c r="AC21" s="73"/>
      <c r="AD21" s="73"/>
      <c r="AE21" s="73"/>
      <c r="AF21" s="73"/>
      <c r="AG21" s="73"/>
      <c r="AH21" s="73"/>
      <c r="AI21" s="73"/>
    </row>
    <row r="22">
      <c r="A22" s="74"/>
      <c r="B22" s="75"/>
      <c r="C22" s="64" t="str">
        <f t="shared" si="4"/>
        <v>https://api.paylibo.com/paylibo/generator/czech/image?accountNumber=1248728083&amp;bankCode=3030&amp;amount=0&amp;currency=CZK&amp;message=Kamenice-</v>
      </c>
      <c r="D22" s="76" t="str">
        <f t="shared" si="5"/>
        <v/>
      </c>
      <c r="E22" s="77">
        <f t="shared" si="6"/>
        <v>0</v>
      </c>
      <c r="F22" s="78">
        <f t="shared" si="7"/>
        <v>0</v>
      </c>
      <c r="G22" s="91"/>
      <c r="H22" s="79">
        <f t="shared" si="8"/>
        <v>0</v>
      </c>
      <c r="I22" s="80"/>
      <c r="J22" s="81"/>
      <c r="K22" s="81"/>
      <c r="L22" s="81"/>
      <c r="M22" s="81"/>
      <c r="N22" s="81"/>
      <c r="O22" s="93"/>
      <c r="P22" s="81"/>
      <c r="Q22" s="93"/>
      <c r="R22" s="82"/>
      <c r="S22" s="82"/>
      <c r="T22" s="82"/>
      <c r="U22" s="82"/>
      <c r="V22" s="81"/>
      <c r="W22" s="82"/>
      <c r="X22" s="82"/>
      <c r="Y22" s="83"/>
      <c r="Z22" s="73"/>
      <c r="AA22" s="73"/>
      <c r="AB22" s="73"/>
      <c r="AC22" s="73"/>
      <c r="AD22" s="73"/>
      <c r="AE22" s="73"/>
      <c r="AF22" s="73"/>
      <c r="AG22" s="73"/>
      <c r="AH22" s="73"/>
      <c r="AI22" s="73"/>
    </row>
    <row r="23">
      <c r="A23" s="84"/>
      <c r="B23" s="85"/>
      <c r="C23" s="64" t="str">
        <f t="shared" si="4"/>
        <v>https://api.paylibo.com/paylibo/generator/czech/image?accountNumber=1248728083&amp;bankCode=3030&amp;amount=0&amp;currency=CZK&amp;message=Kamenice-</v>
      </c>
      <c r="D23" s="76" t="str">
        <f t="shared" si="5"/>
        <v/>
      </c>
      <c r="E23" s="76">
        <f t="shared" si="6"/>
        <v>0</v>
      </c>
      <c r="F23" s="86">
        <f t="shared" si="7"/>
        <v>0</v>
      </c>
      <c r="G23" s="92"/>
      <c r="H23" s="79">
        <f t="shared" si="8"/>
        <v>0</v>
      </c>
      <c r="I23" s="87"/>
      <c r="J23" s="88"/>
      <c r="K23" s="88"/>
      <c r="L23" s="88"/>
      <c r="M23" s="88"/>
      <c r="N23" s="88"/>
      <c r="O23" s="94"/>
      <c r="P23" s="88"/>
      <c r="Q23" s="94"/>
      <c r="R23" s="89"/>
      <c r="S23" s="89"/>
      <c r="T23" s="89"/>
      <c r="U23" s="89"/>
      <c r="V23" s="88"/>
      <c r="W23" s="89"/>
      <c r="X23" s="89"/>
      <c r="Y23" s="90"/>
      <c r="Z23" s="73"/>
      <c r="AA23" s="73"/>
      <c r="AB23" s="73"/>
      <c r="AC23" s="73"/>
      <c r="AD23" s="73"/>
      <c r="AE23" s="73"/>
      <c r="AF23" s="73"/>
      <c r="AG23" s="73"/>
      <c r="AH23" s="73"/>
      <c r="AI23" s="73"/>
    </row>
    <row r="24">
      <c r="A24" s="74"/>
      <c r="B24" s="75"/>
      <c r="C24" s="64" t="str">
        <f t="shared" si="4"/>
        <v>https://api.paylibo.com/paylibo/generator/czech/image?accountNumber=1248728083&amp;bankCode=3030&amp;amount=0&amp;currency=CZK&amp;message=Kamenice-</v>
      </c>
      <c r="D24" s="76" t="str">
        <f t="shared" si="5"/>
        <v/>
      </c>
      <c r="E24" s="77">
        <f t="shared" si="6"/>
        <v>0</v>
      </c>
      <c r="F24" s="78">
        <f t="shared" si="7"/>
        <v>0</v>
      </c>
      <c r="G24" s="91"/>
      <c r="H24" s="79">
        <f t="shared" si="8"/>
        <v>0</v>
      </c>
      <c r="I24" s="95"/>
      <c r="J24" s="81"/>
      <c r="K24" s="81"/>
      <c r="L24" s="81"/>
      <c r="M24" s="81"/>
      <c r="N24" s="81"/>
      <c r="O24" s="93"/>
      <c r="P24" s="81"/>
      <c r="Q24" s="93"/>
      <c r="R24" s="82"/>
      <c r="S24" s="82"/>
      <c r="T24" s="82"/>
      <c r="U24" s="82"/>
      <c r="V24" s="81"/>
      <c r="W24" s="82"/>
      <c r="X24" s="82"/>
      <c r="Y24" s="83"/>
      <c r="Z24" s="73"/>
      <c r="AA24" s="73"/>
      <c r="AB24" s="73"/>
      <c r="AC24" s="73"/>
      <c r="AD24" s="73"/>
      <c r="AE24" s="73"/>
      <c r="AF24" s="73"/>
      <c r="AG24" s="73"/>
      <c r="AH24" s="73"/>
      <c r="AI24" s="73"/>
    </row>
    <row r="25">
      <c r="A25" s="84"/>
      <c r="B25" s="85"/>
      <c r="C25" s="64" t="str">
        <f t="shared" si="4"/>
        <v>https://api.paylibo.com/paylibo/generator/czech/image?accountNumber=1248728083&amp;bankCode=3030&amp;amount=0&amp;currency=CZK&amp;message=Kamenice-</v>
      </c>
      <c r="D25" s="76" t="str">
        <f t="shared" si="5"/>
        <v/>
      </c>
      <c r="E25" s="76">
        <f t="shared" si="6"/>
        <v>0</v>
      </c>
      <c r="F25" s="86">
        <f t="shared" si="7"/>
        <v>0</v>
      </c>
      <c r="G25" s="92"/>
      <c r="H25" s="79">
        <f t="shared" si="8"/>
        <v>0</v>
      </c>
      <c r="I25" s="87"/>
      <c r="J25" s="88"/>
      <c r="K25" s="88"/>
      <c r="L25" s="88"/>
      <c r="M25" s="88"/>
      <c r="N25" s="88"/>
      <c r="O25" s="88"/>
      <c r="P25" s="88"/>
      <c r="Q25" s="88"/>
      <c r="R25" s="89"/>
      <c r="S25" s="89"/>
      <c r="T25" s="89"/>
      <c r="U25" s="89"/>
      <c r="V25" s="88"/>
      <c r="W25" s="89"/>
      <c r="X25" s="89"/>
      <c r="Y25" s="90"/>
      <c r="Z25" s="73"/>
      <c r="AA25" s="73"/>
      <c r="AB25" s="73"/>
      <c r="AC25" s="73"/>
      <c r="AD25" s="73"/>
      <c r="AE25" s="73"/>
      <c r="AF25" s="73"/>
      <c r="AG25" s="73"/>
      <c r="AH25" s="73"/>
      <c r="AI25" s="73"/>
    </row>
    <row r="26">
      <c r="A26" s="74"/>
      <c r="B26" s="75"/>
      <c r="C26" s="64" t="str">
        <f t="shared" si="4"/>
        <v>https://api.paylibo.com/paylibo/generator/czech/image?accountNumber=1248728083&amp;bankCode=3030&amp;amount=0&amp;currency=CZK&amp;message=Kamenice-</v>
      </c>
      <c r="D26" s="76" t="str">
        <f t="shared" si="5"/>
        <v/>
      </c>
      <c r="E26" s="77">
        <f t="shared" si="6"/>
        <v>0</v>
      </c>
      <c r="F26" s="78">
        <f t="shared" si="7"/>
        <v>0</v>
      </c>
      <c r="G26" s="78"/>
      <c r="H26" s="79">
        <f t="shared" si="8"/>
        <v>0</v>
      </c>
      <c r="I26" s="80"/>
      <c r="J26" s="81"/>
      <c r="K26" s="81"/>
      <c r="L26" s="81"/>
      <c r="M26" s="81"/>
      <c r="N26" s="81"/>
      <c r="O26" s="81"/>
      <c r="P26" s="81"/>
      <c r="Q26" s="81"/>
      <c r="R26" s="82"/>
      <c r="S26" s="82"/>
      <c r="T26" s="82"/>
      <c r="U26" s="82"/>
      <c r="V26" s="81"/>
      <c r="W26" s="82"/>
      <c r="X26" s="82"/>
      <c r="Y26" s="83"/>
      <c r="Z26" s="73"/>
      <c r="AA26" s="73"/>
      <c r="AB26" s="73"/>
      <c r="AC26" s="73"/>
      <c r="AD26" s="73"/>
      <c r="AE26" s="73"/>
      <c r="AF26" s="73"/>
      <c r="AG26" s="73"/>
      <c r="AH26" s="73"/>
      <c r="AI26" s="73"/>
    </row>
    <row r="27">
      <c r="A27" s="84"/>
      <c r="B27" s="85"/>
      <c r="C27" s="64" t="str">
        <f t="shared" si="4"/>
        <v>https://api.paylibo.com/paylibo/generator/czech/image?accountNumber=1248728083&amp;bankCode=3030&amp;amount=0&amp;currency=CZK&amp;message=Kamenice-</v>
      </c>
      <c r="D27" s="76" t="str">
        <f t="shared" si="5"/>
        <v/>
      </c>
      <c r="E27" s="76">
        <f t="shared" si="6"/>
        <v>0</v>
      </c>
      <c r="F27" s="86">
        <f t="shared" si="7"/>
        <v>0</v>
      </c>
      <c r="G27" s="86"/>
      <c r="H27" s="79">
        <f t="shared" si="8"/>
        <v>0</v>
      </c>
      <c r="I27" s="96"/>
      <c r="J27" s="88"/>
      <c r="K27" s="94"/>
      <c r="L27" s="88"/>
      <c r="M27" s="88"/>
      <c r="N27" s="88"/>
      <c r="O27" s="88"/>
      <c r="P27" s="88"/>
      <c r="Q27" s="88"/>
      <c r="R27" s="89"/>
      <c r="S27" s="89"/>
      <c r="T27" s="89"/>
      <c r="U27" s="89"/>
      <c r="V27" s="88"/>
      <c r="W27" s="89"/>
      <c r="X27" s="89"/>
      <c r="Y27" s="90"/>
      <c r="Z27" s="73"/>
      <c r="AA27" s="73"/>
      <c r="AB27" s="73"/>
      <c r="AC27" s="73"/>
      <c r="AD27" s="73"/>
      <c r="AE27" s="73"/>
      <c r="AF27" s="73"/>
      <c r="AG27" s="73"/>
      <c r="AH27" s="73"/>
      <c r="AI27" s="73"/>
    </row>
    <row r="28">
      <c r="A28" s="74"/>
      <c r="B28" s="85"/>
      <c r="C28" s="64" t="str">
        <f t="shared" si="4"/>
        <v>https://api.paylibo.com/paylibo/generator/czech/image?accountNumber=1248728083&amp;bankCode=3030&amp;amount=0&amp;currency=CZK&amp;message=Kamenice-</v>
      </c>
      <c r="D28" s="76" t="str">
        <f t="shared" si="5"/>
        <v/>
      </c>
      <c r="E28" s="77">
        <f t="shared" si="6"/>
        <v>0</v>
      </c>
      <c r="F28" s="78">
        <f t="shared" si="7"/>
        <v>0</v>
      </c>
      <c r="G28" s="78"/>
      <c r="H28" s="79">
        <f t="shared" si="8"/>
        <v>0</v>
      </c>
      <c r="I28" s="95"/>
      <c r="J28" s="81"/>
      <c r="K28" s="93"/>
      <c r="L28" s="81"/>
      <c r="M28" s="93"/>
      <c r="N28" s="93"/>
      <c r="O28" s="81"/>
      <c r="P28" s="81"/>
      <c r="Q28" s="81"/>
      <c r="R28" s="82"/>
      <c r="S28" s="82"/>
      <c r="T28" s="82"/>
      <c r="U28" s="82"/>
      <c r="V28" s="81"/>
      <c r="W28" s="82"/>
      <c r="X28" s="82"/>
      <c r="Y28" s="83"/>
      <c r="Z28" s="73"/>
      <c r="AA28" s="73"/>
      <c r="AB28" s="73"/>
      <c r="AC28" s="73"/>
      <c r="AD28" s="73"/>
      <c r="AE28" s="73"/>
      <c r="AF28" s="73"/>
      <c r="AG28" s="73"/>
      <c r="AH28" s="73"/>
      <c r="AI28" s="73"/>
    </row>
    <row r="29">
      <c r="A29" s="84"/>
      <c r="B29" s="85"/>
      <c r="C29" s="64" t="str">
        <f t="shared" si="4"/>
        <v>https://api.paylibo.com/paylibo/generator/czech/image?accountNumber=1248728083&amp;bankCode=3030&amp;amount=0&amp;currency=CZK&amp;message=Kamenice-</v>
      </c>
      <c r="D29" s="76" t="str">
        <f t="shared" si="5"/>
        <v/>
      </c>
      <c r="E29" s="76">
        <f t="shared" si="6"/>
        <v>0</v>
      </c>
      <c r="F29" s="86">
        <f t="shared" si="7"/>
        <v>0</v>
      </c>
      <c r="G29" s="86"/>
      <c r="H29" s="79">
        <f t="shared" si="8"/>
        <v>0</v>
      </c>
      <c r="I29" s="96"/>
      <c r="J29" s="88"/>
      <c r="K29" s="94"/>
      <c r="L29" s="88"/>
      <c r="M29" s="94"/>
      <c r="N29" s="94"/>
      <c r="O29" s="88"/>
      <c r="P29" s="88"/>
      <c r="Q29" s="88"/>
      <c r="R29" s="89"/>
      <c r="S29" s="89"/>
      <c r="T29" s="89"/>
      <c r="U29" s="89"/>
      <c r="V29" s="88"/>
      <c r="W29" s="89"/>
      <c r="X29" s="89"/>
      <c r="Y29" s="90"/>
      <c r="Z29" s="73"/>
      <c r="AA29" s="73"/>
      <c r="AB29" s="73"/>
      <c r="AC29" s="73"/>
      <c r="AD29" s="73"/>
      <c r="AE29" s="73"/>
      <c r="AF29" s="73"/>
      <c r="AG29" s="73"/>
      <c r="AH29" s="73"/>
      <c r="AI29" s="73"/>
    </row>
    <row r="30">
      <c r="A30" s="74"/>
      <c r="B30" s="85"/>
      <c r="C30" s="64" t="str">
        <f t="shared" si="4"/>
        <v>https://api.paylibo.com/paylibo/generator/czech/image?accountNumber=1248728083&amp;bankCode=3030&amp;amount=0&amp;currency=CZK&amp;message=Kamenice-</v>
      </c>
      <c r="D30" s="76" t="str">
        <f t="shared" si="5"/>
        <v/>
      </c>
      <c r="E30" s="77">
        <f t="shared" si="6"/>
        <v>0</v>
      </c>
      <c r="F30" s="78">
        <f t="shared" si="7"/>
        <v>0</v>
      </c>
      <c r="G30" s="78"/>
      <c r="H30" s="79">
        <f t="shared" si="8"/>
        <v>0</v>
      </c>
      <c r="I30" s="95"/>
      <c r="J30" s="81"/>
      <c r="K30" s="93"/>
      <c r="L30" s="81"/>
      <c r="M30" s="93"/>
      <c r="N30" s="93"/>
      <c r="O30" s="81"/>
      <c r="P30" s="81"/>
      <c r="Q30" s="81"/>
      <c r="R30" s="82"/>
      <c r="S30" s="82"/>
      <c r="T30" s="82"/>
      <c r="U30" s="82"/>
      <c r="V30" s="81"/>
      <c r="W30" s="82"/>
      <c r="X30" s="82"/>
      <c r="Y30" s="83"/>
      <c r="Z30" s="73"/>
      <c r="AA30" s="73"/>
      <c r="AB30" s="73"/>
      <c r="AC30" s="73"/>
      <c r="AD30" s="73"/>
      <c r="AE30" s="73"/>
      <c r="AF30" s="73"/>
      <c r="AG30" s="73"/>
      <c r="AH30" s="73"/>
      <c r="AI30" s="73"/>
    </row>
    <row r="31">
      <c r="A31" s="84"/>
      <c r="B31" s="85"/>
      <c r="C31" s="64" t="str">
        <f t="shared" si="4"/>
        <v>https://api.paylibo.com/paylibo/generator/czech/image?accountNumber=1248728083&amp;bankCode=3030&amp;amount=0&amp;currency=CZK&amp;message=Kamenice-</v>
      </c>
      <c r="D31" s="76" t="str">
        <f t="shared" si="5"/>
        <v/>
      </c>
      <c r="E31" s="76">
        <f t="shared" si="6"/>
        <v>0</v>
      </c>
      <c r="F31" s="86">
        <f t="shared" si="7"/>
        <v>0</v>
      </c>
      <c r="G31" s="86"/>
      <c r="H31" s="79">
        <f t="shared" si="8"/>
        <v>0</v>
      </c>
      <c r="I31" s="96"/>
      <c r="J31" s="88"/>
      <c r="K31" s="94"/>
      <c r="L31" s="88"/>
      <c r="M31" s="94"/>
      <c r="N31" s="94"/>
      <c r="O31" s="88"/>
      <c r="P31" s="88"/>
      <c r="Q31" s="88"/>
      <c r="R31" s="89"/>
      <c r="S31" s="89"/>
      <c r="T31" s="89"/>
      <c r="U31" s="89"/>
      <c r="V31" s="88"/>
      <c r="W31" s="89"/>
      <c r="X31" s="89"/>
      <c r="Y31" s="90"/>
      <c r="Z31" s="73"/>
      <c r="AA31" s="73"/>
      <c r="AB31" s="73"/>
      <c r="AC31" s="73"/>
      <c r="AD31" s="73"/>
      <c r="AE31" s="73"/>
      <c r="AF31" s="73"/>
      <c r="AG31" s="73"/>
      <c r="AH31" s="73"/>
      <c r="AI31" s="73"/>
    </row>
    <row r="32">
      <c r="A32" s="74"/>
      <c r="B32" s="85"/>
      <c r="C32" s="64" t="str">
        <f t="shared" si="4"/>
        <v>https://api.paylibo.com/paylibo/generator/czech/image?accountNumber=1248728083&amp;bankCode=3030&amp;amount=0&amp;currency=CZK&amp;message=Kamenice-</v>
      </c>
      <c r="D32" s="76" t="str">
        <f t="shared" si="5"/>
        <v/>
      </c>
      <c r="E32" s="77">
        <f t="shared" si="6"/>
        <v>0</v>
      </c>
      <c r="F32" s="78">
        <f t="shared" si="7"/>
        <v>0</v>
      </c>
      <c r="G32" s="78"/>
      <c r="H32" s="79">
        <f t="shared" si="8"/>
        <v>0</v>
      </c>
      <c r="I32" s="95"/>
      <c r="J32" s="81"/>
      <c r="K32" s="93"/>
      <c r="L32" s="81"/>
      <c r="M32" s="93"/>
      <c r="N32" s="93"/>
      <c r="O32" s="81"/>
      <c r="P32" s="81"/>
      <c r="Q32" s="81"/>
      <c r="R32" s="82"/>
      <c r="S32" s="82"/>
      <c r="T32" s="82"/>
      <c r="U32" s="82"/>
      <c r="V32" s="81"/>
      <c r="W32" s="82"/>
      <c r="X32" s="82"/>
      <c r="Y32" s="83"/>
      <c r="Z32" s="73"/>
      <c r="AA32" s="73"/>
      <c r="AB32" s="73"/>
      <c r="AC32" s="73"/>
      <c r="AD32" s="73"/>
      <c r="AE32" s="73"/>
      <c r="AF32" s="73"/>
      <c r="AG32" s="73"/>
      <c r="AH32" s="73"/>
      <c r="AI32" s="73"/>
    </row>
    <row r="33">
      <c r="A33" s="84"/>
      <c r="B33" s="85"/>
      <c r="C33" s="64" t="str">
        <f t="shared" si="4"/>
        <v>https://api.paylibo.com/paylibo/generator/czech/image?accountNumber=1248728083&amp;bankCode=3030&amp;amount=0&amp;currency=CZK&amp;message=Kamenice-</v>
      </c>
      <c r="D33" s="76" t="str">
        <f t="shared" si="5"/>
        <v/>
      </c>
      <c r="E33" s="76">
        <f t="shared" si="6"/>
        <v>0</v>
      </c>
      <c r="F33" s="86">
        <f t="shared" si="7"/>
        <v>0</v>
      </c>
      <c r="G33" s="86"/>
      <c r="H33" s="79">
        <f t="shared" si="8"/>
        <v>0</v>
      </c>
      <c r="I33" s="96"/>
      <c r="J33" s="88"/>
      <c r="K33" s="94"/>
      <c r="L33" s="88"/>
      <c r="M33" s="94"/>
      <c r="N33" s="94"/>
      <c r="O33" s="88"/>
      <c r="P33" s="88"/>
      <c r="Q33" s="88"/>
      <c r="R33" s="89"/>
      <c r="S33" s="89"/>
      <c r="T33" s="89"/>
      <c r="U33" s="89"/>
      <c r="V33" s="88"/>
      <c r="W33" s="89"/>
      <c r="X33" s="89"/>
      <c r="Y33" s="90"/>
      <c r="Z33" s="73"/>
      <c r="AA33" s="73"/>
      <c r="AB33" s="73"/>
      <c r="AC33" s="73"/>
      <c r="AD33" s="73"/>
      <c r="AE33" s="73"/>
      <c r="AF33" s="73"/>
      <c r="AG33" s="73"/>
      <c r="AH33" s="73"/>
      <c r="AI33" s="73"/>
    </row>
    <row r="34">
      <c r="A34" s="74"/>
      <c r="B34" s="85"/>
      <c r="C34" s="64" t="str">
        <f t="shared" si="4"/>
        <v>https://api.paylibo.com/paylibo/generator/czech/image?accountNumber=1248728083&amp;bankCode=3030&amp;amount=0&amp;currency=CZK&amp;message=Kamenice-</v>
      </c>
      <c r="D34" s="76" t="str">
        <f t="shared" si="5"/>
        <v/>
      </c>
      <c r="E34" s="77">
        <f t="shared" si="6"/>
        <v>0</v>
      </c>
      <c r="F34" s="78">
        <f t="shared" si="7"/>
        <v>0</v>
      </c>
      <c r="G34" s="78"/>
      <c r="H34" s="79">
        <f t="shared" si="8"/>
        <v>0</v>
      </c>
      <c r="I34" s="95"/>
      <c r="J34" s="81"/>
      <c r="K34" s="93"/>
      <c r="L34" s="81"/>
      <c r="M34" s="93"/>
      <c r="N34" s="93"/>
      <c r="O34" s="81"/>
      <c r="P34" s="81"/>
      <c r="Q34" s="81"/>
      <c r="R34" s="82"/>
      <c r="S34" s="82"/>
      <c r="T34" s="82"/>
      <c r="U34" s="82"/>
      <c r="V34" s="81"/>
      <c r="W34" s="82"/>
      <c r="X34" s="82"/>
      <c r="Y34" s="83"/>
      <c r="Z34" s="73"/>
      <c r="AA34" s="73"/>
      <c r="AB34" s="73"/>
      <c r="AC34" s="73"/>
      <c r="AD34" s="73"/>
      <c r="AE34" s="73"/>
      <c r="AF34" s="73"/>
      <c r="AG34" s="73"/>
      <c r="AH34" s="73"/>
      <c r="AI34" s="73"/>
    </row>
    <row r="35">
      <c r="A35" s="84"/>
      <c r="B35" s="97"/>
      <c r="C35" s="64" t="str">
        <f t="shared" si="4"/>
        <v>https://api.paylibo.com/paylibo/generator/czech/image?accountNumber=1248728083&amp;bankCode=3030&amp;amount=0&amp;currency=CZK&amp;message=Kamenice-</v>
      </c>
      <c r="D35" s="76" t="str">
        <f t="shared" si="5"/>
        <v/>
      </c>
      <c r="E35" s="76">
        <f t="shared" si="6"/>
        <v>0</v>
      </c>
      <c r="F35" s="86">
        <f t="shared" si="7"/>
        <v>0</v>
      </c>
      <c r="G35" s="92"/>
      <c r="H35" s="79">
        <f t="shared" si="8"/>
        <v>0</v>
      </c>
      <c r="I35" s="87"/>
      <c r="J35" s="88"/>
      <c r="K35" s="88"/>
      <c r="L35" s="88"/>
      <c r="M35" s="88"/>
      <c r="N35" s="88"/>
      <c r="O35" s="88"/>
      <c r="P35" s="94"/>
      <c r="Q35" s="88"/>
      <c r="R35" s="94"/>
      <c r="S35" s="94"/>
      <c r="T35" s="94"/>
      <c r="U35" s="94"/>
      <c r="V35" s="94"/>
      <c r="W35" s="89"/>
      <c r="X35" s="89"/>
      <c r="Y35" s="90"/>
      <c r="Z35" s="73"/>
      <c r="AA35" s="73"/>
      <c r="AB35" s="73"/>
      <c r="AC35" s="73"/>
      <c r="AD35" s="73"/>
      <c r="AE35" s="73"/>
      <c r="AF35" s="73"/>
      <c r="AG35" s="73"/>
      <c r="AH35" s="73"/>
      <c r="AI35" s="73"/>
    </row>
    <row r="36">
      <c r="A36" s="98"/>
      <c r="B36" s="99"/>
      <c r="C36" s="64" t="str">
        <f t="shared" si="4"/>
        <v>https://api.paylibo.com/paylibo/generator/czech/image?accountNumber=1248728083&amp;bankCode=3030&amp;amount=0&amp;currency=CZK&amp;message=Kamenice-</v>
      </c>
      <c r="D36" s="100" t="str">
        <f t="shared" si="5"/>
        <v/>
      </c>
      <c r="E36" s="101">
        <f t="shared" si="6"/>
        <v>0</v>
      </c>
      <c r="F36" s="102">
        <f t="shared" si="7"/>
        <v>0</v>
      </c>
      <c r="G36" s="103"/>
      <c r="H36" s="104">
        <f t="shared" si="8"/>
        <v>0</v>
      </c>
      <c r="I36" s="80"/>
      <c r="J36" s="81"/>
      <c r="K36" s="81"/>
      <c r="L36" s="81"/>
      <c r="M36" s="81"/>
      <c r="N36" s="81"/>
      <c r="O36" s="93"/>
      <c r="P36" s="93"/>
      <c r="Q36" s="93"/>
      <c r="R36" s="93"/>
      <c r="S36" s="93"/>
      <c r="T36" s="93"/>
      <c r="U36" s="93"/>
      <c r="V36" s="93"/>
      <c r="W36" s="82"/>
      <c r="X36" s="82"/>
      <c r="Y36" s="83"/>
      <c r="Z36" s="73"/>
      <c r="AA36" s="73"/>
      <c r="AB36" s="73"/>
      <c r="AC36" s="73"/>
      <c r="AD36" s="73"/>
      <c r="AE36" s="73"/>
      <c r="AF36" s="73"/>
      <c r="AG36" s="73"/>
      <c r="AH36" s="73"/>
      <c r="AI36" s="73"/>
    </row>
    <row r="37">
      <c r="B37" s="105"/>
      <c r="C37" s="106"/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  <c r="O37" s="107"/>
      <c r="P37" s="107"/>
      <c r="Q37" s="107"/>
      <c r="R37" s="107"/>
      <c r="S37" s="107"/>
      <c r="T37" s="107"/>
      <c r="U37" s="107"/>
      <c r="V37" s="107"/>
      <c r="W37" s="107"/>
      <c r="X37" s="107"/>
      <c r="Y37" s="107"/>
    </row>
    <row r="38">
      <c r="B38" s="105"/>
      <c r="C38" s="106"/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</row>
    <row r="39">
      <c r="B39" s="105"/>
      <c r="C39" s="106"/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</row>
    <row r="40">
      <c r="B40" s="343" t="s">
        <v>199</v>
      </c>
      <c r="C40" s="344">
        <v>1.0</v>
      </c>
      <c r="D40" s="345" t="s">
        <v>205</v>
      </c>
      <c r="E40" s="110" t="s">
        <v>29</v>
      </c>
      <c r="F40" s="107"/>
      <c r="G40" s="107"/>
      <c r="H40" s="346" t="s">
        <v>206</v>
      </c>
      <c r="I40" s="346"/>
      <c r="J40" s="346"/>
      <c r="K40" s="346"/>
      <c r="L40" s="346"/>
      <c r="M40" s="346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</row>
    <row r="41">
      <c r="B41" s="343" t="s">
        <v>204</v>
      </c>
      <c r="C41" s="344">
        <v>1.0</v>
      </c>
      <c r="D41" s="345" t="s">
        <v>205</v>
      </c>
      <c r="E41" s="113" t="s">
        <v>30</v>
      </c>
      <c r="F41" s="107"/>
      <c r="G41" s="107"/>
      <c r="H41" s="347" t="s">
        <v>20</v>
      </c>
      <c r="I41" s="347" t="s">
        <v>207</v>
      </c>
      <c r="J41" s="347" t="s">
        <v>208</v>
      </c>
      <c r="K41" s="347" t="s">
        <v>209</v>
      </c>
      <c r="L41" s="347" t="s">
        <v>210</v>
      </c>
      <c r="M41" s="346" t="s">
        <v>211</v>
      </c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</row>
    <row r="42">
      <c r="B42" s="343" t="s">
        <v>212</v>
      </c>
      <c r="C42" s="344">
        <v>1.0</v>
      </c>
      <c r="D42" s="348" t="s">
        <v>213</v>
      </c>
      <c r="E42" s="113"/>
      <c r="F42" s="107"/>
      <c r="G42" s="107"/>
      <c r="H42" s="346" t="s">
        <v>43</v>
      </c>
      <c r="I42" s="346" t="s">
        <v>214</v>
      </c>
      <c r="J42" s="349">
        <v>1.0</v>
      </c>
      <c r="K42" s="349">
        <v>50.0</v>
      </c>
      <c r="L42" s="349">
        <f t="shared" ref="L42:L68" si="9">J42*K42</f>
        <v>50</v>
      </c>
      <c r="M42" s="350" t="s">
        <v>215</v>
      </c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</row>
    <row r="43">
      <c r="B43" s="343" t="s">
        <v>216</v>
      </c>
      <c r="C43" s="344">
        <v>1.0</v>
      </c>
      <c r="D43" s="351"/>
      <c r="E43" s="116"/>
      <c r="F43" s="107"/>
      <c r="G43" s="107"/>
      <c r="H43" s="346" t="s">
        <v>217</v>
      </c>
      <c r="I43" s="346" t="s">
        <v>218</v>
      </c>
      <c r="J43" s="349">
        <v>1.0</v>
      </c>
      <c r="K43" s="349">
        <v>50.0</v>
      </c>
      <c r="L43" s="349">
        <f t="shared" si="9"/>
        <v>50</v>
      </c>
      <c r="M43" s="350" t="s">
        <v>215</v>
      </c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</row>
    <row r="44">
      <c r="B44" s="352" t="s">
        <v>198</v>
      </c>
      <c r="C44" s="344">
        <v>1.0</v>
      </c>
      <c r="D44" s="348" t="s">
        <v>219</v>
      </c>
      <c r="E44" s="113" t="s">
        <v>32</v>
      </c>
      <c r="F44" s="107"/>
      <c r="G44" s="107"/>
      <c r="H44" s="346" t="s">
        <v>220</v>
      </c>
      <c r="I44" s="346" t="s">
        <v>221</v>
      </c>
      <c r="J44" s="349">
        <v>1.0</v>
      </c>
      <c r="K44" s="349">
        <v>50.0</v>
      </c>
      <c r="L44" s="349">
        <f t="shared" si="9"/>
        <v>50</v>
      </c>
      <c r="M44" s="350" t="s">
        <v>215</v>
      </c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</row>
    <row r="45">
      <c r="B45" s="352" t="s">
        <v>145</v>
      </c>
      <c r="C45" s="344">
        <v>1.0</v>
      </c>
      <c r="D45" s="353"/>
      <c r="E45" s="113" t="s">
        <v>33</v>
      </c>
      <c r="F45" s="107"/>
      <c r="G45" s="107"/>
      <c r="H45" s="346" t="s">
        <v>216</v>
      </c>
      <c r="I45" s="346"/>
      <c r="J45" s="349">
        <v>1.0</v>
      </c>
      <c r="K45" s="349">
        <v>50.0</v>
      </c>
      <c r="L45" s="349">
        <f t="shared" si="9"/>
        <v>50</v>
      </c>
      <c r="M45" s="350" t="s">
        <v>215</v>
      </c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</row>
    <row r="46">
      <c r="B46" s="352" t="s">
        <v>146</v>
      </c>
      <c r="C46" s="344">
        <v>1.0</v>
      </c>
      <c r="D46" s="353"/>
      <c r="E46" s="113" t="s">
        <v>34</v>
      </c>
      <c r="F46" s="107"/>
      <c r="G46" s="107"/>
      <c r="H46" s="354" t="s">
        <v>222</v>
      </c>
      <c r="I46" s="346"/>
      <c r="J46" s="346"/>
      <c r="K46" s="346"/>
      <c r="L46" s="349">
        <f t="shared" si="9"/>
        <v>0</v>
      </c>
      <c r="M46" s="350" t="s">
        <v>215</v>
      </c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</row>
    <row r="47">
      <c r="B47" s="352" t="s">
        <v>200</v>
      </c>
      <c r="C47" s="344">
        <v>1.0</v>
      </c>
      <c r="D47" s="353"/>
      <c r="E47" s="113" t="s">
        <v>35</v>
      </c>
      <c r="F47" s="107"/>
      <c r="G47" s="107"/>
      <c r="H47" s="355" t="s">
        <v>198</v>
      </c>
      <c r="I47" s="346"/>
      <c r="J47" s="349">
        <v>1.0</v>
      </c>
      <c r="K47" s="349">
        <v>50.0</v>
      </c>
      <c r="L47" s="349">
        <f t="shared" si="9"/>
        <v>50</v>
      </c>
      <c r="M47" s="350" t="s">
        <v>215</v>
      </c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</row>
    <row r="48">
      <c r="B48" s="352" t="s">
        <v>147</v>
      </c>
      <c r="C48" s="344">
        <v>1.0</v>
      </c>
      <c r="D48" s="353"/>
      <c r="E48" s="116"/>
      <c r="F48" s="107"/>
      <c r="G48" s="107"/>
      <c r="H48" s="355" t="s">
        <v>145</v>
      </c>
      <c r="I48" s="346"/>
      <c r="J48" s="349">
        <v>1.0</v>
      </c>
      <c r="K48" s="349">
        <v>50.0</v>
      </c>
      <c r="L48" s="349">
        <f t="shared" si="9"/>
        <v>50</v>
      </c>
      <c r="M48" s="350" t="s">
        <v>215</v>
      </c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</row>
    <row r="49">
      <c r="B49" s="352" t="s">
        <v>201</v>
      </c>
      <c r="C49" s="344">
        <v>1.0</v>
      </c>
      <c r="D49" s="353"/>
      <c r="E49" s="113" t="s">
        <v>37</v>
      </c>
      <c r="F49" s="107"/>
      <c r="G49" s="107"/>
      <c r="H49" s="355" t="s">
        <v>146</v>
      </c>
      <c r="I49" s="346"/>
      <c r="J49" s="349">
        <v>1.0</v>
      </c>
      <c r="K49" s="349">
        <v>50.0</v>
      </c>
      <c r="L49" s="349">
        <f t="shared" si="9"/>
        <v>50</v>
      </c>
      <c r="M49" s="350" t="s">
        <v>215</v>
      </c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</row>
    <row r="50">
      <c r="B50" s="352" t="s">
        <v>203</v>
      </c>
      <c r="C50" s="344">
        <v>1.0</v>
      </c>
      <c r="D50" s="353"/>
      <c r="E50" s="113" t="s">
        <v>38</v>
      </c>
      <c r="F50" s="107"/>
      <c r="G50" s="107"/>
      <c r="H50" s="355" t="s">
        <v>200</v>
      </c>
      <c r="I50" s="346"/>
      <c r="J50" s="349">
        <v>1.0</v>
      </c>
      <c r="K50" s="349">
        <v>50.0</v>
      </c>
      <c r="L50" s="349">
        <f t="shared" si="9"/>
        <v>50</v>
      </c>
      <c r="M50" s="350" t="s">
        <v>215</v>
      </c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</row>
    <row r="51">
      <c r="B51" s="352" t="s">
        <v>202</v>
      </c>
      <c r="C51" s="344">
        <v>1.0</v>
      </c>
      <c r="D51" s="353"/>
      <c r="E51" s="113" t="s">
        <v>39</v>
      </c>
      <c r="F51" s="107"/>
      <c r="G51" s="107"/>
      <c r="H51" s="355" t="s">
        <v>147</v>
      </c>
      <c r="I51" s="346"/>
      <c r="J51" s="349">
        <v>1.0</v>
      </c>
      <c r="K51" s="349">
        <v>50.0</v>
      </c>
      <c r="L51" s="349">
        <f t="shared" si="9"/>
        <v>50</v>
      </c>
      <c r="M51" s="350" t="s">
        <v>215</v>
      </c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</row>
    <row r="52">
      <c r="B52" s="356" t="s">
        <v>223</v>
      </c>
      <c r="C52" s="344">
        <v>1.0</v>
      </c>
      <c r="D52" s="348" t="s">
        <v>224</v>
      </c>
      <c r="E52" s="113" t="s">
        <v>40</v>
      </c>
      <c r="F52" s="107"/>
      <c r="G52" s="107"/>
      <c r="H52" s="355" t="s">
        <v>201</v>
      </c>
      <c r="I52" s="346"/>
      <c r="J52" s="349">
        <v>1.0</v>
      </c>
      <c r="K52" s="349">
        <v>50.0</v>
      </c>
      <c r="L52" s="349">
        <f t="shared" si="9"/>
        <v>50</v>
      </c>
      <c r="M52" s="350" t="s">
        <v>215</v>
      </c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</row>
    <row r="53">
      <c r="B53" s="356" t="s">
        <v>225</v>
      </c>
      <c r="C53" s="344">
        <v>1.0</v>
      </c>
      <c r="D53" s="351"/>
      <c r="E53" s="116" t="s">
        <v>41</v>
      </c>
      <c r="F53" s="107"/>
      <c r="G53" s="107"/>
      <c r="H53" s="355" t="s">
        <v>203</v>
      </c>
      <c r="I53" s="346"/>
      <c r="J53" s="349">
        <v>1.0</v>
      </c>
      <c r="K53" s="349">
        <v>50.0</v>
      </c>
      <c r="L53" s="349">
        <f t="shared" si="9"/>
        <v>50</v>
      </c>
      <c r="M53" s="350" t="s">
        <v>215</v>
      </c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</row>
    <row r="54">
      <c r="B54" s="356" t="s">
        <v>226</v>
      </c>
      <c r="C54" s="344">
        <v>1.0</v>
      </c>
      <c r="D54" s="345" t="s">
        <v>205</v>
      </c>
      <c r="E54" s="120" t="s">
        <v>43</v>
      </c>
      <c r="F54" s="107"/>
      <c r="G54" s="107"/>
      <c r="H54" s="355" t="s">
        <v>202</v>
      </c>
      <c r="I54" s="346"/>
      <c r="J54" s="349">
        <v>1.0</v>
      </c>
      <c r="K54" s="349">
        <v>50.0</v>
      </c>
      <c r="L54" s="349">
        <f t="shared" si="9"/>
        <v>50</v>
      </c>
      <c r="M54" s="350" t="s">
        <v>215</v>
      </c>
      <c r="N54" s="107"/>
      <c r="O54" s="107"/>
      <c r="P54" s="107"/>
      <c r="Q54" s="107"/>
      <c r="R54" s="107"/>
      <c r="S54" s="107"/>
      <c r="T54" s="107"/>
      <c r="U54" s="107"/>
      <c r="V54" s="107"/>
      <c r="W54" s="107"/>
      <c r="X54" s="107"/>
      <c r="Y54" s="107"/>
    </row>
    <row r="55">
      <c r="B55" s="356" t="s">
        <v>227</v>
      </c>
      <c r="C55" s="344">
        <v>1.0</v>
      </c>
      <c r="D55" s="348" t="s">
        <v>213</v>
      </c>
      <c r="E55" s="113" t="s">
        <v>39</v>
      </c>
      <c r="F55" s="107"/>
      <c r="G55" s="107"/>
      <c r="H55" s="346" t="s">
        <v>228</v>
      </c>
      <c r="I55" s="346"/>
      <c r="J55" s="346"/>
      <c r="K55" s="346"/>
      <c r="L55" s="349">
        <f t="shared" si="9"/>
        <v>0</v>
      </c>
      <c r="M55" s="350" t="s">
        <v>215</v>
      </c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</row>
    <row r="56">
      <c r="B56" s="357" t="s">
        <v>229</v>
      </c>
      <c r="C56" s="344">
        <v>1.0</v>
      </c>
      <c r="D56" s="353"/>
      <c r="E56" s="113" t="s">
        <v>45</v>
      </c>
      <c r="F56" s="107"/>
      <c r="G56" s="107"/>
      <c r="H56" s="355" t="s">
        <v>230</v>
      </c>
      <c r="I56" s="346"/>
      <c r="J56" s="349">
        <v>1.0</v>
      </c>
      <c r="K56" s="349">
        <v>50.0</v>
      </c>
      <c r="L56" s="349">
        <f t="shared" si="9"/>
        <v>50</v>
      </c>
      <c r="M56" s="350" t="s">
        <v>215</v>
      </c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</row>
    <row r="57">
      <c r="B57" s="343" t="s">
        <v>231</v>
      </c>
      <c r="C57" s="344">
        <v>1.0</v>
      </c>
      <c r="D57" s="345" t="s">
        <v>205</v>
      </c>
      <c r="E57" s="113"/>
      <c r="F57" s="107"/>
      <c r="G57" s="107"/>
      <c r="H57" s="355" t="s">
        <v>232</v>
      </c>
      <c r="I57" s="346"/>
      <c r="J57" s="349">
        <v>1.0</v>
      </c>
      <c r="K57" s="349">
        <v>50.0</v>
      </c>
      <c r="L57" s="349">
        <f t="shared" si="9"/>
        <v>50</v>
      </c>
      <c r="M57" s="350" t="s">
        <v>215</v>
      </c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</row>
    <row r="58">
      <c r="B58" s="343" t="s">
        <v>233</v>
      </c>
      <c r="C58" s="344">
        <v>4.0</v>
      </c>
      <c r="D58" s="345" t="s">
        <v>234</v>
      </c>
      <c r="E58" s="116"/>
      <c r="F58" s="107"/>
      <c r="G58" s="107"/>
      <c r="H58" s="355" t="s">
        <v>235</v>
      </c>
      <c r="I58" s="346"/>
      <c r="J58" s="349">
        <v>1.0</v>
      </c>
      <c r="K58" s="349">
        <v>50.0</v>
      </c>
      <c r="L58" s="349">
        <f t="shared" si="9"/>
        <v>50</v>
      </c>
      <c r="M58" s="350" t="s">
        <v>215</v>
      </c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</row>
    <row r="59">
      <c r="B59" s="358"/>
      <c r="C59" s="358"/>
      <c r="D59" s="358"/>
      <c r="E59" s="113" t="s">
        <v>47</v>
      </c>
      <c r="F59" s="107"/>
      <c r="G59" s="107"/>
      <c r="H59" s="355" t="s">
        <v>236</v>
      </c>
      <c r="I59" s="346"/>
      <c r="J59" s="349">
        <v>6.0</v>
      </c>
      <c r="K59" s="349">
        <v>50.0</v>
      </c>
      <c r="L59" s="349">
        <f t="shared" si="9"/>
        <v>300</v>
      </c>
      <c r="M59" s="350" t="s">
        <v>215</v>
      </c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</row>
    <row r="60">
      <c r="B60" s="359" t="s">
        <v>230</v>
      </c>
      <c r="C60" s="360">
        <v>1.0</v>
      </c>
      <c r="D60" s="361" t="s">
        <v>237</v>
      </c>
      <c r="E60" s="113" t="s">
        <v>48</v>
      </c>
      <c r="F60" s="107"/>
      <c r="G60" s="107"/>
      <c r="H60" s="346"/>
      <c r="I60" s="346"/>
      <c r="J60" s="346"/>
      <c r="K60" s="346"/>
      <c r="L60" s="349">
        <f t="shared" si="9"/>
        <v>0</v>
      </c>
      <c r="M60" s="350" t="s">
        <v>215</v>
      </c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</row>
    <row r="61">
      <c r="B61" s="359" t="s">
        <v>232</v>
      </c>
      <c r="C61" s="360">
        <v>1.0</v>
      </c>
      <c r="D61" s="353"/>
      <c r="E61" s="113" t="s">
        <v>49</v>
      </c>
      <c r="F61" s="107"/>
      <c r="G61" s="107"/>
      <c r="H61" s="362" t="s">
        <v>238</v>
      </c>
      <c r="I61" s="346"/>
      <c r="J61" s="349">
        <v>1.0</v>
      </c>
      <c r="K61" s="349">
        <v>50.0</v>
      </c>
      <c r="L61" s="349">
        <f t="shared" si="9"/>
        <v>50</v>
      </c>
      <c r="M61" s="350" t="s">
        <v>215</v>
      </c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</row>
    <row r="62">
      <c r="B62" s="359" t="s">
        <v>235</v>
      </c>
      <c r="C62" s="360">
        <v>1.0</v>
      </c>
      <c r="D62" s="353"/>
      <c r="E62" s="113"/>
      <c r="F62" s="107"/>
      <c r="G62" s="107"/>
      <c r="H62" s="362" t="s">
        <v>239</v>
      </c>
      <c r="I62" s="346"/>
      <c r="J62" s="349">
        <v>1.0</v>
      </c>
      <c r="K62" s="349">
        <v>50.0</v>
      </c>
      <c r="L62" s="349">
        <f t="shared" si="9"/>
        <v>50</v>
      </c>
      <c r="M62" s="350" t="s">
        <v>215</v>
      </c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</row>
    <row r="63">
      <c r="B63" s="359" t="s">
        <v>236</v>
      </c>
      <c r="C63" s="360">
        <v>6.0</v>
      </c>
      <c r="D63" s="351"/>
      <c r="E63" s="116"/>
      <c r="F63" s="107"/>
      <c r="G63" s="107"/>
      <c r="H63" s="362" t="s">
        <v>225</v>
      </c>
      <c r="I63" s="346"/>
      <c r="J63" s="349">
        <v>1.0</v>
      </c>
      <c r="K63" s="349">
        <v>50.0</v>
      </c>
      <c r="L63" s="349">
        <f t="shared" si="9"/>
        <v>50</v>
      </c>
      <c r="M63" s="350" t="s">
        <v>215</v>
      </c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</row>
    <row r="64">
      <c r="B64" s="359"/>
      <c r="C64" s="360"/>
      <c r="D64" s="363"/>
      <c r="E64" s="350"/>
      <c r="F64" s="107"/>
      <c r="G64" s="107"/>
      <c r="H64" s="362" t="s">
        <v>227</v>
      </c>
      <c r="I64" s="346"/>
      <c r="J64" s="349">
        <v>1.0</v>
      </c>
      <c r="K64" s="349">
        <v>50.0</v>
      </c>
      <c r="L64" s="349">
        <f t="shared" si="9"/>
        <v>50</v>
      </c>
      <c r="M64" s="350" t="s">
        <v>215</v>
      </c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</row>
    <row r="65">
      <c r="B65" s="359"/>
      <c r="C65" s="360"/>
      <c r="D65" s="363"/>
      <c r="E65" s="350"/>
      <c r="F65" s="107"/>
      <c r="G65" s="107"/>
      <c r="H65" s="364" t="s">
        <v>229</v>
      </c>
      <c r="I65" s="346"/>
      <c r="J65" s="349">
        <v>1.0</v>
      </c>
      <c r="K65" s="349">
        <v>50.0</v>
      </c>
      <c r="L65" s="349">
        <f t="shared" si="9"/>
        <v>50</v>
      </c>
      <c r="M65" s="350" t="s">
        <v>215</v>
      </c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</row>
    <row r="66">
      <c r="B66" s="359"/>
      <c r="C66" s="360"/>
      <c r="D66" s="363"/>
      <c r="E66" s="350"/>
      <c r="F66" s="107"/>
      <c r="G66" s="107"/>
      <c r="H66" s="346" t="s">
        <v>231</v>
      </c>
      <c r="I66" s="346"/>
      <c r="J66" s="349">
        <v>1.0</v>
      </c>
      <c r="K66" s="349">
        <v>50.0</v>
      </c>
      <c r="L66" s="349">
        <f t="shared" si="9"/>
        <v>50</v>
      </c>
      <c r="M66" s="350" t="s">
        <v>215</v>
      </c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</row>
    <row r="67">
      <c r="B67" s="359"/>
      <c r="C67" s="360"/>
      <c r="D67" s="363"/>
      <c r="E67" s="350"/>
      <c r="F67" s="107"/>
      <c r="G67" s="107"/>
      <c r="H67" s="346" t="s">
        <v>233</v>
      </c>
      <c r="I67" s="346"/>
      <c r="J67" s="349">
        <v>4.0</v>
      </c>
      <c r="K67" s="349">
        <v>50.0</v>
      </c>
      <c r="L67" s="349">
        <f t="shared" si="9"/>
        <v>200</v>
      </c>
      <c r="M67" s="350" t="s">
        <v>215</v>
      </c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</row>
    <row r="68">
      <c r="B68" s="359"/>
      <c r="C68" s="360"/>
      <c r="D68" s="363"/>
      <c r="E68" s="350"/>
      <c r="F68" s="107"/>
      <c r="G68" s="107"/>
      <c r="H68" s="346"/>
      <c r="I68" s="346"/>
      <c r="J68" s="346"/>
      <c r="K68" s="346"/>
      <c r="L68" s="349">
        <f t="shared" si="9"/>
        <v>0</v>
      </c>
      <c r="M68" s="346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</row>
    <row r="69">
      <c r="B69" s="359"/>
      <c r="C69" s="360"/>
      <c r="D69" s="363"/>
      <c r="E69" s="350"/>
      <c r="F69" s="107"/>
      <c r="G69" s="107"/>
      <c r="H69" s="365" t="s">
        <v>240</v>
      </c>
      <c r="I69" s="365"/>
      <c r="J69" s="366">
        <f>SUM(J42:J68)</f>
        <v>31</v>
      </c>
      <c r="K69" s="365"/>
      <c r="L69" s="366">
        <f>SUM(L42:L68)</f>
        <v>1550</v>
      </c>
      <c r="M69" s="365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</row>
  </sheetData>
  <autoFilter ref="$A$10:$Y$36"/>
  <mergeCells count="7">
    <mergeCell ref="A2:B2"/>
    <mergeCell ref="I10:Y10"/>
    <mergeCell ref="D42:D43"/>
    <mergeCell ref="D44:D51"/>
    <mergeCell ref="D52:D53"/>
    <mergeCell ref="D55:D56"/>
    <mergeCell ref="D60:D63"/>
  </mergeCells>
  <dataValidations>
    <dataValidation type="list" allowBlank="1" sqref="B11:B36">
      <formula1>seznam_clenu_OVT!$A$2:$A$100</formula1>
    </dataValidation>
    <dataValidation type="list" allowBlank="1" showErrorMessage="1" sqref="I6:Y6">
      <formula1>pomocna_tabulka!$A$2:$A$3</formula1>
    </dataValidation>
    <dataValidation type="list" allowBlank="1" sqref="I11:Y36">
      <formula1>pomocna_tabulka!$B$2:$B$3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7.43"/>
    <col customWidth="1" min="3" max="3" width="21.0"/>
    <col customWidth="1" hidden="1" min="4" max="4" width="16.86"/>
    <col customWidth="1" hidden="1" min="5" max="5" width="16.71"/>
    <col customWidth="1" min="7" max="8" width="15.29"/>
    <col customWidth="1" min="9" max="9" width="11.71"/>
    <col customWidth="1" min="11" max="18" width="11.0"/>
    <col customWidth="1" min="19" max="27" width="11.86"/>
  </cols>
  <sheetData>
    <row r="1">
      <c r="A1" s="8" t="s">
        <v>241</v>
      </c>
      <c r="B1" s="129"/>
      <c r="C1" s="9"/>
      <c r="D1" s="10" t="s">
        <v>2</v>
      </c>
      <c r="E1" s="11"/>
      <c r="F1" s="12"/>
      <c r="J1" s="367" t="s">
        <v>3</v>
      </c>
      <c r="K1" s="368" t="s">
        <v>84</v>
      </c>
      <c r="L1" s="369" t="s">
        <v>242</v>
      </c>
      <c r="M1" s="369" t="s">
        <v>243</v>
      </c>
      <c r="N1" s="369" t="s">
        <v>244</v>
      </c>
      <c r="O1" s="369" t="s">
        <v>245</v>
      </c>
      <c r="P1" s="369" t="s">
        <v>246</v>
      </c>
      <c r="Q1" s="369" t="s">
        <v>247</v>
      </c>
      <c r="R1" s="369" t="s">
        <v>248</v>
      </c>
      <c r="S1" s="369" t="s">
        <v>249</v>
      </c>
      <c r="T1" s="369" t="s">
        <v>250</v>
      </c>
      <c r="U1" s="369" t="s">
        <v>251</v>
      </c>
      <c r="V1" s="369" t="s">
        <v>252</v>
      </c>
      <c r="W1" s="369" t="s">
        <v>253</v>
      </c>
      <c r="X1" s="369" t="s">
        <v>254</v>
      </c>
      <c r="Y1" s="369" t="s">
        <v>255</v>
      </c>
      <c r="Z1" s="369" t="s">
        <v>256</v>
      </c>
      <c r="AA1" s="369" t="s">
        <v>257</v>
      </c>
      <c r="AB1" s="370" t="s">
        <v>258</v>
      </c>
      <c r="AC1" s="371"/>
      <c r="AD1" s="371"/>
      <c r="AE1" s="372"/>
      <c r="AF1" s="7"/>
      <c r="AG1" s="7"/>
      <c r="AH1" s="7"/>
      <c r="AI1" s="7"/>
      <c r="AJ1" s="7"/>
      <c r="AK1" s="7"/>
    </row>
    <row r="2">
      <c r="A2" s="17"/>
      <c r="B2" s="1"/>
      <c r="C2" s="18"/>
      <c r="D2" s="19"/>
      <c r="E2" s="22"/>
      <c r="F2" s="23"/>
      <c r="J2" s="373" t="s">
        <v>5</v>
      </c>
      <c r="K2" s="374"/>
      <c r="L2" s="375">
        <v>25.0</v>
      </c>
      <c r="M2" s="375">
        <v>25.0</v>
      </c>
      <c r="N2" s="375">
        <v>100.0</v>
      </c>
      <c r="O2" s="376">
        <v>300.0</v>
      </c>
      <c r="P2" s="377">
        <v>600.0</v>
      </c>
      <c r="Q2" s="378">
        <v>300.0</v>
      </c>
      <c r="R2" s="378">
        <v>300.0</v>
      </c>
      <c r="S2" s="376">
        <v>440.0</v>
      </c>
      <c r="T2" s="376">
        <v>440.0</v>
      </c>
      <c r="U2" s="379">
        <v>500.0</v>
      </c>
      <c r="V2" s="379">
        <v>500.0</v>
      </c>
      <c r="W2" s="379">
        <v>725.0</v>
      </c>
      <c r="X2" s="375">
        <v>200.0</v>
      </c>
      <c r="Y2" s="380">
        <v>300.0</v>
      </c>
      <c r="Z2" s="376">
        <v>496.0</v>
      </c>
      <c r="AA2" s="376">
        <f>101+171+189</f>
        <v>461</v>
      </c>
      <c r="AB2" s="381">
        <v>-458.0</v>
      </c>
      <c r="AC2" s="382"/>
      <c r="AD2" s="382"/>
      <c r="AE2" s="383"/>
    </row>
    <row r="3">
      <c r="A3" s="28"/>
      <c r="B3" s="280"/>
      <c r="C3" s="29"/>
      <c r="D3" s="10" t="s">
        <v>6</v>
      </c>
      <c r="E3" s="22"/>
      <c r="F3" s="23"/>
      <c r="J3" s="384" t="s">
        <v>7</v>
      </c>
      <c r="K3" s="385">
        <v>2000.0</v>
      </c>
      <c r="L3" s="386"/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6"/>
      <c r="AA3" s="386"/>
      <c r="AB3" s="387"/>
      <c r="AC3" s="386"/>
      <c r="AD3" s="386"/>
      <c r="AE3" s="388"/>
    </row>
    <row r="4">
      <c r="A4" s="32" t="s">
        <v>8</v>
      </c>
      <c r="B4" s="33"/>
      <c r="C4" s="33">
        <f>SUMIFS(K6:AA6,K6:AA6,"&gt;0")</f>
        <v>7687</v>
      </c>
      <c r="D4" s="34">
        <v>1.248728083E9</v>
      </c>
      <c r="E4" s="23"/>
      <c r="F4" s="23"/>
      <c r="H4" s="281">
        <f>sum(H9:H98)-C5</f>
        <v>2000</v>
      </c>
      <c r="J4" s="389" t="s">
        <v>9</v>
      </c>
      <c r="K4" s="390" t="s">
        <v>10</v>
      </c>
      <c r="L4" s="390" t="s">
        <v>11</v>
      </c>
      <c r="M4" s="390" t="s">
        <v>11</v>
      </c>
      <c r="N4" s="390" t="s">
        <v>11</v>
      </c>
      <c r="O4" s="390" t="s">
        <v>10</v>
      </c>
      <c r="P4" s="390" t="s">
        <v>10</v>
      </c>
      <c r="Q4" s="390" t="s">
        <v>10</v>
      </c>
      <c r="R4" s="390" t="s">
        <v>10</v>
      </c>
      <c r="S4" s="390" t="s">
        <v>10</v>
      </c>
      <c r="T4" s="390" t="s">
        <v>10</v>
      </c>
      <c r="U4" s="390" t="s">
        <v>10</v>
      </c>
      <c r="V4" s="390" t="s">
        <v>10</v>
      </c>
      <c r="W4" s="390" t="s">
        <v>10</v>
      </c>
      <c r="X4" s="390" t="s">
        <v>10</v>
      </c>
      <c r="Y4" s="390" t="s">
        <v>10</v>
      </c>
      <c r="Z4" s="390" t="s">
        <v>10</v>
      </c>
      <c r="AA4" s="390" t="s">
        <v>10</v>
      </c>
      <c r="AB4" s="391" t="s">
        <v>10</v>
      </c>
      <c r="AC4" s="392"/>
      <c r="AD4" s="392"/>
      <c r="AE4" s="393"/>
    </row>
    <row r="5">
      <c r="A5" s="38" t="s">
        <v>12</v>
      </c>
      <c r="B5" s="39"/>
      <c r="C5" s="39">
        <f>SUMIFS(K6:AA6,K6:AA6,"&lt;0")</f>
        <v>-2000</v>
      </c>
      <c r="D5" s="34" t="s">
        <v>13</v>
      </c>
      <c r="E5" s="23"/>
      <c r="F5" s="23"/>
      <c r="J5" s="394" t="s">
        <v>14</v>
      </c>
      <c r="K5" s="395">
        <f t="shared" ref="K5:AE5" si="1">COUNTIFS(K9:K184,"&lt;&gt;",K9:K184,"&lt;&gt;-")</f>
        <v>9</v>
      </c>
      <c r="L5" s="395">
        <f t="shared" si="1"/>
        <v>14</v>
      </c>
      <c r="M5" s="395">
        <f t="shared" si="1"/>
        <v>15</v>
      </c>
      <c r="N5" s="395">
        <f t="shared" si="1"/>
        <v>14</v>
      </c>
      <c r="O5" s="395">
        <f t="shared" si="1"/>
        <v>21</v>
      </c>
      <c r="P5" s="395">
        <f t="shared" si="1"/>
        <v>4</v>
      </c>
      <c r="Q5" s="395">
        <f t="shared" si="1"/>
        <v>13</v>
      </c>
      <c r="R5" s="395">
        <f t="shared" si="1"/>
        <v>16</v>
      </c>
      <c r="S5" s="395">
        <f t="shared" si="1"/>
        <v>13</v>
      </c>
      <c r="T5" s="395">
        <f t="shared" si="1"/>
        <v>16</v>
      </c>
      <c r="U5" s="395">
        <f t="shared" si="1"/>
        <v>13</v>
      </c>
      <c r="V5" s="395">
        <f t="shared" si="1"/>
        <v>16</v>
      </c>
      <c r="W5" s="395">
        <f t="shared" si="1"/>
        <v>14</v>
      </c>
      <c r="X5" s="395">
        <f t="shared" si="1"/>
        <v>14</v>
      </c>
      <c r="Y5" s="395">
        <f t="shared" si="1"/>
        <v>14</v>
      </c>
      <c r="Z5" s="395">
        <f t="shared" si="1"/>
        <v>14</v>
      </c>
      <c r="AA5" s="395">
        <f t="shared" si="1"/>
        <v>16</v>
      </c>
      <c r="AB5" s="396">
        <f t="shared" si="1"/>
        <v>12</v>
      </c>
      <c r="AC5" s="396">
        <f t="shared" si="1"/>
        <v>0</v>
      </c>
      <c r="AD5" s="396">
        <f t="shared" si="1"/>
        <v>0</v>
      </c>
      <c r="AE5" s="397">
        <f t="shared" si="1"/>
        <v>0</v>
      </c>
    </row>
    <row r="6">
      <c r="A6" s="42" t="s">
        <v>15</v>
      </c>
      <c r="B6" s="39"/>
      <c r="C6" s="39">
        <f>SUM(G9:G55)</f>
        <v>5234</v>
      </c>
      <c r="D6" s="34">
        <v>3030.0</v>
      </c>
      <c r="E6" s="23"/>
      <c r="F6" s="23"/>
      <c r="J6" s="394" t="s">
        <v>16</v>
      </c>
      <c r="K6" s="398">
        <f t="shared" ref="K6:AE6" si="2">IF(K4="A - Rozdělit",K2-K3,IF(K4="B - Na hlavu",(K2-K3)*K5,"0"))</f>
        <v>-2000</v>
      </c>
      <c r="L6" s="375">
        <f t="shared" si="2"/>
        <v>350</v>
      </c>
      <c r="M6" s="375">
        <f t="shared" si="2"/>
        <v>375</v>
      </c>
      <c r="N6" s="375">
        <f t="shared" si="2"/>
        <v>1400</v>
      </c>
      <c r="O6" s="398">
        <f t="shared" si="2"/>
        <v>300</v>
      </c>
      <c r="P6" s="398">
        <f t="shared" si="2"/>
        <v>600</v>
      </c>
      <c r="Q6" s="398">
        <f t="shared" si="2"/>
        <v>300</v>
      </c>
      <c r="R6" s="398">
        <f t="shared" si="2"/>
        <v>300</v>
      </c>
      <c r="S6" s="398">
        <f t="shared" si="2"/>
        <v>440</v>
      </c>
      <c r="T6" s="398">
        <f t="shared" si="2"/>
        <v>440</v>
      </c>
      <c r="U6" s="398">
        <f t="shared" si="2"/>
        <v>500</v>
      </c>
      <c r="V6" s="398">
        <f t="shared" si="2"/>
        <v>500</v>
      </c>
      <c r="W6" s="398">
        <f t="shared" si="2"/>
        <v>725</v>
      </c>
      <c r="X6" s="375">
        <f t="shared" si="2"/>
        <v>200</v>
      </c>
      <c r="Y6" s="398">
        <f t="shared" si="2"/>
        <v>300</v>
      </c>
      <c r="Z6" s="398">
        <f t="shared" si="2"/>
        <v>496</v>
      </c>
      <c r="AA6" s="398">
        <f t="shared" si="2"/>
        <v>461</v>
      </c>
      <c r="AB6" s="398">
        <f t="shared" si="2"/>
        <v>-458</v>
      </c>
      <c r="AC6" s="398" t="str">
        <f t="shared" si="2"/>
        <v>0</v>
      </c>
      <c r="AD6" s="398" t="str">
        <f t="shared" si="2"/>
        <v>0</v>
      </c>
      <c r="AE6" s="398" t="str">
        <f t="shared" si="2"/>
        <v>0</v>
      </c>
    </row>
    <row r="7">
      <c r="A7" s="45" t="s">
        <v>17</v>
      </c>
      <c r="B7" s="46"/>
      <c r="C7" s="46">
        <f>C6-C5-C4</f>
        <v>-453</v>
      </c>
      <c r="D7" s="47"/>
      <c r="E7" s="48"/>
      <c r="F7" s="48"/>
      <c r="J7" s="399" t="s">
        <v>18</v>
      </c>
      <c r="K7" s="400">
        <f t="shared" ref="K7:AE7" si="3">IF(K4="A - Rozdělit",(K2-K3)/K5,IF(K4="B - Na hlavu",K2-K3,"0"))</f>
        <v>-222.2222222</v>
      </c>
      <c r="L7" s="400">
        <f t="shared" si="3"/>
        <v>25</v>
      </c>
      <c r="M7" s="400">
        <f t="shared" si="3"/>
        <v>25</v>
      </c>
      <c r="N7" s="400">
        <f t="shared" si="3"/>
        <v>100</v>
      </c>
      <c r="O7" s="400">
        <f t="shared" si="3"/>
        <v>14.28571429</v>
      </c>
      <c r="P7" s="400">
        <f t="shared" si="3"/>
        <v>150</v>
      </c>
      <c r="Q7" s="400">
        <f t="shared" si="3"/>
        <v>23.07692308</v>
      </c>
      <c r="R7" s="400">
        <f t="shared" si="3"/>
        <v>18.75</v>
      </c>
      <c r="S7" s="400">
        <f t="shared" si="3"/>
        <v>33.84615385</v>
      </c>
      <c r="T7" s="400">
        <f t="shared" si="3"/>
        <v>27.5</v>
      </c>
      <c r="U7" s="400">
        <f t="shared" si="3"/>
        <v>38.46153846</v>
      </c>
      <c r="V7" s="400">
        <f t="shared" si="3"/>
        <v>31.25</v>
      </c>
      <c r="W7" s="400">
        <f t="shared" si="3"/>
        <v>51.78571429</v>
      </c>
      <c r="X7" s="400">
        <f t="shared" si="3"/>
        <v>14.28571429</v>
      </c>
      <c r="Y7" s="400">
        <f t="shared" si="3"/>
        <v>21.42857143</v>
      </c>
      <c r="Z7" s="400">
        <f t="shared" si="3"/>
        <v>35.42857143</v>
      </c>
      <c r="AA7" s="400">
        <f t="shared" si="3"/>
        <v>28.8125</v>
      </c>
      <c r="AB7" s="400">
        <f t="shared" si="3"/>
        <v>-38.16666667</v>
      </c>
      <c r="AC7" s="400" t="str">
        <f t="shared" si="3"/>
        <v>0</v>
      </c>
      <c r="AD7" s="400" t="str">
        <f t="shared" si="3"/>
        <v>0</v>
      </c>
      <c r="AE7" s="400" t="str">
        <f t="shared" si="3"/>
        <v>0</v>
      </c>
    </row>
    <row r="8">
      <c r="A8" s="282" t="s">
        <v>19</v>
      </c>
      <c r="B8" s="283" t="s">
        <v>159</v>
      </c>
      <c r="C8" s="284" t="s">
        <v>20</v>
      </c>
      <c r="D8" s="285" t="s">
        <v>21</v>
      </c>
      <c r="E8" s="286" t="s">
        <v>22</v>
      </c>
      <c r="F8" s="287" t="s">
        <v>259</v>
      </c>
      <c r="G8" s="288" t="s">
        <v>260</v>
      </c>
      <c r="H8" s="289" t="s">
        <v>162</v>
      </c>
      <c r="I8" s="289" t="s">
        <v>25</v>
      </c>
      <c r="J8" s="290" t="s">
        <v>26</v>
      </c>
      <c r="K8" s="291" t="s">
        <v>27</v>
      </c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291"/>
      <c r="X8" s="291"/>
      <c r="Y8" s="291"/>
      <c r="Z8" s="291"/>
      <c r="AA8" s="292"/>
      <c r="AB8" s="293"/>
      <c r="AC8" s="293"/>
      <c r="AD8" s="293"/>
      <c r="AE8" s="293"/>
      <c r="AF8" s="293"/>
      <c r="AG8" s="293"/>
      <c r="AH8" s="293"/>
      <c r="AI8" s="293"/>
      <c r="AJ8" s="293"/>
      <c r="AK8" s="293"/>
    </row>
    <row r="9" ht="20.25" customHeight="1">
      <c r="A9" s="294">
        <v>1.0</v>
      </c>
      <c r="B9" s="295"/>
      <c r="C9" s="401" t="s">
        <v>261</v>
      </c>
      <c r="D9" s="297" t="str">
        <f t="shared" ref="D9:D34" si="4">"https://api.paylibo.com/paylibo/generator/czech/image?accountNumber="&amp;$D$4&amp;"&amp;bankCode="&amp;$D$6&amp;"&amp;amount="&amp;J9&amp;"&amp;currency=CZK&amp;message=Kamenice-"&amp;ENCODEURL(C9)</f>
        <v>https://api.paylibo.com/paylibo/generator/czech/image?accountNumber=1248728083&amp;bankCode=3030&amp;amount=-621&amp;currency=CZK&amp;message=Kamenice-J%C3%A1chym%20Kop%C5%99iva</v>
      </c>
      <c r="E9" s="298" t="str">
        <f t="shared" ref="E9:E34" si="5">IMAGE(D9,4,150,150)</f>
        <v/>
      </c>
      <c r="F9" s="298">
        <f t="shared" ref="F9:F34" si="6">SUMIFS($K$7:$AB$7,K9:AB9,"&lt;&gt;",K9:AB9,"&lt;&gt;-")</f>
        <v>-20.52510684</v>
      </c>
      <c r="G9" s="299">
        <f t="shared" ref="G9:G34" si="7">ROUNDUP(F9,0)</f>
        <v>-21</v>
      </c>
      <c r="H9" s="300"/>
      <c r="I9" s="402">
        <v>600.0</v>
      </c>
      <c r="J9" s="403">
        <f t="shared" ref="J9:J34" si="8">G9-I9</f>
        <v>-621</v>
      </c>
      <c r="K9" s="404" t="s">
        <v>69</v>
      </c>
      <c r="L9" s="405" t="s">
        <v>74</v>
      </c>
      <c r="M9" s="405" t="s">
        <v>74</v>
      </c>
      <c r="N9" s="405" t="s">
        <v>74</v>
      </c>
      <c r="O9" s="405" t="s">
        <v>74</v>
      </c>
      <c r="P9" s="406" t="s">
        <v>74</v>
      </c>
      <c r="Q9" s="406" t="s">
        <v>69</v>
      </c>
      <c r="R9" s="406" t="s">
        <v>69</v>
      </c>
      <c r="S9" s="406" t="s">
        <v>69</v>
      </c>
      <c r="T9" s="406" t="s">
        <v>69</v>
      </c>
      <c r="U9" s="406" t="s">
        <v>69</v>
      </c>
      <c r="V9" s="406" t="s">
        <v>69</v>
      </c>
      <c r="W9" s="407"/>
      <c r="X9" s="407"/>
      <c r="Y9" s="407"/>
      <c r="Z9" s="407"/>
      <c r="AA9" s="406" t="s">
        <v>69</v>
      </c>
      <c r="AB9" s="405" t="s">
        <v>74</v>
      </c>
      <c r="AC9" s="408"/>
      <c r="AD9" s="408"/>
      <c r="AE9" s="409"/>
      <c r="AF9" s="308"/>
      <c r="AG9" s="308"/>
      <c r="AH9" s="308"/>
      <c r="AI9" s="308"/>
      <c r="AJ9" s="308"/>
      <c r="AK9" s="308"/>
    </row>
    <row r="10" ht="20.25" customHeight="1">
      <c r="A10" s="309">
        <v>3.0</v>
      </c>
      <c r="B10" s="310"/>
      <c r="C10" s="410" t="s">
        <v>111</v>
      </c>
      <c r="D10" s="312" t="str">
        <f t="shared" si="4"/>
        <v>https://api.paylibo.com/paylibo/generator/czech/image?accountNumber=1248728083&amp;bankCode=3030&amp;amount=451&amp;currency=CZK&amp;message=Kamenice-Pil%C3%ADn</v>
      </c>
      <c r="E10" s="313" t="str">
        <f t="shared" si="5"/>
        <v/>
      </c>
      <c r="F10" s="298">
        <f t="shared" si="6"/>
        <v>450.7447344</v>
      </c>
      <c r="G10" s="411">
        <f t="shared" si="7"/>
        <v>451</v>
      </c>
      <c r="H10" s="314"/>
      <c r="I10" s="314"/>
      <c r="J10" s="315">
        <f t="shared" si="8"/>
        <v>451</v>
      </c>
      <c r="K10" s="412"/>
      <c r="L10" s="413" t="s">
        <v>69</v>
      </c>
      <c r="M10" s="413" t="s">
        <v>69</v>
      </c>
      <c r="N10" s="413" t="s">
        <v>215</v>
      </c>
      <c r="O10" s="413" t="s">
        <v>69</v>
      </c>
      <c r="P10" s="413" t="s">
        <v>74</v>
      </c>
      <c r="Q10" s="413" t="s">
        <v>69</v>
      </c>
      <c r="R10" s="413" t="s">
        <v>69</v>
      </c>
      <c r="S10" s="413" t="s">
        <v>69</v>
      </c>
      <c r="T10" s="413" t="s">
        <v>69</v>
      </c>
      <c r="U10" s="413" t="s">
        <v>69</v>
      </c>
      <c r="V10" s="413" t="s">
        <v>69</v>
      </c>
      <c r="W10" s="413" t="s">
        <v>69</v>
      </c>
      <c r="X10" s="413" t="s">
        <v>69</v>
      </c>
      <c r="Y10" s="413" t="s">
        <v>69</v>
      </c>
      <c r="Z10" s="413" t="s">
        <v>69</v>
      </c>
      <c r="AA10" s="413" t="s">
        <v>69</v>
      </c>
      <c r="AB10" s="413" t="s">
        <v>69</v>
      </c>
      <c r="AC10" s="414"/>
      <c r="AD10" s="414"/>
      <c r="AE10" s="415"/>
      <c r="AF10" s="308"/>
      <c r="AG10" s="308"/>
      <c r="AH10" s="308"/>
      <c r="AI10" s="308"/>
      <c r="AJ10" s="308"/>
      <c r="AK10" s="308"/>
    </row>
    <row r="11" ht="20.25" customHeight="1">
      <c r="A11" s="309">
        <v>4.0</v>
      </c>
      <c r="B11" s="310"/>
      <c r="C11" s="410" t="s">
        <v>101</v>
      </c>
      <c r="D11" s="312" t="str">
        <f t="shared" si="4"/>
        <v>https://api.paylibo.com/paylibo/generator/czech/image?accountNumber=1248728083&amp;bankCode=3030&amp;amount=229&amp;currency=CZK&amp;message=Kamenice-Ho%C5%99ej%C5%A1%C3%AD%20%C5%A0t%C4%9Bp%C3%A1n</v>
      </c>
      <c r="E11" s="313" t="str">
        <f t="shared" si="5"/>
        <v/>
      </c>
      <c r="F11" s="298">
        <f t="shared" si="6"/>
        <v>228.5225122</v>
      </c>
      <c r="G11" s="314">
        <f t="shared" si="7"/>
        <v>229</v>
      </c>
      <c r="H11" s="320"/>
      <c r="I11" s="320"/>
      <c r="J11" s="315">
        <f t="shared" si="8"/>
        <v>229</v>
      </c>
      <c r="K11" s="416" t="s">
        <v>69</v>
      </c>
      <c r="L11" s="417" t="s">
        <v>69</v>
      </c>
      <c r="M11" s="417" t="s">
        <v>69</v>
      </c>
      <c r="N11" s="417" t="s">
        <v>215</v>
      </c>
      <c r="O11" s="417" t="s">
        <v>69</v>
      </c>
      <c r="P11" s="417" t="s">
        <v>74</v>
      </c>
      <c r="Q11" s="417" t="s">
        <v>69</v>
      </c>
      <c r="R11" s="417" t="s">
        <v>69</v>
      </c>
      <c r="S11" s="417" t="s">
        <v>69</v>
      </c>
      <c r="T11" s="417" t="s">
        <v>69</v>
      </c>
      <c r="U11" s="417" t="s">
        <v>69</v>
      </c>
      <c r="V11" s="417" t="s">
        <v>69</v>
      </c>
      <c r="W11" s="417" t="s">
        <v>69</v>
      </c>
      <c r="X11" s="417" t="s">
        <v>69</v>
      </c>
      <c r="Y11" s="417" t="s">
        <v>69</v>
      </c>
      <c r="Z11" s="417" t="s">
        <v>69</v>
      </c>
      <c r="AA11" s="417" t="s">
        <v>69</v>
      </c>
      <c r="AB11" s="417" t="s">
        <v>69</v>
      </c>
      <c r="AC11" s="418"/>
      <c r="AD11" s="418"/>
      <c r="AE11" s="419"/>
      <c r="AF11" s="308"/>
      <c r="AG11" s="308"/>
      <c r="AH11" s="308"/>
      <c r="AI11" s="308"/>
      <c r="AJ11" s="308"/>
      <c r="AK11" s="308"/>
    </row>
    <row r="12" ht="20.25" customHeight="1">
      <c r="A12" s="309">
        <v>5.0</v>
      </c>
      <c r="B12" s="310"/>
      <c r="C12" s="420" t="s">
        <v>262</v>
      </c>
      <c r="D12" s="312" t="str">
        <f t="shared" si="4"/>
        <v>https://api.paylibo.com/paylibo/generator/czech/image?accountNumber=1248728083&amp;bankCode=3030&amp;amount=-1424&amp;currency=CZK&amp;message=Kamenice-Bob</v>
      </c>
      <c r="E12" s="313" t="str">
        <f t="shared" si="5"/>
        <v/>
      </c>
      <c r="F12" s="298">
        <f t="shared" si="6"/>
        <v>300.7447344</v>
      </c>
      <c r="G12" s="421">
        <f t="shared" si="7"/>
        <v>301</v>
      </c>
      <c r="H12" s="320"/>
      <c r="I12" s="422">
        <f>U2+V2+W2</f>
        <v>1725</v>
      </c>
      <c r="J12" s="315">
        <f t="shared" si="8"/>
        <v>-1424</v>
      </c>
      <c r="K12" s="412"/>
      <c r="L12" s="423" t="s">
        <v>74</v>
      </c>
      <c r="M12" s="423" t="s">
        <v>74</v>
      </c>
      <c r="N12" s="423" t="s">
        <v>74</v>
      </c>
      <c r="O12" s="413" t="s">
        <v>69</v>
      </c>
      <c r="P12" s="413" t="s">
        <v>74</v>
      </c>
      <c r="Q12" s="413" t="s">
        <v>69</v>
      </c>
      <c r="R12" s="413" t="s">
        <v>69</v>
      </c>
      <c r="S12" s="413" t="s">
        <v>69</v>
      </c>
      <c r="T12" s="413" t="s">
        <v>69</v>
      </c>
      <c r="U12" s="413" t="s">
        <v>69</v>
      </c>
      <c r="V12" s="413" t="s">
        <v>69</v>
      </c>
      <c r="W12" s="413" t="s">
        <v>69</v>
      </c>
      <c r="X12" s="413" t="s">
        <v>69</v>
      </c>
      <c r="Y12" s="413" t="s">
        <v>69</v>
      </c>
      <c r="Z12" s="413" t="s">
        <v>69</v>
      </c>
      <c r="AA12" s="413" t="s">
        <v>69</v>
      </c>
      <c r="AB12" s="413" t="s">
        <v>69</v>
      </c>
      <c r="AC12" s="414"/>
      <c r="AD12" s="414"/>
      <c r="AE12" s="415"/>
      <c r="AF12" s="308"/>
      <c r="AG12" s="308"/>
      <c r="AH12" s="308"/>
      <c r="AI12" s="308"/>
      <c r="AJ12" s="308"/>
      <c r="AK12" s="308"/>
    </row>
    <row r="13" ht="20.25" customHeight="1">
      <c r="A13" s="309">
        <v>6.0</v>
      </c>
      <c r="B13" s="310"/>
      <c r="C13" s="420" t="s">
        <v>115</v>
      </c>
      <c r="D13" s="312" t="str">
        <f t="shared" si="4"/>
        <v>https://api.paylibo.com/paylibo/generator/czech/image?accountNumber=1248728083&amp;bankCode=3030&amp;amount=451&amp;currency=CZK&amp;message=Kamenice-Ko%C4%8Dina</v>
      </c>
      <c r="E13" s="313" t="str">
        <f t="shared" si="5"/>
        <v/>
      </c>
      <c r="F13" s="298">
        <f t="shared" si="6"/>
        <v>450.7447344</v>
      </c>
      <c r="G13" s="424">
        <f t="shared" si="7"/>
        <v>451</v>
      </c>
      <c r="H13" s="320"/>
      <c r="I13" s="320"/>
      <c r="J13" s="315">
        <f t="shared" si="8"/>
        <v>451</v>
      </c>
      <c r="K13" s="425"/>
      <c r="L13" s="417" t="s">
        <v>69</v>
      </c>
      <c r="M13" s="417" t="s">
        <v>69</v>
      </c>
      <c r="N13" s="417" t="s">
        <v>215</v>
      </c>
      <c r="O13" s="417" t="s">
        <v>69</v>
      </c>
      <c r="P13" s="417" t="s">
        <v>74</v>
      </c>
      <c r="Q13" s="417" t="s">
        <v>69</v>
      </c>
      <c r="R13" s="417" t="s">
        <v>69</v>
      </c>
      <c r="S13" s="417" t="s">
        <v>69</v>
      </c>
      <c r="T13" s="417" t="s">
        <v>69</v>
      </c>
      <c r="U13" s="417" t="s">
        <v>69</v>
      </c>
      <c r="V13" s="417" t="s">
        <v>69</v>
      </c>
      <c r="W13" s="417" t="s">
        <v>69</v>
      </c>
      <c r="X13" s="417" t="s">
        <v>69</v>
      </c>
      <c r="Y13" s="417" t="s">
        <v>69</v>
      </c>
      <c r="Z13" s="417" t="s">
        <v>69</v>
      </c>
      <c r="AA13" s="417" t="s">
        <v>69</v>
      </c>
      <c r="AB13" s="417" t="s">
        <v>69</v>
      </c>
      <c r="AC13" s="418"/>
      <c r="AD13" s="418"/>
      <c r="AE13" s="419"/>
      <c r="AF13" s="308"/>
      <c r="AG13" s="308"/>
      <c r="AH13" s="308"/>
      <c r="AI13" s="308"/>
      <c r="AJ13" s="308"/>
      <c r="AK13" s="308"/>
    </row>
    <row r="14" ht="20.25" customHeight="1">
      <c r="A14" s="309">
        <v>7.0</v>
      </c>
      <c r="B14" s="310"/>
      <c r="C14" s="420" t="s">
        <v>263</v>
      </c>
      <c r="D14" s="312" t="str">
        <f t="shared" si="4"/>
        <v>https://api.paylibo.com/paylibo/generator/czech/image?accountNumber=1248728083&amp;bankCode=3030&amp;amount=451&amp;currency=CZK&amp;message=Kamenice-Mat%C4%9Bj%20M%C4%9Brka</v>
      </c>
      <c r="E14" s="313" t="str">
        <f t="shared" si="5"/>
        <v/>
      </c>
      <c r="F14" s="298">
        <f t="shared" si="6"/>
        <v>450.7447344</v>
      </c>
      <c r="G14" s="424">
        <f t="shared" si="7"/>
        <v>451</v>
      </c>
      <c r="H14" s="314"/>
      <c r="I14" s="314"/>
      <c r="J14" s="315">
        <f t="shared" si="8"/>
        <v>451</v>
      </c>
      <c r="K14" s="412"/>
      <c r="L14" s="413" t="s">
        <v>69</v>
      </c>
      <c r="M14" s="413" t="s">
        <v>69</v>
      </c>
      <c r="N14" s="413" t="s">
        <v>215</v>
      </c>
      <c r="O14" s="413" t="s">
        <v>69</v>
      </c>
      <c r="P14" s="413" t="s">
        <v>74</v>
      </c>
      <c r="Q14" s="413" t="s">
        <v>69</v>
      </c>
      <c r="R14" s="413" t="s">
        <v>69</v>
      </c>
      <c r="S14" s="413" t="s">
        <v>69</v>
      </c>
      <c r="T14" s="413" t="s">
        <v>69</v>
      </c>
      <c r="U14" s="413" t="s">
        <v>69</v>
      </c>
      <c r="V14" s="413" t="s">
        <v>69</v>
      </c>
      <c r="W14" s="413" t="s">
        <v>69</v>
      </c>
      <c r="X14" s="413" t="s">
        <v>69</v>
      </c>
      <c r="Y14" s="413" t="s">
        <v>69</v>
      </c>
      <c r="Z14" s="413" t="s">
        <v>69</v>
      </c>
      <c r="AA14" s="413" t="s">
        <v>69</v>
      </c>
      <c r="AB14" s="413" t="s">
        <v>69</v>
      </c>
      <c r="AC14" s="414"/>
      <c r="AD14" s="414"/>
      <c r="AE14" s="415"/>
      <c r="AF14" s="308"/>
      <c r="AG14" s="308"/>
      <c r="AH14" s="308"/>
      <c r="AI14" s="308"/>
      <c r="AJ14" s="308"/>
      <c r="AK14" s="308"/>
    </row>
    <row r="15" ht="20.25" customHeight="1">
      <c r="A15" s="309">
        <v>8.0</v>
      </c>
      <c r="B15" s="310"/>
      <c r="C15" s="420" t="s">
        <v>264</v>
      </c>
      <c r="D15" s="312" t="str">
        <f t="shared" si="4"/>
        <v>https://api.paylibo.com/paylibo/generator/czech/image?accountNumber=1248728083&amp;bankCode=3030&amp;amount=451&amp;currency=CZK&amp;message=Kamenice-Ji%C5%99%C3%ADk</v>
      </c>
      <c r="E15" s="313" t="str">
        <f t="shared" si="5"/>
        <v/>
      </c>
      <c r="F15" s="298">
        <f t="shared" si="6"/>
        <v>450.7447344</v>
      </c>
      <c r="G15" s="424">
        <f t="shared" si="7"/>
        <v>451</v>
      </c>
      <c r="H15" s="314"/>
      <c r="I15" s="314"/>
      <c r="J15" s="315">
        <f t="shared" si="8"/>
        <v>451</v>
      </c>
      <c r="K15" s="425"/>
      <c r="L15" s="417" t="s">
        <v>69</v>
      </c>
      <c r="M15" s="417" t="s">
        <v>69</v>
      </c>
      <c r="N15" s="417" t="s">
        <v>215</v>
      </c>
      <c r="O15" s="417" t="s">
        <v>69</v>
      </c>
      <c r="P15" s="417" t="s">
        <v>74</v>
      </c>
      <c r="Q15" s="417" t="s">
        <v>69</v>
      </c>
      <c r="R15" s="417" t="s">
        <v>69</v>
      </c>
      <c r="S15" s="417" t="s">
        <v>69</v>
      </c>
      <c r="T15" s="417" t="s">
        <v>69</v>
      </c>
      <c r="U15" s="417" t="s">
        <v>69</v>
      </c>
      <c r="V15" s="417" t="s">
        <v>69</v>
      </c>
      <c r="W15" s="417" t="s">
        <v>69</v>
      </c>
      <c r="X15" s="417" t="s">
        <v>69</v>
      </c>
      <c r="Y15" s="417" t="s">
        <v>69</v>
      </c>
      <c r="Z15" s="417" t="s">
        <v>69</v>
      </c>
      <c r="AA15" s="417" t="s">
        <v>69</v>
      </c>
      <c r="AB15" s="417" t="s">
        <v>69</v>
      </c>
      <c r="AC15" s="418"/>
      <c r="AD15" s="418"/>
      <c r="AE15" s="419"/>
      <c r="AF15" s="308"/>
      <c r="AG15" s="308"/>
      <c r="AH15" s="308"/>
      <c r="AI15" s="308"/>
      <c r="AJ15" s="308"/>
      <c r="AK15" s="308"/>
    </row>
    <row r="16" ht="20.25" customHeight="1">
      <c r="A16" s="309">
        <v>9.0</v>
      </c>
      <c r="B16" s="310"/>
      <c r="C16" s="420" t="s">
        <v>265</v>
      </c>
      <c r="D16" s="312" t="str">
        <f t="shared" si="4"/>
        <v>https://api.paylibo.com/paylibo/generator/czech/image?accountNumber=1248728083&amp;bankCode=3030&amp;amount=451&amp;currency=CZK&amp;message=Kamenice-Magda%20Ko%C5%A1%C5%A5%C3%A1lov%C3%A1</v>
      </c>
      <c r="E16" s="313" t="str">
        <f t="shared" si="5"/>
        <v/>
      </c>
      <c r="F16" s="298">
        <f t="shared" si="6"/>
        <v>450.7447344</v>
      </c>
      <c r="G16" s="424">
        <f t="shared" si="7"/>
        <v>451</v>
      </c>
      <c r="H16" s="320"/>
      <c r="I16" s="320"/>
      <c r="J16" s="315">
        <f t="shared" si="8"/>
        <v>451</v>
      </c>
      <c r="K16" s="412"/>
      <c r="L16" s="413" t="s">
        <v>69</v>
      </c>
      <c r="M16" s="413" t="s">
        <v>69</v>
      </c>
      <c r="N16" s="413" t="s">
        <v>215</v>
      </c>
      <c r="O16" s="413" t="s">
        <v>69</v>
      </c>
      <c r="P16" s="413" t="s">
        <v>74</v>
      </c>
      <c r="Q16" s="413" t="s">
        <v>69</v>
      </c>
      <c r="R16" s="413" t="s">
        <v>69</v>
      </c>
      <c r="S16" s="413" t="s">
        <v>69</v>
      </c>
      <c r="T16" s="413" t="s">
        <v>69</v>
      </c>
      <c r="U16" s="413" t="s">
        <v>69</v>
      </c>
      <c r="V16" s="413" t="s">
        <v>69</v>
      </c>
      <c r="W16" s="413" t="s">
        <v>69</v>
      </c>
      <c r="X16" s="413" t="s">
        <v>69</v>
      </c>
      <c r="Y16" s="413" t="s">
        <v>69</v>
      </c>
      <c r="Z16" s="413" t="s">
        <v>69</v>
      </c>
      <c r="AA16" s="413" t="s">
        <v>69</v>
      </c>
      <c r="AB16" s="413" t="s">
        <v>69</v>
      </c>
      <c r="AC16" s="414"/>
      <c r="AD16" s="414"/>
      <c r="AE16" s="415"/>
      <c r="AF16" s="308"/>
      <c r="AG16" s="308"/>
      <c r="AH16" s="308"/>
      <c r="AI16" s="308"/>
      <c r="AJ16" s="308"/>
      <c r="AK16" s="308"/>
    </row>
    <row r="17" ht="20.25" customHeight="1">
      <c r="A17" s="309">
        <v>10.0</v>
      </c>
      <c r="B17" s="310"/>
      <c r="C17" s="420" t="s">
        <v>266</v>
      </c>
      <c r="D17" s="312" t="str">
        <f t="shared" si="4"/>
        <v>https://api.paylibo.com/paylibo/generator/czech/image?accountNumber=1248728083&amp;bankCode=3030&amp;amount=451&amp;currency=CZK&amp;message=Kamenice-Dora%20Milatov%C3%A1</v>
      </c>
      <c r="E17" s="313" t="str">
        <f t="shared" si="5"/>
        <v/>
      </c>
      <c r="F17" s="298">
        <f t="shared" si="6"/>
        <v>450.7447344</v>
      </c>
      <c r="G17" s="424">
        <f t="shared" si="7"/>
        <v>451</v>
      </c>
      <c r="H17" s="320"/>
      <c r="I17" s="320"/>
      <c r="J17" s="315">
        <f t="shared" si="8"/>
        <v>451</v>
      </c>
      <c r="K17" s="425"/>
      <c r="L17" s="417" t="s">
        <v>69</v>
      </c>
      <c r="M17" s="417" t="s">
        <v>69</v>
      </c>
      <c r="N17" s="417" t="s">
        <v>215</v>
      </c>
      <c r="O17" s="417" t="s">
        <v>69</v>
      </c>
      <c r="P17" s="417" t="s">
        <v>74</v>
      </c>
      <c r="Q17" s="417" t="s">
        <v>69</v>
      </c>
      <c r="R17" s="417" t="s">
        <v>69</v>
      </c>
      <c r="S17" s="417" t="s">
        <v>69</v>
      </c>
      <c r="T17" s="417" t="s">
        <v>69</v>
      </c>
      <c r="U17" s="417" t="s">
        <v>69</v>
      </c>
      <c r="V17" s="417" t="s">
        <v>69</v>
      </c>
      <c r="W17" s="417" t="s">
        <v>69</v>
      </c>
      <c r="X17" s="417" t="s">
        <v>69</v>
      </c>
      <c r="Y17" s="417" t="s">
        <v>69</v>
      </c>
      <c r="Z17" s="417" t="s">
        <v>69</v>
      </c>
      <c r="AA17" s="417" t="s">
        <v>69</v>
      </c>
      <c r="AB17" s="417" t="s">
        <v>69</v>
      </c>
      <c r="AC17" s="418"/>
      <c r="AD17" s="418"/>
      <c r="AE17" s="419"/>
      <c r="AF17" s="308"/>
      <c r="AG17" s="308"/>
      <c r="AH17" s="308"/>
      <c r="AI17" s="308"/>
      <c r="AJ17" s="308"/>
      <c r="AK17" s="308"/>
    </row>
    <row r="18" ht="20.25" customHeight="1">
      <c r="A18" s="309">
        <v>11.0</v>
      </c>
      <c r="B18" s="310"/>
      <c r="C18" s="426" t="s">
        <v>198</v>
      </c>
      <c r="D18" s="312" t="str">
        <f t="shared" si="4"/>
        <v>https://api.paylibo.com/paylibo/generator/czech/image?accountNumber=1248728083&amp;bankCode=3030&amp;amount=-1447&amp;currency=CZK&amp;message=Kamenice-Tom%C3%A1%C5%A1%20Mat%C4%9Bjka</v>
      </c>
      <c r="E18" s="313" t="str">
        <f t="shared" si="5"/>
        <v/>
      </c>
      <c r="F18" s="298">
        <f t="shared" si="6"/>
        <v>228.5225122</v>
      </c>
      <c r="G18" s="314">
        <f t="shared" si="7"/>
        <v>229</v>
      </c>
      <c r="H18" s="320"/>
      <c r="I18" s="427">
        <v>1676.0</v>
      </c>
      <c r="J18" s="315">
        <f t="shared" si="8"/>
        <v>-1447</v>
      </c>
      <c r="K18" s="428" t="s">
        <v>69</v>
      </c>
      <c r="L18" s="413" t="s">
        <v>69</v>
      </c>
      <c r="M18" s="413" t="s">
        <v>69</v>
      </c>
      <c r="N18" s="413" t="s">
        <v>215</v>
      </c>
      <c r="O18" s="413" t="s">
        <v>69</v>
      </c>
      <c r="P18" s="413" t="s">
        <v>74</v>
      </c>
      <c r="Q18" s="413" t="s">
        <v>69</v>
      </c>
      <c r="R18" s="413" t="s">
        <v>69</v>
      </c>
      <c r="S18" s="413" t="s">
        <v>69</v>
      </c>
      <c r="T18" s="413" t="s">
        <v>69</v>
      </c>
      <c r="U18" s="413" t="s">
        <v>69</v>
      </c>
      <c r="V18" s="413" t="s">
        <v>69</v>
      </c>
      <c r="W18" s="413" t="s">
        <v>69</v>
      </c>
      <c r="X18" s="413" t="s">
        <v>69</v>
      </c>
      <c r="Y18" s="413" t="s">
        <v>69</v>
      </c>
      <c r="Z18" s="413" t="s">
        <v>69</v>
      </c>
      <c r="AA18" s="413" t="s">
        <v>69</v>
      </c>
      <c r="AB18" s="413" t="s">
        <v>69</v>
      </c>
      <c r="AC18" s="414"/>
      <c r="AD18" s="414"/>
      <c r="AE18" s="415"/>
      <c r="AF18" s="308"/>
      <c r="AG18" s="308"/>
      <c r="AH18" s="308"/>
      <c r="AI18" s="308"/>
      <c r="AJ18" s="308"/>
      <c r="AK18" s="308"/>
    </row>
    <row r="19" ht="20.25" customHeight="1">
      <c r="A19" s="309">
        <v>12.0</v>
      </c>
      <c r="B19" s="310"/>
      <c r="C19" s="426" t="s">
        <v>267</v>
      </c>
      <c r="D19" s="312" t="str">
        <f t="shared" si="4"/>
        <v>https://api.paylibo.com/paylibo/generator/czech/image?accountNumber=1248728083&amp;bankCode=3030&amp;amount=451&amp;currency=CZK&amp;message=Kamenice-Nikola%20Hlad%C3%ADkov%C3%A1</v>
      </c>
      <c r="E19" s="313" t="str">
        <f t="shared" si="5"/>
        <v/>
      </c>
      <c r="F19" s="298">
        <f t="shared" si="6"/>
        <v>450.7447344</v>
      </c>
      <c r="G19" s="424">
        <f t="shared" si="7"/>
        <v>451</v>
      </c>
      <c r="H19" s="320"/>
      <c r="I19" s="320"/>
      <c r="J19" s="315">
        <f t="shared" si="8"/>
        <v>451</v>
      </c>
      <c r="K19" s="425"/>
      <c r="L19" s="417" t="s">
        <v>69</v>
      </c>
      <c r="M19" s="417" t="s">
        <v>69</v>
      </c>
      <c r="N19" s="417" t="s">
        <v>215</v>
      </c>
      <c r="O19" s="417" t="s">
        <v>69</v>
      </c>
      <c r="P19" s="417" t="s">
        <v>74</v>
      </c>
      <c r="Q19" s="429" t="s">
        <v>69</v>
      </c>
      <c r="R19" s="417" t="s">
        <v>69</v>
      </c>
      <c r="S19" s="429" t="s">
        <v>69</v>
      </c>
      <c r="T19" s="417" t="s">
        <v>69</v>
      </c>
      <c r="U19" s="417" t="s">
        <v>69</v>
      </c>
      <c r="V19" s="417" t="s">
        <v>69</v>
      </c>
      <c r="W19" s="417" t="s">
        <v>69</v>
      </c>
      <c r="X19" s="417" t="s">
        <v>69</v>
      </c>
      <c r="Y19" s="417" t="s">
        <v>69</v>
      </c>
      <c r="Z19" s="417" t="s">
        <v>69</v>
      </c>
      <c r="AA19" s="417" t="s">
        <v>69</v>
      </c>
      <c r="AB19" s="417" t="s">
        <v>69</v>
      </c>
      <c r="AC19" s="418"/>
      <c r="AD19" s="418"/>
      <c r="AE19" s="419"/>
      <c r="AF19" s="308"/>
      <c r="AG19" s="308"/>
      <c r="AH19" s="308"/>
      <c r="AI19" s="308"/>
      <c r="AJ19" s="308"/>
      <c r="AK19" s="308"/>
    </row>
    <row r="20" ht="20.25" customHeight="1">
      <c r="A20" s="309">
        <v>13.0</v>
      </c>
      <c r="B20" s="310"/>
      <c r="C20" s="426" t="s">
        <v>268</v>
      </c>
      <c r="D20" s="312" t="str">
        <f t="shared" si="4"/>
        <v>https://api.paylibo.com/paylibo/generator/czech/image?accountNumber=1248728083&amp;bankCode=3030&amp;amount=451&amp;currency=CZK&amp;message=Kamenice-Lada%20Milatov%C3%A1</v>
      </c>
      <c r="E20" s="313" t="str">
        <f t="shared" si="5"/>
        <v/>
      </c>
      <c r="F20" s="298">
        <f t="shared" si="6"/>
        <v>450.7447344</v>
      </c>
      <c r="G20" s="424">
        <f t="shared" si="7"/>
        <v>451</v>
      </c>
      <c r="H20" s="320"/>
      <c r="I20" s="320"/>
      <c r="J20" s="315">
        <f t="shared" si="8"/>
        <v>451</v>
      </c>
      <c r="K20" s="412"/>
      <c r="L20" s="413" t="s">
        <v>69</v>
      </c>
      <c r="M20" s="413" t="s">
        <v>69</v>
      </c>
      <c r="N20" s="413" t="s">
        <v>215</v>
      </c>
      <c r="O20" s="413" t="s">
        <v>69</v>
      </c>
      <c r="P20" s="413" t="s">
        <v>74</v>
      </c>
      <c r="Q20" s="430" t="s">
        <v>69</v>
      </c>
      <c r="R20" s="413" t="s">
        <v>69</v>
      </c>
      <c r="S20" s="430" t="s">
        <v>69</v>
      </c>
      <c r="T20" s="413" t="s">
        <v>69</v>
      </c>
      <c r="U20" s="413" t="s">
        <v>69</v>
      </c>
      <c r="V20" s="413" t="s">
        <v>69</v>
      </c>
      <c r="W20" s="413" t="s">
        <v>69</v>
      </c>
      <c r="X20" s="413" t="s">
        <v>69</v>
      </c>
      <c r="Y20" s="413" t="s">
        <v>69</v>
      </c>
      <c r="Z20" s="413" t="s">
        <v>69</v>
      </c>
      <c r="AA20" s="413" t="s">
        <v>69</v>
      </c>
      <c r="AB20" s="413" t="s">
        <v>69</v>
      </c>
      <c r="AC20" s="414"/>
      <c r="AD20" s="414"/>
      <c r="AE20" s="415"/>
      <c r="AF20" s="308"/>
      <c r="AG20" s="308"/>
      <c r="AH20" s="308"/>
      <c r="AI20" s="308"/>
      <c r="AJ20" s="308"/>
      <c r="AK20" s="308"/>
    </row>
    <row r="21" ht="20.25" customHeight="1">
      <c r="A21" s="309">
        <v>14.0</v>
      </c>
      <c r="B21" s="310"/>
      <c r="C21" s="431" t="s">
        <v>269</v>
      </c>
      <c r="D21" s="312" t="str">
        <f t="shared" si="4"/>
        <v>https://api.paylibo.com/paylibo/generator/czech/image?accountNumber=1248728083&amp;bankCode=3030&amp;amount=301&amp;currency=CZK&amp;message=Kamenice-Vojta%20Tu%C4%8D</v>
      </c>
      <c r="E21" s="313" t="str">
        <f t="shared" si="5"/>
        <v/>
      </c>
      <c r="F21" s="298">
        <f t="shared" si="6"/>
        <v>300.7447344</v>
      </c>
      <c r="G21" s="421">
        <f t="shared" si="7"/>
        <v>301</v>
      </c>
      <c r="H21" s="320"/>
      <c r="I21" s="320"/>
      <c r="J21" s="315">
        <f t="shared" si="8"/>
        <v>301</v>
      </c>
      <c r="K21" s="432"/>
      <c r="L21" s="433" t="s">
        <v>74</v>
      </c>
      <c r="M21" s="433" t="s">
        <v>74</v>
      </c>
      <c r="N21" s="433" t="s">
        <v>74</v>
      </c>
      <c r="O21" s="417" t="s">
        <v>69</v>
      </c>
      <c r="P21" s="417" t="s">
        <v>74</v>
      </c>
      <c r="Q21" s="433" t="s">
        <v>69</v>
      </c>
      <c r="R21" s="433" t="s">
        <v>69</v>
      </c>
      <c r="S21" s="433" t="s">
        <v>69</v>
      </c>
      <c r="T21" s="433" t="s">
        <v>69</v>
      </c>
      <c r="U21" s="433" t="s">
        <v>69</v>
      </c>
      <c r="V21" s="433" t="s">
        <v>69</v>
      </c>
      <c r="W21" s="417" t="s">
        <v>69</v>
      </c>
      <c r="X21" s="417" t="s">
        <v>69</v>
      </c>
      <c r="Y21" s="417" t="s">
        <v>69</v>
      </c>
      <c r="Z21" s="417" t="s">
        <v>69</v>
      </c>
      <c r="AA21" s="417" t="s">
        <v>69</v>
      </c>
      <c r="AB21" s="433" t="s">
        <v>69</v>
      </c>
      <c r="AC21" s="418"/>
      <c r="AD21" s="418"/>
      <c r="AE21" s="419"/>
      <c r="AF21" s="308"/>
      <c r="AG21" s="308"/>
      <c r="AH21" s="308"/>
      <c r="AI21" s="308"/>
      <c r="AJ21" s="308"/>
      <c r="AK21" s="308"/>
    </row>
    <row r="22" ht="20.25" customHeight="1">
      <c r="A22" s="309">
        <v>15.0</v>
      </c>
      <c r="B22" s="310"/>
      <c r="C22" s="410" t="s">
        <v>270</v>
      </c>
      <c r="D22" s="312" t="str">
        <f t="shared" si="4"/>
        <v>https://api.paylibo.com/paylibo/generator/czech/image?accountNumber=1248728083&amp;bankCode=3030&amp;amount=-135&amp;currency=CZK&amp;message=Kamenice-%C4%8Cerm%C3%A1kov%C3%A1%20Zuzana</v>
      </c>
      <c r="E22" s="313" t="str">
        <f t="shared" si="5"/>
        <v/>
      </c>
      <c r="F22" s="298">
        <f t="shared" si="6"/>
        <v>-29.12400794</v>
      </c>
      <c r="G22" s="314">
        <f t="shared" si="7"/>
        <v>-30</v>
      </c>
      <c r="H22" s="320"/>
      <c r="I22" s="320">
        <v>105.0</v>
      </c>
      <c r="J22" s="315">
        <f t="shared" si="8"/>
        <v>-135</v>
      </c>
      <c r="K22" s="428" t="s">
        <v>69</v>
      </c>
      <c r="L22" s="423" t="s">
        <v>74</v>
      </c>
      <c r="M22" s="423" t="s">
        <v>74</v>
      </c>
      <c r="N22" s="423" t="s">
        <v>74</v>
      </c>
      <c r="O22" s="413" t="s">
        <v>69</v>
      </c>
      <c r="P22" s="413" t="s">
        <v>69</v>
      </c>
      <c r="Q22" s="413" t="s">
        <v>74</v>
      </c>
      <c r="R22" s="413" t="s">
        <v>74</v>
      </c>
      <c r="S22" s="413" t="s">
        <v>74</v>
      </c>
      <c r="T22" s="413" t="s">
        <v>74</v>
      </c>
      <c r="U22" s="413" t="s">
        <v>74</v>
      </c>
      <c r="V22" s="413" t="s">
        <v>74</v>
      </c>
      <c r="W22" s="413" t="s">
        <v>74</v>
      </c>
      <c r="X22" s="413" t="s">
        <v>74</v>
      </c>
      <c r="Y22" s="413" t="s">
        <v>74</v>
      </c>
      <c r="Z22" s="413" t="s">
        <v>74</v>
      </c>
      <c r="AA22" s="413" t="s">
        <v>69</v>
      </c>
      <c r="AB22" s="414"/>
      <c r="AC22" s="414"/>
      <c r="AD22" s="414"/>
      <c r="AE22" s="415"/>
      <c r="AF22" s="308"/>
      <c r="AG22" s="308"/>
      <c r="AH22" s="308"/>
      <c r="AI22" s="308"/>
      <c r="AJ22" s="308"/>
      <c r="AK22" s="308"/>
    </row>
    <row r="23" ht="20.25" customHeight="1">
      <c r="A23" s="309">
        <v>16.0</v>
      </c>
      <c r="B23" s="310"/>
      <c r="C23" s="410" t="s">
        <v>271</v>
      </c>
      <c r="D23" s="312" t="str">
        <f t="shared" si="4"/>
        <v>https://api.paylibo.com/paylibo/generator/czech/image?accountNumber=1248728083&amp;bankCode=3030&amp;amount=0&amp;currency=CZK&amp;message=Kamenice-predseda%20Tonda</v>
      </c>
      <c r="E23" s="313" t="str">
        <f t="shared" si="5"/>
        <v/>
      </c>
      <c r="F23" s="298">
        <f t="shared" si="6"/>
        <v>164.2857143</v>
      </c>
      <c r="G23" s="314">
        <f t="shared" si="7"/>
        <v>165</v>
      </c>
      <c r="H23" s="320"/>
      <c r="I23" s="320">
        <v>165.0</v>
      </c>
      <c r="J23" s="315">
        <f t="shared" si="8"/>
        <v>0</v>
      </c>
      <c r="K23" s="434" t="s">
        <v>74</v>
      </c>
      <c r="L23" s="423" t="s">
        <v>74</v>
      </c>
      <c r="M23" s="423" t="s">
        <v>74</v>
      </c>
      <c r="N23" s="423" t="s">
        <v>74</v>
      </c>
      <c r="O23" s="417" t="s">
        <v>69</v>
      </c>
      <c r="P23" s="417" t="s">
        <v>69</v>
      </c>
      <c r="Q23" s="429" t="s">
        <v>74</v>
      </c>
      <c r="R23" s="417" t="s">
        <v>74</v>
      </c>
      <c r="S23" s="429" t="s">
        <v>74</v>
      </c>
      <c r="T23" s="417" t="s">
        <v>74</v>
      </c>
      <c r="U23" s="417" t="s">
        <v>74</v>
      </c>
      <c r="V23" s="417" t="s">
        <v>74</v>
      </c>
      <c r="W23" s="417" t="s">
        <v>74</v>
      </c>
      <c r="X23" s="417" t="s">
        <v>74</v>
      </c>
      <c r="Y23" s="417" t="s">
        <v>74</v>
      </c>
      <c r="Z23" s="417" t="s">
        <v>74</v>
      </c>
      <c r="AA23" s="417" t="s">
        <v>74</v>
      </c>
      <c r="AB23" s="418"/>
      <c r="AC23" s="418"/>
      <c r="AD23" s="418"/>
      <c r="AE23" s="419"/>
      <c r="AF23" s="308"/>
      <c r="AG23" s="308"/>
      <c r="AH23" s="308"/>
      <c r="AI23" s="308"/>
      <c r="AJ23" s="308"/>
      <c r="AK23" s="308"/>
    </row>
    <row r="24" ht="20.25" customHeight="1">
      <c r="A24" s="309">
        <v>17.0</v>
      </c>
      <c r="B24" s="310"/>
      <c r="C24" s="410" t="s">
        <v>272</v>
      </c>
      <c r="D24" s="312" t="str">
        <f t="shared" si="4"/>
        <v>https://api.paylibo.com/paylibo/generator/czech/image?accountNumber=1248728083&amp;bankCode=3030&amp;amount=0&amp;currency=CZK&amp;message=Kamenice-D%C3%ADt%C4%9B%201</v>
      </c>
      <c r="E24" s="313" t="str">
        <f t="shared" si="5"/>
        <v/>
      </c>
      <c r="F24" s="298">
        <f t="shared" si="6"/>
        <v>164.2857143</v>
      </c>
      <c r="G24" s="314">
        <f t="shared" si="7"/>
        <v>165</v>
      </c>
      <c r="H24" s="320"/>
      <c r="I24" s="320">
        <v>165.0</v>
      </c>
      <c r="J24" s="315">
        <f t="shared" si="8"/>
        <v>0</v>
      </c>
      <c r="K24" s="412"/>
      <c r="L24" s="423" t="s">
        <v>74</v>
      </c>
      <c r="M24" s="423" t="s">
        <v>74</v>
      </c>
      <c r="N24" s="423" t="s">
        <v>74</v>
      </c>
      <c r="O24" s="413" t="s">
        <v>69</v>
      </c>
      <c r="P24" s="413" t="s">
        <v>69</v>
      </c>
      <c r="Q24" s="413" t="s">
        <v>74</v>
      </c>
      <c r="R24" s="413" t="s">
        <v>74</v>
      </c>
      <c r="S24" s="413" t="s">
        <v>74</v>
      </c>
      <c r="T24" s="413" t="s">
        <v>74</v>
      </c>
      <c r="U24" s="413" t="s">
        <v>74</v>
      </c>
      <c r="V24" s="413" t="s">
        <v>74</v>
      </c>
      <c r="W24" s="413" t="s">
        <v>74</v>
      </c>
      <c r="X24" s="413" t="s">
        <v>74</v>
      </c>
      <c r="Y24" s="413" t="s">
        <v>74</v>
      </c>
      <c r="Z24" s="413" t="s">
        <v>74</v>
      </c>
      <c r="AA24" s="413" t="s">
        <v>74</v>
      </c>
      <c r="AB24" s="414"/>
      <c r="AC24" s="414"/>
      <c r="AD24" s="414"/>
      <c r="AE24" s="415"/>
      <c r="AF24" s="308"/>
      <c r="AG24" s="308"/>
      <c r="AH24" s="308"/>
      <c r="AI24" s="308"/>
      <c r="AJ24" s="308"/>
      <c r="AK24" s="308"/>
    </row>
    <row r="25" ht="20.25" customHeight="1">
      <c r="A25" s="309">
        <v>18.0</v>
      </c>
      <c r="B25" s="310"/>
      <c r="C25" s="410" t="s">
        <v>273</v>
      </c>
      <c r="D25" s="312" t="str">
        <f t="shared" si="4"/>
        <v>https://api.paylibo.com/paylibo/generator/czech/image?accountNumber=1248728083&amp;bankCode=3030&amp;amount=0&amp;currency=CZK&amp;message=Kamenice-D%C3%ADt%C4%9B%202</v>
      </c>
      <c r="E25" s="313" t="str">
        <f t="shared" si="5"/>
        <v/>
      </c>
      <c r="F25" s="298">
        <f t="shared" si="6"/>
        <v>164.2857143</v>
      </c>
      <c r="G25" s="314">
        <f t="shared" si="7"/>
        <v>165</v>
      </c>
      <c r="H25" s="320"/>
      <c r="I25" s="320">
        <v>165.0</v>
      </c>
      <c r="J25" s="315">
        <f t="shared" si="8"/>
        <v>0</v>
      </c>
      <c r="K25" s="432"/>
      <c r="L25" s="423" t="s">
        <v>74</v>
      </c>
      <c r="M25" s="423" t="s">
        <v>74</v>
      </c>
      <c r="N25" s="423" t="s">
        <v>74</v>
      </c>
      <c r="O25" s="417" t="s">
        <v>69</v>
      </c>
      <c r="P25" s="417" t="s">
        <v>69</v>
      </c>
      <c r="Q25" s="429" t="s">
        <v>74</v>
      </c>
      <c r="R25" s="417" t="s">
        <v>74</v>
      </c>
      <c r="S25" s="429" t="s">
        <v>74</v>
      </c>
      <c r="T25" s="417" t="s">
        <v>74</v>
      </c>
      <c r="U25" s="417" t="s">
        <v>74</v>
      </c>
      <c r="V25" s="417" t="s">
        <v>74</v>
      </c>
      <c r="W25" s="417" t="s">
        <v>74</v>
      </c>
      <c r="X25" s="417" t="s">
        <v>74</v>
      </c>
      <c r="Y25" s="417" t="s">
        <v>74</v>
      </c>
      <c r="Z25" s="417" t="s">
        <v>74</v>
      </c>
      <c r="AA25" s="417" t="s">
        <v>74</v>
      </c>
      <c r="AB25" s="418"/>
      <c r="AC25" s="418"/>
      <c r="AD25" s="418"/>
      <c r="AE25" s="419"/>
      <c r="AF25" s="308"/>
      <c r="AG25" s="308"/>
      <c r="AH25" s="308"/>
      <c r="AI25" s="308"/>
      <c r="AJ25" s="308"/>
      <c r="AK25" s="308"/>
    </row>
    <row r="26" ht="20.25" customHeight="1">
      <c r="A26" s="309">
        <v>19.0</v>
      </c>
      <c r="B26" s="310"/>
      <c r="C26" s="435" t="s">
        <v>35</v>
      </c>
      <c r="D26" s="312" t="str">
        <f t="shared" si="4"/>
        <v>https://api.paylibo.com/paylibo/generator/czech/image?accountNumber=1248728083&amp;bankCode=3030&amp;amount=172&amp;currency=CZK&amp;message=Kamenice-Luk%C3%A1%C5%A1%20Kop%C5%99iva</v>
      </c>
      <c r="E26" s="313" t="str">
        <f t="shared" si="5"/>
        <v/>
      </c>
      <c r="F26" s="298">
        <f t="shared" si="6"/>
        <v>171.3045635</v>
      </c>
      <c r="G26" s="411">
        <f t="shared" si="7"/>
        <v>172</v>
      </c>
      <c r="H26" s="92"/>
      <c r="I26" s="320"/>
      <c r="J26" s="315">
        <f t="shared" si="8"/>
        <v>172</v>
      </c>
      <c r="K26" s="428" t="s">
        <v>69</v>
      </c>
      <c r="L26" s="413" t="s">
        <v>69</v>
      </c>
      <c r="M26" s="413" t="s">
        <v>69</v>
      </c>
      <c r="N26" s="413" t="s">
        <v>215</v>
      </c>
      <c r="O26" s="413" t="s">
        <v>69</v>
      </c>
      <c r="P26" s="413" t="s">
        <v>74</v>
      </c>
      <c r="Q26" s="413" t="s">
        <v>74</v>
      </c>
      <c r="R26" s="413" t="s">
        <v>69</v>
      </c>
      <c r="S26" s="413" t="s">
        <v>74</v>
      </c>
      <c r="T26" s="413" t="s">
        <v>69</v>
      </c>
      <c r="U26" s="413" t="s">
        <v>74</v>
      </c>
      <c r="V26" s="413" t="s">
        <v>69</v>
      </c>
      <c r="W26" s="413" t="s">
        <v>69</v>
      </c>
      <c r="X26" s="413" t="s">
        <v>69</v>
      </c>
      <c r="Y26" s="413" t="s">
        <v>69</v>
      </c>
      <c r="Z26" s="413" t="s">
        <v>69</v>
      </c>
      <c r="AA26" s="413" t="s">
        <v>69</v>
      </c>
      <c r="AB26" s="414"/>
      <c r="AC26" s="414"/>
      <c r="AD26" s="414"/>
      <c r="AE26" s="415"/>
      <c r="AF26" s="308"/>
      <c r="AG26" s="308"/>
      <c r="AH26" s="308"/>
      <c r="AI26" s="308"/>
      <c r="AJ26" s="308"/>
      <c r="AK26" s="308"/>
    </row>
    <row r="27" ht="20.25" customHeight="1">
      <c r="A27" s="309">
        <v>20.0</v>
      </c>
      <c r="B27" s="310"/>
      <c r="C27" s="435" t="s">
        <v>274</v>
      </c>
      <c r="D27" s="312" t="str">
        <f t="shared" si="4"/>
        <v>https://api.paylibo.com/paylibo/generator/czech/image?accountNumber=1248728083&amp;bankCode=3030&amp;amount=172&amp;currency=CZK&amp;message=Kamenice-Filip%20Havl%C3%AD%C4%8Dek</v>
      </c>
      <c r="E27" s="313" t="str">
        <f t="shared" si="5"/>
        <v/>
      </c>
      <c r="F27" s="298">
        <f t="shared" si="6"/>
        <v>171.3045635</v>
      </c>
      <c r="G27" s="411">
        <f t="shared" si="7"/>
        <v>172</v>
      </c>
      <c r="H27" s="86"/>
      <c r="I27" s="320"/>
      <c r="J27" s="315">
        <f t="shared" si="8"/>
        <v>172</v>
      </c>
      <c r="K27" s="416" t="s">
        <v>69</v>
      </c>
      <c r="L27" s="417" t="s">
        <v>69</v>
      </c>
      <c r="M27" s="417" t="s">
        <v>69</v>
      </c>
      <c r="N27" s="417" t="s">
        <v>215</v>
      </c>
      <c r="O27" s="417" t="s">
        <v>69</v>
      </c>
      <c r="P27" s="417" t="s">
        <v>74</v>
      </c>
      <c r="Q27" s="429" t="s">
        <v>74</v>
      </c>
      <c r="R27" s="417" t="s">
        <v>69</v>
      </c>
      <c r="S27" s="429" t="s">
        <v>74</v>
      </c>
      <c r="T27" s="417" t="s">
        <v>69</v>
      </c>
      <c r="U27" s="417" t="s">
        <v>74</v>
      </c>
      <c r="V27" s="417" t="s">
        <v>69</v>
      </c>
      <c r="W27" s="417" t="s">
        <v>69</v>
      </c>
      <c r="X27" s="417" t="s">
        <v>69</v>
      </c>
      <c r="Y27" s="417" t="s">
        <v>69</v>
      </c>
      <c r="Z27" s="417" t="s">
        <v>69</v>
      </c>
      <c r="AA27" s="417" t="s">
        <v>69</v>
      </c>
      <c r="AB27" s="418"/>
      <c r="AC27" s="418"/>
      <c r="AD27" s="418"/>
      <c r="AE27" s="419"/>
      <c r="AF27" s="308"/>
      <c r="AG27" s="308"/>
      <c r="AH27" s="308"/>
      <c r="AI27" s="308"/>
      <c r="AJ27" s="308"/>
      <c r="AK27" s="308"/>
    </row>
    <row r="28" ht="20.25" customHeight="1">
      <c r="A28" s="309">
        <v>21.0</v>
      </c>
      <c r="B28" s="310"/>
      <c r="C28" s="435" t="s">
        <v>275</v>
      </c>
      <c r="D28" s="312" t="str">
        <f t="shared" si="4"/>
        <v>https://api.paylibo.com/paylibo/generator/czech/image?accountNumber=1248728083&amp;bankCode=3030&amp;amount=117&amp;currency=CZK&amp;message=Kamenice-Katka%20K%C5%99%C3%AD%C5%BEov%C3%A1</v>
      </c>
      <c r="E28" s="313" t="str">
        <f t="shared" si="5"/>
        <v/>
      </c>
      <c r="F28" s="298">
        <f t="shared" si="6"/>
        <v>116.7857143</v>
      </c>
      <c r="G28" s="314">
        <f t="shared" si="7"/>
        <v>117</v>
      </c>
      <c r="H28" s="92"/>
      <c r="I28" s="320"/>
      <c r="J28" s="315">
        <f t="shared" si="8"/>
        <v>117</v>
      </c>
      <c r="K28" s="436"/>
      <c r="L28" s="413" t="s">
        <v>74</v>
      </c>
      <c r="M28" s="413" t="s">
        <v>69</v>
      </c>
      <c r="N28" s="437"/>
      <c r="O28" s="413" t="s">
        <v>69</v>
      </c>
      <c r="P28" s="413" t="s">
        <v>74</v>
      </c>
      <c r="Q28" s="413" t="s">
        <v>74</v>
      </c>
      <c r="R28" s="413" t="s">
        <v>69</v>
      </c>
      <c r="S28" s="413" t="s">
        <v>74</v>
      </c>
      <c r="T28" s="413" t="s">
        <v>69</v>
      </c>
      <c r="U28" s="413" t="s">
        <v>74</v>
      </c>
      <c r="V28" s="413" t="s">
        <v>69</v>
      </c>
      <c r="W28" s="437"/>
      <c r="X28" s="437"/>
      <c r="Y28" s="437"/>
      <c r="Z28" s="413" t="s">
        <v>74</v>
      </c>
      <c r="AA28" s="413" t="s">
        <v>74</v>
      </c>
      <c r="AB28" s="414"/>
      <c r="AC28" s="414"/>
      <c r="AD28" s="414"/>
      <c r="AE28" s="415"/>
      <c r="AF28" s="308"/>
      <c r="AG28" s="308"/>
      <c r="AH28" s="308"/>
      <c r="AI28" s="308"/>
      <c r="AJ28" s="308"/>
      <c r="AK28" s="308"/>
    </row>
    <row r="29" ht="20.25" customHeight="1">
      <c r="A29" s="309">
        <v>23.0</v>
      </c>
      <c r="B29" s="310"/>
      <c r="C29" s="438" t="s">
        <v>276</v>
      </c>
      <c r="D29" s="312" t="str">
        <f t="shared" si="4"/>
        <v>https://api.paylibo.com/paylibo/generator/czech/image?accountNumber=1248728083&amp;bankCode=3030&amp;amount=-58&amp;currency=CZK&amp;message=Kamenice-Marek%20Ho%C5%99ej%C5%A1%C3%AD</v>
      </c>
      <c r="E29" s="313" t="str">
        <f t="shared" si="5"/>
        <v/>
      </c>
      <c r="F29" s="298">
        <f t="shared" si="6"/>
        <v>-57.93650794</v>
      </c>
      <c r="G29" s="314">
        <f t="shared" si="7"/>
        <v>-58</v>
      </c>
      <c r="H29" s="92"/>
      <c r="I29" s="320"/>
      <c r="J29" s="439">
        <f t="shared" si="8"/>
        <v>-58</v>
      </c>
      <c r="K29" s="416" t="s">
        <v>69</v>
      </c>
      <c r="L29" s="417" t="s">
        <v>69</v>
      </c>
      <c r="M29" s="417" t="s">
        <v>69</v>
      </c>
      <c r="N29" s="417" t="s">
        <v>215</v>
      </c>
      <c r="O29" s="417" t="s">
        <v>69</v>
      </c>
      <c r="P29" s="417" t="s">
        <v>74</v>
      </c>
      <c r="Q29" s="417" t="s">
        <v>74</v>
      </c>
      <c r="R29" s="417" t="s">
        <v>74</v>
      </c>
      <c r="S29" s="417" t="s">
        <v>74</v>
      </c>
      <c r="T29" s="417" t="s">
        <v>74</v>
      </c>
      <c r="U29" s="417" t="s">
        <v>74</v>
      </c>
      <c r="V29" s="417" t="s">
        <v>74</v>
      </c>
      <c r="W29" s="440"/>
      <c r="X29" s="440"/>
      <c r="Y29" s="440"/>
      <c r="Z29" s="440"/>
      <c r="AA29" s="440"/>
      <c r="AB29" s="418"/>
      <c r="AC29" s="418"/>
      <c r="AD29" s="418"/>
      <c r="AE29" s="419"/>
      <c r="AF29" s="308"/>
      <c r="AG29" s="308"/>
      <c r="AH29" s="308"/>
      <c r="AI29" s="308"/>
      <c r="AJ29" s="308"/>
      <c r="AK29" s="308"/>
    </row>
    <row r="30" ht="20.25" customHeight="1">
      <c r="A30" s="309">
        <v>24.0</v>
      </c>
      <c r="B30" s="310"/>
      <c r="C30" s="435" t="s">
        <v>277</v>
      </c>
      <c r="D30" s="312" t="str">
        <f t="shared" si="4"/>
        <v>https://api.paylibo.com/paylibo/generator/czech/image?accountNumber=1248728083&amp;bankCode=3030&amp;amount=-2383&amp;currency=CZK&amp;message=Kamenice-Majka%20Ho%C5%99ej%C5%A1%C3%AD</v>
      </c>
      <c r="E30" s="313" t="str">
        <f t="shared" si="5"/>
        <v/>
      </c>
      <c r="F30" s="298">
        <f t="shared" si="6"/>
        <v>-57.93650794</v>
      </c>
      <c r="G30" s="314">
        <f t="shared" si="7"/>
        <v>-58</v>
      </c>
      <c r="H30" s="92"/>
      <c r="I30" s="441">
        <f>L6+M6+N6+X6</f>
        <v>2325</v>
      </c>
      <c r="J30" s="315">
        <f t="shared" si="8"/>
        <v>-2383</v>
      </c>
      <c r="K30" s="428" t="s">
        <v>69</v>
      </c>
      <c r="L30" s="413" t="s">
        <v>69</v>
      </c>
      <c r="M30" s="413" t="s">
        <v>69</v>
      </c>
      <c r="N30" s="413" t="s">
        <v>215</v>
      </c>
      <c r="O30" s="413" t="s">
        <v>69</v>
      </c>
      <c r="P30" s="413" t="s">
        <v>74</v>
      </c>
      <c r="Q30" s="430" t="s">
        <v>74</v>
      </c>
      <c r="R30" s="413" t="s">
        <v>74</v>
      </c>
      <c r="S30" s="430" t="s">
        <v>74</v>
      </c>
      <c r="T30" s="413" t="s">
        <v>74</v>
      </c>
      <c r="U30" s="413" t="s">
        <v>74</v>
      </c>
      <c r="V30" s="413" t="s">
        <v>74</v>
      </c>
      <c r="W30" s="437"/>
      <c r="X30" s="437"/>
      <c r="Y30" s="437"/>
      <c r="Z30" s="437"/>
      <c r="AA30" s="437"/>
      <c r="AB30" s="414"/>
      <c r="AC30" s="414"/>
      <c r="AD30" s="414"/>
      <c r="AE30" s="415"/>
      <c r="AF30" s="308"/>
      <c r="AG30" s="308"/>
      <c r="AH30" s="308"/>
      <c r="AI30" s="308"/>
      <c r="AJ30" s="308"/>
      <c r="AK30" s="308"/>
    </row>
    <row r="31" ht="20.25" customHeight="1">
      <c r="A31" s="309">
        <v>25.0</v>
      </c>
      <c r="B31" s="310"/>
      <c r="C31" s="442" t="s">
        <v>75</v>
      </c>
      <c r="D31" s="312" t="str">
        <f t="shared" si="4"/>
        <v>https://api.paylibo.com/paylibo/generator/czech/image?accountNumber=1248728083&amp;bankCode=3030&amp;amount=-523&amp;currency=CZK&amp;message=Kamenice-B%C3%A1ra%20Bernardov%C3%A1</v>
      </c>
      <c r="E31" s="313" t="str">
        <f t="shared" si="5"/>
        <v/>
      </c>
      <c r="F31" s="298">
        <f t="shared" si="6"/>
        <v>-222.2222222</v>
      </c>
      <c r="G31" s="314">
        <f t="shared" si="7"/>
        <v>-223</v>
      </c>
      <c r="H31" s="92"/>
      <c r="I31" s="325">
        <v>300.0</v>
      </c>
      <c r="J31" s="439">
        <f t="shared" si="8"/>
        <v>-523</v>
      </c>
      <c r="K31" s="416" t="s">
        <v>69</v>
      </c>
      <c r="L31" s="417" t="s">
        <v>74</v>
      </c>
      <c r="M31" s="433" t="s">
        <v>74</v>
      </c>
      <c r="N31" s="433" t="s">
        <v>74</v>
      </c>
      <c r="O31" s="433" t="s">
        <v>74</v>
      </c>
      <c r="P31" s="417" t="s">
        <v>74</v>
      </c>
      <c r="Q31" s="417" t="s">
        <v>74</v>
      </c>
      <c r="R31" s="417" t="s">
        <v>74</v>
      </c>
      <c r="S31" s="417" t="s">
        <v>74</v>
      </c>
      <c r="T31" s="417" t="s">
        <v>74</v>
      </c>
      <c r="U31" s="417" t="s">
        <v>74</v>
      </c>
      <c r="V31" s="417" t="s">
        <v>74</v>
      </c>
      <c r="W31" s="440"/>
      <c r="X31" s="440"/>
      <c r="Y31" s="440"/>
      <c r="Z31" s="440"/>
      <c r="AA31" s="440"/>
      <c r="AB31" s="418"/>
      <c r="AC31" s="418"/>
      <c r="AD31" s="418"/>
      <c r="AE31" s="419"/>
      <c r="AF31" s="308"/>
      <c r="AG31" s="308"/>
      <c r="AH31" s="308"/>
      <c r="AI31" s="308"/>
      <c r="AJ31" s="308"/>
      <c r="AK31" s="308"/>
    </row>
    <row r="32" ht="20.25" customHeight="1">
      <c r="A32" s="309">
        <v>26.0</v>
      </c>
      <c r="B32" s="310"/>
      <c r="C32" s="443" t="s">
        <v>107</v>
      </c>
      <c r="D32" s="312" t="str">
        <f t="shared" si="4"/>
        <v>https://api.paylibo.com/paylibo/generator/czech/image?accountNumber=1248728083&amp;bankCode=3030&amp;amount=0&amp;currency=CZK&amp;message=Kamenice-Pep%C3%A1k</v>
      </c>
      <c r="E32" s="313" t="str">
        <f t="shared" si="5"/>
        <v/>
      </c>
      <c r="F32" s="298">
        <f t="shared" si="6"/>
        <v>0</v>
      </c>
      <c r="G32" s="314">
        <f t="shared" si="7"/>
        <v>0</v>
      </c>
      <c r="H32" s="92"/>
      <c r="I32" s="320"/>
      <c r="J32" s="439">
        <f t="shared" si="8"/>
        <v>0</v>
      </c>
      <c r="K32" s="412"/>
      <c r="L32" s="423" t="s">
        <v>74</v>
      </c>
      <c r="M32" s="423" t="s">
        <v>74</v>
      </c>
      <c r="N32" s="423" t="s">
        <v>74</v>
      </c>
      <c r="O32" s="423" t="s">
        <v>74</v>
      </c>
      <c r="P32" s="413" t="s">
        <v>74</v>
      </c>
      <c r="Q32" s="430" t="s">
        <v>74</v>
      </c>
      <c r="R32" s="413" t="s">
        <v>74</v>
      </c>
      <c r="S32" s="430" t="s">
        <v>74</v>
      </c>
      <c r="T32" s="413" t="s">
        <v>74</v>
      </c>
      <c r="U32" s="413" t="s">
        <v>74</v>
      </c>
      <c r="V32" s="413" t="s">
        <v>74</v>
      </c>
      <c r="W32" s="437"/>
      <c r="X32" s="437"/>
      <c r="Y32" s="437"/>
      <c r="Z32" s="437"/>
      <c r="AA32" s="437"/>
      <c r="AB32" s="414"/>
      <c r="AC32" s="414"/>
      <c r="AD32" s="414"/>
      <c r="AE32" s="415"/>
      <c r="AF32" s="308"/>
      <c r="AG32" s="308"/>
      <c r="AH32" s="308"/>
      <c r="AI32" s="308"/>
      <c r="AJ32" s="308"/>
      <c r="AK32" s="308"/>
    </row>
    <row r="33" ht="20.25" customHeight="1">
      <c r="A33" s="309">
        <v>27.0</v>
      </c>
      <c r="B33" s="310"/>
      <c r="C33" s="443" t="s">
        <v>278</v>
      </c>
      <c r="D33" s="312" t="str">
        <f t="shared" si="4"/>
        <v>https://api.paylibo.com/paylibo/generator/czech/image?accountNumber=1248728083&amp;bankCode=3030&amp;amount=0&amp;currency=CZK&amp;message=Kamenice-Kuba%20</v>
      </c>
      <c r="E33" s="313" t="str">
        <f t="shared" si="5"/>
        <v/>
      </c>
      <c r="F33" s="298">
        <f t="shared" si="6"/>
        <v>0</v>
      </c>
      <c r="G33" s="314">
        <f t="shared" si="7"/>
        <v>0</v>
      </c>
      <c r="H33" s="92"/>
      <c r="I33" s="320"/>
      <c r="J33" s="439">
        <f t="shared" si="8"/>
        <v>0</v>
      </c>
      <c r="K33" s="425"/>
      <c r="L33" s="423" t="s">
        <v>74</v>
      </c>
      <c r="M33" s="423" t="s">
        <v>74</v>
      </c>
      <c r="N33" s="423" t="s">
        <v>74</v>
      </c>
      <c r="O33" s="433" t="s">
        <v>74</v>
      </c>
      <c r="P33" s="417" t="s">
        <v>74</v>
      </c>
      <c r="Q33" s="417" t="s">
        <v>74</v>
      </c>
      <c r="R33" s="417" t="s">
        <v>74</v>
      </c>
      <c r="S33" s="417" t="s">
        <v>74</v>
      </c>
      <c r="T33" s="417" t="s">
        <v>74</v>
      </c>
      <c r="U33" s="417" t="s">
        <v>74</v>
      </c>
      <c r="V33" s="417" t="s">
        <v>74</v>
      </c>
      <c r="W33" s="440"/>
      <c r="X33" s="440"/>
      <c r="Y33" s="440"/>
      <c r="Z33" s="440"/>
      <c r="AA33" s="440"/>
      <c r="AB33" s="418"/>
      <c r="AC33" s="418"/>
      <c r="AD33" s="418"/>
      <c r="AE33" s="419"/>
      <c r="AF33" s="308"/>
      <c r="AG33" s="308"/>
      <c r="AH33" s="308"/>
      <c r="AI33" s="308"/>
      <c r="AJ33" s="308"/>
      <c r="AK33" s="308"/>
    </row>
    <row r="34" ht="20.25" customHeight="1">
      <c r="A34" s="309">
        <v>28.0</v>
      </c>
      <c r="B34" s="310"/>
      <c r="C34" s="443" t="s">
        <v>110</v>
      </c>
      <c r="D34" s="312" t="str">
        <f t="shared" si="4"/>
        <v>https://api.paylibo.com/paylibo/generator/czech/image?accountNumber=1248728083&amp;bankCode=3030&amp;amount=0&amp;currency=CZK&amp;message=Kamenice-David</v>
      </c>
      <c r="E34" s="313" t="str">
        <f t="shared" si="5"/>
        <v/>
      </c>
      <c r="F34" s="298">
        <f t="shared" si="6"/>
        <v>0</v>
      </c>
      <c r="G34" s="314">
        <f t="shared" si="7"/>
        <v>0</v>
      </c>
      <c r="H34" s="92"/>
      <c r="I34" s="320"/>
      <c r="J34" s="439">
        <f t="shared" si="8"/>
        <v>0</v>
      </c>
      <c r="K34" s="412"/>
      <c r="L34" s="423" t="s">
        <v>74</v>
      </c>
      <c r="M34" s="423" t="s">
        <v>74</v>
      </c>
      <c r="N34" s="423" t="s">
        <v>74</v>
      </c>
      <c r="O34" s="423" t="s">
        <v>74</v>
      </c>
      <c r="P34" s="413" t="s">
        <v>74</v>
      </c>
      <c r="Q34" s="430" t="s">
        <v>74</v>
      </c>
      <c r="R34" s="413" t="s">
        <v>74</v>
      </c>
      <c r="S34" s="430" t="s">
        <v>74</v>
      </c>
      <c r="T34" s="413" t="s">
        <v>74</v>
      </c>
      <c r="U34" s="413" t="s">
        <v>74</v>
      </c>
      <c r="V34" s="413" t="s">
        <v>74</v>
      </c>
      <c r="W34" s="437"/>
      <c r="X34" s="437"/>
      <c r="Y34" s="437"/>
      <c r="Z34" s="437"/>
      <c r="AA34" s="437"/>
      <c r="AB34" s="414"/>
      <c r="AC34" s="414"/>
      <c r="AD34" s="414"/>
      <c r="AE34" s="415"/>
      <c r="AF34" s="308"/>
      <c r="AG34" s="308"/>
      <c r="AH34" s="308"/>
      <c r="AI34" s="308"/>
      <c r="AJ34" s="308"/>
      <c r="AK34" s="308"/>
    </row>
    <row r="35" ht="20.25" customHeight="1">
      <c r="A35" s="444"/>
      <c r="B35" s="445"/>
      <c r="C35" s="85"/>
      <c r="D35" s="446"/>
      <c r="E35" s="76"/>
      <c r="F35" s="76"/>
      <c r="G35" s="86"/>
      <c r="H35" s="92"/>
      <c r="I35" s="92"/>
      <c r="J35" s="439"/>
      <c r="K35" s="425"/>
      <c r="L35" s="440"/>
      <c r="M35" s="440"/>
      <c r="N35" s="440"/>
      <c r="O35" s="440"/>
      <c r="P35" s="440"/>
      <c r="Q35" s="440"/>
      <c r="R35" s="440"/>
      <c r="S35" s="440"/>
      <c r="T35" s="440"/>
      <c r="U35" s="440"/>
      <c r="V35" s="440"/>
      <c r="W35" s="440"/>
      <c r="X35" s="440"/>
      <c r="Y35" s="440"/>
      <c r="Z35" s="440"/>
      <c r="AA35" s="440"/>
      <c r="AB35" s="418"/>
      <c r="AC35" s="418"/>
      <c r="AD35" s="418"/>
      <c r="AE35" s="419"/>
      <c r="AF35" s="447"/>
      <c r="AG35" s="447"/>
      <c r="AH35" s="447"/>
      <c r="AI35" s="447"/>
      <c r="AJ35" s="447"/>
      <c r="AK35" s="447"/>
    </row>
    <row r="36" ht="20.25" customHeight="1">
      <c r="A36" s="444"/>
      <c r="B36" s="445"/>
      <c r="C36" s="85"/>
      <c r="D36" s="446"/>
      <c r="E36" s="76"/>
      <c r="F36" s="76"/>
      <c r="G36" s="86"/>
      <c r="H36" s="92"/>
      <c r="I36" s="92"/>
      <c r="J36" s="439"/>
      <c r="K36" s="432"/>
      <c r="L36" s="440"/>
      <c r="M36" s="440"/>
      <c r="N36" s="440"/>
      <c r="O36" s="440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40"/>
      <c r="AA36" s="440"/>
      <c r="AB36" s="418"/>
      <c r="AC36" s="418"/>
      <c r="AD36" s="418"/>
      <c r="AE36" s="419"/>
      <c r="AF36" s="448"/>
      <c r="AG36" s="448"/>
      <c r="AH36" s="448"/>
      <c r="AI36" s="448"/>
      <c r="AJ36" s="448"/>
      <c r="AK36" s="448"/>
    </row>
    <row r="37" ht="20.25" customHeight="1">
      <c r="A37" s="444"/>
      <c r="B37" s="445"/>
      <c r="C37" s="85"/>
      <c r="D37" s="446"/>
      <c r="E37" s="76"/>
      <c r="F37" s="76"/>
      <c r="G37" s="86"/>
      <c r="H37" s="92"/>
      <c r="I37" s="92"/>
      <c r="J37" s="439"/>
      <c r="K37" s="432"/>
      <c r="L37" s="440"/>
      <c r="M37" s="440"/>
      <c r="N37" s="440"/>
      <c r="O37" s="440"/>
      <c r="P37" s="440"/>
      <c r="Q37" s="440"/>
      <c r="R37" s="440"/>
      <c r="S37" s="440"/>
      <c r="T37" s="440"/>
      <c r="U37" s="440"/>
      <c r="V37" s="440"/>
      <c r="W37" s="440"/>
      <c r="X37" s="440"/>
      <c r="Y37" s="440"/>
      <c r="Z37" s="440"/>
      <c r="AA37" s="440"/>
      <c r="AB37" s="418"/>
      <c r="AC37" s="418"/>
      <c r="AD37" s="418"/>
      <c r="AE37" s="419"/>
      <c r="AF37" s="447"/>
      <c r="AG37" s="447"/>
      <c r="AH37" s="447"/>
      <c r="AI37" s="447"/>
      <c r="AJ37" s="447"/>
      <c r="AK37" s="447"/>
    </row>
    <row r="38" ht="20.25" customHeight="1">
      <c r="A38" s="444"/>
      <c r="B38" s="445"/>
      <c r="C38" s="85"/>
      <c r="D38" s="446"/>
      <c r="E38" s="76"/>
      <c r="F38" s="76"/>
      <c r="G38" s="86"/>
      <c r="H38" s="92"/>
      <c r="I38" s="92"/>
      <c r="J38" s="439"/>
      <c r="K38" s="425"/>
      <c r="L38" s="440"/>
      <c r="M38" s="440"/>
      <c r="N38" s="440"/>
      <c r="O38" s="440"/>
      <c r="P38" s="440"/>
      <c r="Q38" s="449"/>
      <c r="R38" s="440"/>
      <c r="S38" s="449"/>
      <c r="T38" s="440"/>
      <c r="U38" s="440"/>
      <c r="V38" s="440"/>
      <c r="W38" s="440"/>
      <c r="X38" s="440"/>
      <c r="Y38" s="440"/>
      <c r="Z38" s="440"/>
      <c r="AA38" s="440"/>
      <c r="AB38" s="418"/>
      <c r="AC38" s="418"/>
      <c r="AD38" s="418"/>
      <c r="AE38" s="419"/>
      <c r="AF38" s="447"/>
      <c r="AG38" s="447"/>
      <c r="AH38" s="447"/>
      <c r="AI38" s="447"/>
      <c r="AJ38" s="447"/>
      <c r="AK38" s="447"/>
    </row>
    <row r="39" ht="20.25" customHeight="1">
      <c r="A39" s="444"/>
      <c r="B39" s="445"/>
      <c r="C39" s="85"/>
      <c r="D39" s="446"/>
      <c r="E39" s="76"/>
      <c r="F39" s="76"/>
      <c r="G39" s="86"/>
      <c r="H39" s="92"/>
      <c r="I39" s="92"/>
      <c r="J39" s="439"/>
      <c r="K39" s="425"/>
      <c r="L39" s="440"/>
      <c r="M39" s="440"/>
      <c r="N39" s="440"/>
      <c r="O39" s="440"/>
      <c r="P39" s="440"/>
      <c r="Q39" s="440"/>
      <c r="R39" s="440"/>
      <c r="S39" s="440"/>
      <c r="T39" s="440"/>
      <c r="U39" s="440"/>
      <c r="V39" s="440"/>
      <c r="W39" s="440"/>
      <c r="X39" s="440"/>
      <c r="Y39" s="440"/>
      <c r="Z39" s="440"/>
      <c r="AA39" s="440"/>
      <c r="AB39" s="418"/>
      <c r="AC39" s="418"/>
      <c r="AD39" s="418"/>
      <c r="AE39" s="419"/>
      <c r="AF39" s="448"/>
      <c r="AG39" s="448"/>
      <c r="AH39" s="448"/>
      <c r="AI39" s="448"/>
      <c r="AJ39" s="448"/>
      <c r="AK39" s="448"/>
    </row>
    <row r="40" ht="20.25" customHeight="1">
      <c r="A40" s="444"/>
      <c r="B40" s="445"/>
      <c r="C40" s="85"/>
      <c r="D40" s="446"/>
      <c r="E40" s="76"/>
      <c r="F40" s="76"/>
      <c r="G40" s="86"/>
      <c r="H40" s="92"/>
      <c r="I40" s="92"/>
      <c r="J40" s="439"/>
      <c r="K40" s="425"/>
      <c r="L40" s="440"/>
      <c r="M40" s="440"/>
      <c r="N40" s="440"/>
      <c r="O40" s="440"/>
      <c r="P40" s="440"/>
      <c r="Q40" s="449"/>
      <c r="R40" s="440"/>
      <c r="S40" s="449"/>
      <c r="T40" s="440"/>
      <c r="U40" s="440"/>
      <c r="V40" s="440"/>
      <c r="W40" s="440"/>
      <c r="X40" s="440"/>
      <c r="Y40" s="440"/>
      <c r="Z40" s="440"/>
      <c r="AA40" s="440"/>
      <c r="AB40" s="418"/>
      <c r="AC40" s="418"/>
      <c r="AD40" s="418"/>
      <c r="AE40" s="419"/>
      <c r="AF40" s="447"/>
      <c r="AG40" s="447"/>
      <c r="AH40" s="447"/>
      <c r="AI40" s="447"/>
      <c r="AJ40" s="447"/>
      <c r="AK40" s="447"/>
    </row>
    <row r="41" ht="20.25" customHeight="1">
      <c r="A41" s="444"/>
      <c r="B41" s="445"/>
      <c r="C41" s="85"/>
      <c r="D41" s="446"/>
      <c r="E41" s="76"/>
      <c r="F41" s="76"/>
      <c r="G41" s="86"/>
      <c r="H41" s="92"/>
      <c r="I41" s="92"/>
      <c r="J41" s="439"/>
      <c r="K41" s="425"/>
      <c r="L41" s="440"/>
      <c r="M41" s="440"/>
      <c r="N41" s="440"/>
      <c r="O41" s="440"/>
      <c r="P41" s="440"/>
      <c r="Q41" s="440"/>
      <c r="R41" s="440"/>
      <c r="S41" s="440"/>
      <c r="T41" s="440"/>
      <c r="U41" s="440"/>
      <c r="V41" s="440"/>
      <c r="W41" s="440"/>
      <c r="X41" s="440"/>
      <c r="Y41" s="440"/>
      <c r="Z41" s="440"/>
      <c r="AA41" s="440"/>
      <c r="AB41" s="418"/>
      <c r="AC41" s="418"/>
      <c r="AD41" s="418"/>
      <c r="AE41" s="419"/>
      <c r="AF41" s="448"/>
      <c r="AG41" s="448"/>
      <c r="AH41" s="448"/>
      <c r="AI41" s="448"/>
      <c r="AJ41" s="448"/>
      <c r="AK41" s="448"/>
    </row>
    <row r="42" ht="20.25" customHeight="1">
      <c r="A42" s="444"/>
      <c r="B42" s="445"/>
      <c r="C42" s="85"/>
      <c r="D42" s="446"/>
      <c r="E42" s="76"/>
      <c r="F42" s="76"/>
      <c r="G42" s="86"/>
      <c r="H42" s="331"/>
      <c r="I42" s="92"/>
      <c r="J42" s="439"/>
      <c r="K42" s="425"/>
      <c r="L42" s="440"/>
      <c r="M42" s="440"/>
      <c r="N42" s="440"/>
      <c r="O42" s="440"/>
      <c r="P42" s="440"/>
      <c r="Q42" s="449"/>
      <c r="R42" s="440"/>
      <c r="S42" s="449"/>
      <c r="T42" s="440"/>
      <c r="U42" s="440"/>
      <c r="V42" s="440"/>
      <c r="W42" s="440"/>
      <c r="X42" s="440"/>
      <c r="Y42" s="440"/>
      <c r="Z42" s="440"/>
      <c r="AA42" s="440"/>
      <c r="AB42" s="418"/>
      <c r="AC42" s="418"/>
      <c r="AD42" s="418"/>
      <c r="AE42" s="419"/>
      <c r="AF42" s="447"/>
      <c r="AG42" s="447"/>
      <c r="AH42" s="447"/>
      <c r="AI42" s="447"/>
      <c r="AJ42" s="447"/>
      <c r="AK42" s="447"/>
    </row>
    <row r="43" ht="20.25" customHeight="1">
      <c r="A43" s="444"/>
      <c r="B43" s="445"/>
      <c r="C43" s="85"/>
      <c r="D43" s="446"/>
      <c r="E43" s="76"/>
      <c r="F43" s="76"/>
      <c r="G43" s="86"/>
      <c r="H43" s="92"/>
      <c r="I43" s="92"/>
      <c r="J43" s="439"/>
      <c r="K43" s="450"/>
      <c r="L43" s="451"/>
      <c r="M43" s="451"/>
      <c r="N43" s="451"/>
      <c r="O43" s="451"/>
      <c r="P43" s="451"/>
      <c r="Q43" s="451"/>
      <c r="R43" s="451"/>
      <c r="S43" s="451"/>
      <c r="T43" s="451"/>
      <c r="U43" s="451"/>
      <c r="V43" s="451"/>
      <c r="W43" s="451"/>
      <c r="X43" s="451"/>
      <c r="Y43" s="451"/>
      <c r="Z43" s="451"/>
      <c r="AA43" s="451"/>
      <c r="AB43" s="452"/>
      <c r="AC43" s="452"/>
      <c r="AD43" s="452"/>
      <c r="AE43" s="453"/>
      <c r="AF43" s="447"/>
      <c r="AG43" s="447"/>
      <c r="AH43" s="447"/>
      <c r="AI43" s="447"/>
      <c r="AJ43" s="447"/>
      <c r="AK43" s="447"/>
    </row>
    <row r="44" ht="20.25" customHeight="1">
      <c r="A44" s="444"/>
      <c r="B44" s="445"/>
      <c r="C44" s="85"/>
      <c r="D44" s="446"/>
      <c r="E44" s="76"/>
      <c r="F44" s="76"/>
      <c r="G44" s="86"/>
      <c r="H44" s="92"/>
      <c r="I44" s="92"/>
      <c r="J44" s="439"/>
      <c r="K44" s="96"/>
      <c r="L44" s="88"/>
      <c r="M44" s="88"/>
      <c r="N44" s="88"/>
      <c r="O44" s="88"/>
      <c r="P44" s="88"/>
      <c r="Q44" s="94"/>
      <c r="R44" s="88"/>
      <c r="S44" s="94"/>
      <c r="T44" s="89"/>
      <c r="U44" s="89"/>
      <c r="V44" s="89"/>
      <c r="W44" s="89"/>
      <c r="X44" s="88"/>
      <c r="Y44" s="89"/>
      <c r="Z44" s="89"/>
      <c r="AA44" s="90"/>
      <c r="AB44" s="447"/>
      <c r="AC44" s="447"/>
      <c r="AD44" s="447"/>
      <c r="AE44" s="447"/>
      <c r="AF44" s="447"/>
      <c r="AG44" s="447"/>
      <c r="AH44" s="447"/>
      <c r="AI44" s="447"/>
      <c r="AJ44" s="447"/>
      <c r="AK44" s="447"/>
    </row>
    <row r="45" ht="20.25" customHeight="1">
      <c r="A45" s="444"/>
      <c r="B45" s="445"/>
      <c r="C45" s="85"/>
      <c r="D45" s="446"/>
      <c r="E45" s="76"/>
      <c r="F45" s="76"/>
      <c r="G45" s="86"/>
      <c r="H45" s="92"/>
      <c r="I45" s="92"/>
      <c r="J45" s="439"/>
      <c r="K45" s="87"/>
      <c r="L45" s="88"/>
      <c r="M45" s="88"/>
      <c r="N45" s="88"/>
      <c r="O45" s="88"/>
      <c r="P45" s="88"/>
      <c r="Q45" s="88"/>
      <c r="R45" s="88"/>
      <c r="S45" s="88"/>
      <c r="T45" s="89"/>
      <c r="U45" s="89"/>
      <c r="V45" s="89"/>
      <c r="W45" s="89"/>
      <c r="X45" s="88"/>
      <c r="Y45" s="89"/>
      <c r="Z45" s="89"/>
      <c r="AA45" s="90"/>
      <c r="AB45" s="447"/>
      <c r="AC45" s="447"/>
      <c r="AD45" s="447"/>
      <c r="AE45" s="447"/>
      <c r="AF45" s="447"/>
      <c r="AG45" s="447"/>
      <c r="AH45" s="447"/>
      <c r="AI45" s="447"/>
      <c r="AJ45" s="447"/>
      <c r="AK45" s="447"/>
    </row>
    <row r="46" ht="20.25" customHeight="1">
      <c r="A46" s="444"/>
      <c r="B46" s="445"/>
      <c r="C46" s="85"/>
      <c r="D46" s="446"/>
      <c r="E46" s="76"/>
      <c r="F46" s="76"/>
      <c r="G46" s="86"/>
      <c r="H46" s="92"/>
      <c r="I46" s="92"/>
      <c r="J46" s="439"/>
      <c r="K46" s="87"/>
      <c r="L46" s="88"/>
      <c r="M46" s="88"/>
      <c r="N46" s="88"/>
      <c r="O46" s="88"/>
      <c r="P46" s="88"/>
      <c r="Q46" s="94"/>
      <c r="R46" s="88"/>
      <c r="S46" s="94"/>
      <c r="T46" s="89"/>
      <c r="U46" s="89"/>
      <c r="V46" s="89"/>
      <c r="W46" s="89"/>
      <c r="X46" s="88"/>
      <c r="Y46" s="89"/>
      <c r="Z46" s="89"/>
      <c r="AA46" s="90"/>
      <c r="AB46" s="447"/>
      <c r="AC46" s="447"/>
      <c r="AD46" s="447"/>
      <c r="AE46" s="447"/>
      <c r="AF46" s="447"/>
      <c r="AG46" s="447"/>
      <c r="AH46" s="447"/>
      <c r="AI46" s="447"/>
      <c r="AJ46" s="447"/>
      <c r="AK46" s="447"/>
    </row>
    <row r="47" ht="20.25" customHeight="1">
      <c r="A47" s="444"/>
      <c r="B47" s="445"/>
      <c r="C47" s="85"/>
      <c r="D47" s="446"/>
      <c r="E47" s="76"/>
      <c r="F47" s="76"/>
      <c r="G47" s="86"/>
      <c r="H47" s="92"/>
      <c r="I47" s="92"/>
      <c r="J47" s="439"/>
      <c r="K47" s="87"/>
      <c r="L47" s="88"/>
      <c r="M47" s="88"/>
      <c r="N47" s="88"/>
      <c r="O47" s="88"/>
      <c r="P47" s="88"/>
      <c r="Q47" s="88"/>
      <c r="R47" s="88"/>
      <c r="S47" s="88"/>
      <c r="T47" s="89"/>
      <c r="U47" s="89"/>
      <c r="V47" s="89"/>
      <c r="W47" s="89"/>
      <c r="X47" s="88"/>
      <c r="Y47" s="89"/>
      <c r="Z47" s="89"/>
      <c r="AA47" s="90"/>
      <c r="AB47" s="447"/>
      <c r="AC47" s="447"/>
      <c r="AD47" s="447"/>
      <c r="AE47" s="447"/>
      <c r="AF47" s="447"/>
      <c r="AG47" s="447"/>
      <c r="AH47" s="447"/>
      <c r="AI47" s="447"/>
      <c r="AJ47" s="447"/>
      <c r="AK47" s="447"/>
    </row>
    <row r="48" ht="20.25" customHeight="1">
      <c r="A48" s="444"/>
      <c r="B48" s="445"/>
      <c r="C48" s="85"/>
      <c r="D48" s="446"/>
      <c r="E48" s="76"/>
      <c r="F48" s="76"/>
      <c r="G48" s="86"/>
      <c r="H48" s="92"/>
      <c r="I48" s="92"/>
      <c r="J48" s="439"/>
      <c r="K48" s="87"/>
      <c r="L48" s="88"/>
      <c r="M48" s="88"/>
      <c r="N48" s="88"/>
      <c r="O48" s="88"/>
      <c r="P48" s="88"/>
      <c r="Q48" s="88"/>
      <c r="R48" s="88"/>
      <c r="S48" s="88"/>
      <c r="T48" s="89"/>
      <c r="U48" s="89"/>
      <c r="V48" s="89"/>
      <c r="W48" s="89"/>
      <c r="X48" s="88"/>
      <c r="Y48" s="89"/>
      <c r="Z48" s="89"/>
      <c r="AA48" s="90"/>
      <c r="AB48" s="447"/>
      <c r="AC48" s="447"/>
      <c r="AD48" s="447"/>
      <c r="AE48" s="447"/>
      <c r="AF48" s="447"/>
      <c r="AG48" s="447"/>
      <c r="AH48" s="447"/>
      <c r="AI48" s="447"/>
      <c r="AJ48" s="447"/>
      <c r="AK48" s="447"/>
    </row>
    <row r="49" ht="20.25" customHeight="1">
      <c r="A49" s="444"/>
      <c r="B49" s="445"/>
      <c r="C49" s="85"/>
      <c r="D49" s="446"/>
      <c r="E49" s="76"/>
      <c r="F49" s="76"/>
      <c r="G49" s="86"/>
      <c r="H49" s="92"/>
      <c r="I49" s="92"/>
      <c r="J49" s="439"/>
      <c r="K49" s="96"/>
      <c r="L49" s="88"/>
      <c r="M49" s="88"/>
      <c r="N49" s="88"/>
      <c r="O49" s="88"/>
      <c r="P49" s="88"/>
      <c r="Q49" s="94"/>
      <c r="R49" s="88"/>
      <c r="S49" s="94"/>
      <c r="T49" s="89"/>
      <c r="U49" s="89"/>
      <c r="V49" s="89"/>
      <c r="W49" s="89"/>
      <c r="X49" s="88"/>
      <c r="Y49" s="89"/>
      <c r="Z49" s="89"/>
      <c r="AA49" s="90"/>
      <c r="AB49" s="447"/>
      <c r="AC49" s="447"/>
      <c r="AD49" s="447"/>
      <c r="AE49" s="447"/>
      <c r="AF49" s="447"/>
      <c r="AG49" s="447"/>
      <c r="AH49" s="447"/>
      <c r="AI49" s="447"/>
      <c r="AJ49" s="447"/>
      <c r="AK49" s="447"/>
    </row>
    <row r="50" ht="20.25" customHeight="1">
      <c r="A50" s="444"/>
      <c r="B50" s="445"/>
      <c r="C50" s="85"/>
      <c r="D50" s="446"/>
      <c r="E50" s="76"/>
      <c r="F50" s="76"/>
      <c r="G50" s="86"/>
      <c r="H50" s="92"/>
      <c r="I50" s="92"/>
      <c r="J50" s="439"/>
      <c r="K50" s="87"/>
      <c r="L50" s="88"/>
      <c r="M50" s="88"/>
      <c r="N50" s="88"/>
      <c r="O50" s="88"/>
      <c r="P50" s="88"/>
      <c r="Q50" s="88"/>
      <c r="R50" s="88"/>
      <c r="S50" s="88"/>
      <c r="T50" s="89"/>
      <c r="U50" s="89"/>
      <c r="V50" s="89"/>
      <c r="W50" s="89"/>
      <c r="X50" s="88"/>
      <c r="Y50" s="89"/>
      <c r="Z50" s="89"/>
      <c r="AA50" s="90"/>
      <c r="AB50" s="447"/>
      <c r="AC50" s="447"/>
      <c r="AD50" s="447"/>
      <c r="AE50" s="447"/>
      <c r="AF50" s="447"/>
      <c r="AG50" s="447"/>
      <c r="AH50" s="447"/>
      <c r="AI50" s="447"/>
      <c r="AJ50" s="447"/>
      <c r="AK50" s="447"/>
    </row>
    <row r="51" ht="20.25" customHeight="1">
      <c r="A51" s="444"/>
      <c r="B51" s="445"/>
      <c r="C51" s="85"/>
      <c r="D51" s="446"/>
      <c r="E51" s="76"/>
      <c r="F51" s="76"/>
      <c r="G51" s="86"/>
      <c r="H51" s="92"/>
      <c r="I51" s="92"/>
      <c r="J51" s="439"/>
      <c r="K51" s="96"/>
      <c r="L51" s="88"/>
      <c r="M51" s="88"/>
      <c r="N51" s="88"/>
      <c r="O51" s="88"/>
      <c r="P51" s="88"/>
      <c r="Q51" s="94"/>
      <c r="R51" s="88"/>
      <c r="S51" s="94"/>
      <c r="T51" s="89"/>
      <c r="U51" s="89"/>
      <c r="V51" s="89"/>
      <c r="W51" s="89"/>
      <c r="X51" s="88"/>
      <c r="Y51" s="89"/>
      <c r="Z51" s="89"/>
      <c r="AA51" s="90"/>
      <c r="AB51" s="447"/>
      <c r="AC51" s="447"/>
      <c r="AD51" s="447"/>
      <c r="AE51" s="447"/>
      <c r="AF51" s="447"/>
      <c r="AG51" s="447"/>
      <c r="AH51" s="447"/>
      <c r="AI51" s="447"/>
      <c r="AJ51" s="447"/>
      <c r="AK51" s="447"/>
    </row>
    <row r="52" ht="20.25" customHeight="1">
      <c r="A52" s="444"/>
      <c r="B52" s="445"/>
      <c r="C52" s="85"/>
      <c r="D52" s="446"/>
      <c r="E52" s="76"/>
      <c r="F52" s="76"/>
      <c r="G52" s="86"/>
      <c r="H52" s="92"/>
      <c r="I52" s="92"/>
      <c r="J52" s="439"/>
      <c r="K52" s="87"/>
      <c r="L52" s="88"/>
      <c r="M52" s="88"/>
      <c r="N52" s="88"/>
      <c r="O52" s="88"/>
      <c r="P52" s="88"/>
      <c r="Q52" s="88"/>
      <c r="R52" s="88"/>
      <c r="S52" s="88"/>
      <c r="T52" s="89"/>
      <c r="U52" s="89"/>
      <c r="V52" s="89"/>
      <c r="W52" s="89"/>
      <c r="X52" s="88"/>
      <c r="Y52" s="89"/>
      <c r="Z52" s="89"/>
      <c r="AA52" s="90"/>
      <c r="AB52" s="447"/>
      <c r="AC52" s="447"/>
      <c r="AD52" s="447"/>
      <c r="AE52" s="447"/>
      <c r="AF52" s="447"/>
      <c r="AG52" s="447"/>
      <c r="AH52" s="447"/>
      <c r="AI52" s="447"/>
      <c r="AJ52" s="447"/>
      <c r="AK52" s="447"/>
    </row>
    <row r="53" ht="20.25" customHeight="1">
      <c r="A53" s="309">
        <v>47.0</v>
      </c>
      <c r="B53" s="310"/>
      <c r="C53" s="324"/>
      <c r="D53" s="312" t="str">
        <f t="shared" ref="D53:D55" si="9">"https://api.paylibo.com/paylibo/generator/czech/image?accountNumber="&amp;$D$4&amp;"&amp;bankCode="&amp;$D$6&amp;"&amp;amount="&amp;J53&amp;"&amp;currency=CZK&amp;message=Kamenice-"&amp;ENCODEURL(C53)</f>
        <v>https://api.paylibo.com/paylibo/generator/czech/image?accountNumber=1248728083&amp;bankCode=3030&amp;amount=0&amp;currency=CZK&amp;message=Kamenice-</v>
      </c>
      <c r="E53" s="313" t="str">
        <f t="shared" ref="E53:E55" si="10">IMAGE(D53,4,150,150)</f>
        <v/>
      </c>
      <c r="F53" s="313">
        <f t="shared" ref="F53:F55" si="11">SUMIFS($K$7:$AA$7,K53:AA53,"&lt;&gt;",K53:AA53,"&lt;&gt;-")</f>
        <v>0</v>
      </c>
      <c r="G53" s="314">
        <f t="shared" ref="G53:G55" si="12">ROUNDUP(F53,0)</f>
        <v>0</v>
      </c>
      <c r="H53" s="320"/>
      <c r="I53" s="320"/>
      <c r="J53" s="330">
        <f t="shared" ref="J53:J55" si="13">G53-I53</f>
        <v>0</v>
      </c>
      <c r="K53" s="322"/>
      <c r="L53" s="317"/>
      <c r="M53" s="317"/>
      <c r="N53" s="317"/>
      <c r="O53" s="317"/>
      <c r="P53" s="317"/>
      <c r="Q53" s="321"/>
      <c r="R53" s="317"/>
      <c r="S53" s="321"/>
      <c r="T53" s="318"/>
      <c r="U53" s="318"/>
      <c r="V53" s="318"/>
      <c r="W53" s="318"/>
      <c r="X53" s="317"/>
      <c r="Y53" s="318"/>
      <c r="Z53" s="318"/>
      <c r="AA53" s="319"/>
      <c r="AB53" s="329"/>
      <c r="AC53" s="329"/>
      <c r="AD53" s="329"/>
      <c r="AE53" s="329"/>
      <c r="AF53" s="329"/>
      <c r="AG53" s="329"/>
      <c r="AH53" s="329"/>
      <c r="AI53" s="329"/>
      <c r="AJ53" s="329"/>
      <c r="AK53" s="329"/>
    </row>
    <row r="54" ht="20.25" customHeight="1">
      <c r="A54" s="309">
        <v>48.0</v>
      </c>
      <c r="B54" s="310"/>
      <c r="C54" s="324"/>
      <c r="D54" s="312" t="str">
        <f t="shared" si="9"/>
        <v>https://api.paylibo.com/paylibo/generator/czech/image?accountNumber=1248728083&amp;bankCode=3030&amp;amount=0&amp;currency=CZK&amp;message=Kamenice-</v>
      </c>
      <c r="E54" s="313" t="str">
        <f t="shared" si="10"/>
        <v/>
      </c>
      <c r="F54" s="313">
        <f t="shared" si="11"/>
        <v>0</v>
      </c>
      <c r="G54" s="314">
        <f t="shared" si="12"/>
        <v>0</v>
      </c>
      <c r="H54" s="320"/>
      <c r="I54" s="320"/>
      <c r="J54" s="330">
        <f t="shared" si="13"/>
        <v>0</v>
      </c>
      <c r="K54" s="316"/>
      <c r="L54" s="317"/>
      <c r="M54" s="317"/>
      <c r="N54" s="317"/>
      <c r="O54" s="317"/>
      <c r="P54" s="317"/>
      <c r="Q54" s="317"/>
      <c r="R54" s="317"/>
      <c r="S54" s="317"/>
      <c r="T54" s="318"/>
      <c r="U54" s="318"/>
      <c r="V54" s="318"/>
      <c r="W54" s="318"/>
      <c r="X54" s="317"/>
      <c r="Y54" s="318"/>
      <c r="Z54" s="318"/>
      <c r="AA54" s="319"/>
      <c r="AB54" s="308"/>
      <c r="AC54" s="308"/>
      <c r="AD54" s="308"/>
      <c r="AE54" s="308"/>
      <c r="AF54" s="308"/>
      <c r="AG54" s="308"/>
      <c r="AH54" s="308"/>
      <c r="AI54" s="308"/>
      <c r="AJ54" s="308"/>
      <c r="AK54" s="308"/>
    </row>
    <row r="55" ht="20.25" customHeight="1">
      <c r="A55" s="333">
        <v>49.0</v>
      </c>
      <c r="B55" s="334"/>
      <c r="C55" s="335"/>
      <c r="D55" s="336" t="str">
        <f t="shared" si="9"/>
        <v>https://api.paylibo.com/paylibo/generator/czech/image?accountNumber=1248728083&amp;bankCode=3030&amp;amount=0&amp;currency=CZK&amp;message=Kamenice-</v>
      </c>
      <c r="E55" s="337" t="str">
        <f t="shared" si="10"/>
        <v/>
      </c>
      <c r="F55" s="337">
        <f t="shared" si="11"/>
        <v>0</v>
      </c>
      <c r="G55" s="338">
        <f t="shared" si="12"/>
        <v>0</v>
      </c>
      <c r="H55" s="339"/>
      <c r="I55" s="339"/>
      <c r="J55" s="340">
        <f t="shared" si="13"/>
        <v>0</v>
      </c>
      <c r="K55" s="316"/>
      <c r="L55" s="317"/>
      <c r="M55" s="317"/>
      <c r="N55" s="317"/>
      <c r="O55" s="317"/>
      <c r="P55" s="317"/>
      <c r="Q55" s="321"/>
      <c r="R55" s="321"/>
      <c r="S55" s="321"/>
      <c r="T55" s="321"/>
      <c r="U55" s="321"/>
      <c r="V55" s="321"/>
      <c r="W55" s="321"/>
      <c r="X55" s="321"/>
      <c r="Y55" s="318"/>
      <c r="Z55" s="318"/>
      <c r="AA55" s="319"/>
      <c r="AB55" s="308"/>
      <c r="AC55" s="308"/>
      <c r="AD55" s="308"/>
      <c r="AE55" s="308"/>
      <c r="AF55" s="308"/>
      <c r="AG55" s="308"/>
      <c r="AH55" s="308"/>
      <c r="AI55" s="308"/>
      <c r="AJ55" s="308"/>
      <c r="AK55" s="308"/>
    </row>
    <row r="56">
      <c r="A56" s="341"/>
      <c r="B56" s="105"/>
      <c r="C56" s="105"/>
      <c r="D56" s="106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7"/>
      <c r="T56" s="107"/>
      <c r="U56" s="107"/>
      <c r="V56" s="107"/>
      <c r="W56" s="107"/>
      <c r="X56" s="107"/>
      <c r="Y56" s="107"/>
      <c r="Z56" s="107"/>
      <c r="AA56" s="107"/>
    </row>
    <row r="57">
      <c r="B57" s="105"/>
      <c r="C57" s="105"/>
      <c r="D57" s="106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7"/>
      <c r="T57" s="107"/>
      <c r="U57" s="107"/>
      <c r="V57" s="107"/>
      <c r="W57" s="107"/>
      <c r="X57" s="107"/>
      <c r="Y57" s="107"/>
      <c r="Z57" s="107"/>
      <c r="AA57" s="107"/>
    </row>
    <row r="58">
      <c r="B58" s="105"/>
      <c r="C58" s="105"/>
      <c r="D58" s="106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7"/>
      <c r="T58" s="107"/>
      <c r="U58" s="107"/>
      <c r="V58" s="107"/>
      <c r="W58" s="107"/>
      <c r="X58" s="107"/>
      <c r="Y58" s="107"/>
      <c r="Z58" s="107"/>
      <c r="AA58" s="107"/>
    </row>
    <row r="59">
      <c r="B59" s="342"/>
      <c r="C59" s="108" t="s">
        <v>28</v>
      </c>
      <c r="D59" s="109"/>
      <c r="E59" s="110"/>
      <c r="F59" s="110" t="s">
        <v>29</v>
      </c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</row>
    <row r="60">
      <c r="B60" s="342"/>
      <c r="C60" s="111"/>
      <c r="D60" s="112"/>
      <c r="E60" s="113"/>
      <c r="F60" s="113" t="s">
        <v>30</v>
      </c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  <c r="AA60" s="107"/>
    </row>
    <row r="61">
      <c r="B61" s="342"/>
      <c r="C61" s="111"/>
      <c r="D61" s="112"/>
      <c r="E61" s="113"/>
      <c r="F61" s="113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</row>
    <row r="62">
      <c r="B62" s="342"/>
      <c r="C62" s="114"/>
      <c r="D62" s="115"/>
      <c r="E62" s="116"/>
      <c r="F62" s="116"/>
      <c r="G62" s="107"/>
      <c r="H62" s="107"/>
      <c r="I62" s="107"/>
      <c r="J62" s="107"/>
      <c r="K62" s="107"/>
      <c r="L62" s="107"/>
      <c r="M62" s="107"/>
      <c r="N62" s="107"/>
      <c r="O62" s="107"/>
      <c r="P62" s="107"/>
      <c r="Q62" s="107"/>
      <c r="R62" s="107"/>
      <c r="S62" s="107"/>
      <c r="T62" s="107"/>
      <c r="U62" s="107"/>
      <c r="V62" s="107"/>
      <c r="W62" s="107"/>
      <c r="X62" s="107"/>
      <c r="Y62" s="107"/>
      <c r="Z62" s="107"/>
      <c r="AA62" s="107"/>
    </row>
    <row r="63">
      <c r="B63" s="342"/>
      <c r="C63" s="117" t="s">
        <v>31</v>
      </c>
      <c r="D63" s="112"/>
      <c r="E63" s="113"/>
      <c r="F63" s="113" t="s">
        <v>32</v>
      </c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</row>
    <row r="64">
      <c r="B64" s="342"/>
      <c r="C64" s="111"/>
      <c r="D64" s="112"/>
      <c r="E64" s="113"/>
      <c r="F64" s="113" t="s">
        <v>33</v>
      </c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</row>
    <row r="65">
      <c r="B65" s="342"/>
      <c r="C65" s="111"/>
      <c r="D65" s="112"/>
      <c r="E65" s="113"/>
      <c r="F65" s="113" t="s">
        <v>34</v>
      </c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</row>
    <row r="66">
      <c r="B66" s="342"/>
      <c r="C66" s="111"/>
      <c r="D66" s="112"/>
      <c r="E66" s="113"/>
      <c r="F66" s="113" t="s">
        <v>35</v>
      </c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</row>
    <row r="67">
      <c r="B67" s="342"/>
      <c r="C67" s="114"/>
      <c r="D67" s="115"/>
      <c r="E67" s="116"/>
      <c r="F67" s="116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</row>
    <row r="68">
      <c r="B68" s="342"/>
      <c r="C68" s="117" t="s">
        <v>36</v>
      </c>
      <c r="D68" s="112"/>
      <c r="E68" s="113"/>
      <c r="F68" s="113" t="s">
        <v>37</v>
      </c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</row>
    <row r="69">
      <c r="B69" s="342"/>
      <c r="C69" s="111"/>
      <c r="D69" s="112"/>
      <c r="E69" s="113"/>
      <c r="F69" s="113" t="s">
        <v>38</v>
      </c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</row>
    <row r="70">
      <c r="B70" s="342"/>
      <c r="C70" s="111"/>
      <c r="D70" s="112"/>
      <c r="E70" s="113"/>
      <c r="F70" s="113" t="s">
        <v>39</v>
      </c>
      <c r="G70" s="107"/>
      <c r="H70" s="107"/>
      <c r="I70" s="107"/>
      <c r="J70" s="107"/>
      <c r="K70" s="107"/>
      <c r="L70" s="107"/>
      <c r="M70" s="107"/>
      <c r="N70" s="107"/>
      <c r="O70" s="107"/>
      <c r="P70" s="107"/>
      <c r="Q70" s="107"/>
      <c r="R70" s="107"/>
      <c r="S70" s="107"/>
      <c r="T70" s="107"/>
      <c r="U70" s="107"/>
      <c r="V70" s="107"/>
      <c r="W70" s="107"/>
      <c r="X70" s="107"/>
      <c r="Y70" s="107"/>
      <c r="Z70" s="107"/>
      <c r="AA70" s="107"/>
    </row>
    <row r="71">
      <c r="B71" s="342"/>
      <c r="C71" s="111"/>
      <c r="D71" s="112"/>
      <c r="E71" s="113"/>
      <c r="F71" s="113" t="s">
        <v>40</v>
      </c>
      <c r="G71" s="107"/>
      <c r="H71" s="107"/>
      <c r="I71" s="107"/>
      <c r="J71" s="107"/>
      <c r="K71" s="107"/>
      <c r="L71" s="107"/>
      <c r="M71" s="107"/>
      <c r="N71" s="107"/>
      <c r="O71" s="107"/>
      <c r="P71" s="107"/>
      <c r="Q71" s="107"/>
      <c r="R71" s="107"/>
      <c r="S71" s="107"/>
      <c r="T71" s="107"/>
      <c r="U71" s="107"/>
      <c r="V71" s="107"/>
      <c r="W71" s="107"/>
      <c r="X71" s="107"/>
      <c r="Y71" s="107"/>
      <c r="Z71" s="107"/>
      <c r="AA71" s="107"/>
    </row>
    <row r="72">
      <c r="B72" s="342"/>
      <c r="C72" s="114"/>
      <c r="D72" s="115"/>
      <c r="E72" s="116"/>
      <c r="F72" s="116" t="s">
        <v>41</v>
      </c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</row>
    <row r="73">
      <c r="B73" s="342"/>
      <c r="C73" s="118" t="s">
        <v>42</v>
      </c>
      <c r="D73" s="119"/>
      <c r="E73" s="120"/>
      <c r="F73" s="120" t="s">
        <v>43</v>
      </c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</row>
    <row r="74">
      <c r="B74" s="342"/>
      <c r="C74" s="117" t="s">
        <v>44</v>
      </c>
      <c r="D74" s="112"/>
      <c r="E74" s="113"/>
      <c r="F74" s="113" t="s">
        <v>39</v>
      </c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T74" s="107"/>
      <c r="U74" s="107"/>
      <c r="V74" s="107"/>
      <c r="W74" s="107"/>
      <c r="X74" s="107"/>
      <c r="Y74" s="107"/>
      <c r="Z74" s="107"/>
      <c r="AA74" s="107"/>
    </row>
    <row r="75">
      <c r="B75" s="342"/>
      <c r="C75" s="111"/>
      <c r="D75" s="112"/>
      <c r="E75" s="113"/>
      <c r="F75" s="113" t="s">
        <v>45</v>
      </c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</row>
    <row r="76">
      <c r="B76" s="342"/>
      <c r="C76" s="111"/>
      <c r="D76" s="112"/>
      <c r="E76" s="113"/>
      <c r="F76" s="113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</row>
    <row r="77">
      <c r="B77" s="342"/>
      <c r="C77" s="114"/>
      <c r="D77" s="115"/>
      <c r="E77" s="116"/>
      <c r="F77" s="116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</row>
    <row r="78">
      <c r="B78" s="342"/>
      <c r="C78" s="117" t="s">
        <v>46</v>
      </c>
      <c r="D78" s="112"/>
      <c r="E78" s="113"/>
      <c r="F78" s="113" t="s">
        <v>47</v>
      </c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</row>
    <row r="79">
      <c r="B79" s="342"/>
      <c r="C79" s="111"/>
      <c r="D79" s="112"/>
      <c r="E79" s="113"/>
      <c r="F79" s="113" t="s">
        <v>48</v>
      </c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</row>
    <row r="80">
      <c r="B80" s="342"/>
      <c r="C80" s="111"/>
      <c r="D80" s="112"/>
      <c r="E80" s="113"/>
      <c r="F80" s="113" t="s">
        <v>49</v>
      </c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</row>
    <row r="81">
      <c r="B81" s="342"/>
      <c r="C81" s="111"/>
      <c r="D81" s="112"/>
      <c r="E81" s="113"/>
      <c r="F81" s="113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</row>
    <row r="82">
      <c r="B82" s="342"/>
      <c r="C82" s="114"/>
      <c r="D82" s="115"/>
      <c r="E82" s="116"/>
      <c r="F82" s="116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T82" s="107"/>
      <c r="U82" s="107"/>
      <c r="V82" s="107"/>
      <c r="W82" s="107"/>
      <c r="X82" s="107"/>
      <c r="Y82" s="107"/>
      <c r="Z82" s="107"/>
      <c r="AA82" s="107"/>
    </row>
  </sheetData>
  <autoFilter ref="$A$8:$AA$55"/>
  <mergeCells count="6">
    <mergeCell ref="A1:C1"/>
    <mergeCell ref="C59:C62"/>
    <mergeCell ref="C63:C67"/>
    <mergeCell ref="C68:C72"/>
    <mergeCell ref="C74:C77"/>
    <mergeCell ref="C78:C82"/>
  </mergeCells>
  <dataValidations>
    <dataValidation type="list" allowBlank="1" sqref="B9:C55">
      <formula1>seznam_clenu_OVT!$A$2:$A$100</formula1>
    </dataValidation>
    <dataValidation type="list" allowBlank="1" showErrorMessage="1" sqref="K4:AE4">
      <formula1>pomocna_tabulka!$A$2:$A$3</formula1>
    </dataValidation>
    <dataValidation type="list" allowBlank="1" sqref="K9:AE43 K44:AA55">
      <formula1>pomocna_tabulka!$B$2:$B$3</formula1>
    </dataValidation>
  </dataValidations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6" width="8.71"/>
  </cols>
  <sheetData>
    <row r="1">
      <c r="A1" s="454" t="s">
        <v>20</v>
      </c>
    </row>
    <row r="2">
      <c r="A2" s="455" t="s">
        <v>279</v>
      </c>
    </row>
    <row r="3">
      <c r="A3" s="455" t="s">
        <v>280</v>
      </c>
    </row>
    <row r="4">
      <c r="A4" s="455" t="s">
        <v>281</v>
      </c>
    </row>
    <row r="5">
      <c r="A5" s="455" t="s">
        <v>150</v>
      </c>
    </row>
    <row r="6">
      <c r="A6" s="455" t="s">
        <v>282</v>
      </c>
    </row>
    <row r="7">
      <c r="A7" s="455" t="s">
        <v>270</v>
      </c>
    </row>
    <row r="8">
      <c r="A8" s="455" t="s">
        <v>283</v>
      </c>
    </row>
    <row r="9">
      <c r="A9" s="455" t="s">
        <v>284</v>
      </c>
    </row>
    <row r="10">
      <c r="A10" s="455" t="s">
        <v>285</v>
      </c>
    </row>
    <row r="11">
      <c r="A11" s="455" t="s">
        <v>286</v>
      </c>
    </row>
    <row r="12">
      <c r="A12" s="455" t="s">
        <v>100</v>
      </c>
    </row>
    <row r="13">
      <c r="A13" s="455" t="s">
        <v>287</v>
      </c>
    </row>
    <row r="14">
      <c r="A14" s="455" t="s">
        <v>106</v>
      </c>
    </row>
    <row r="15">
      <c r="A15" s="455" t="s">
        <v>103</v>
      </c>
    </row>
    <row r="16">
      <c r="A16" s="455" t="s">
        <v>104</v>
      </c>
    </row>
    <row r="17">
      <c r="A17" s="455" t="s">
        <v>101</v>
      </c>
    </row>
    <row r="18">
      <c r="A18" s="455" t="s">
        <v>102</v>
      </c>
    </row>
    <row r="19">
      <c r="A19" s="455" t="s">
        <v>288</v>
      </c>
    </row>
    <row r="20">
      <c r="A20" s="455" t="s">
        <v>289</v>
      </c>
    </row>
    <row r="21" ht="15.75" customHeight="1">
      <c r="A21" s="455" t="s">
        <v>290</v>
      </c>
    </row>
    <row r="22" ht="15.75" customHeight="1">
      <c r="A22" s="455" t="s">
        <v>291</v>
      </c>
    </row>
    <row r="23" ht="15.75" customHeight="1">
      <c r="A23" s="455" t="s">
        <v>292</v>
      </c>
    </row>
    <row r="24" ht="15.75" customHeight="1">
      <c r="A24" s="455" t="s">
        <v>189</v>
      </c>
    </row>
    <row r="25" ht="15.75" customHeight="1">
      <c r="A25" s="455" t="s">
        <v>190</v>
      </c>
    </row>
    <row r="26" ht="15.75" customHeight="1">
      <c r="A26" s="455" t="s">
        <v>98</v>
      </c>
    </row>
    <row r="27" ht="15.75" customHeight="1">
      <c r="A27" s="455" t="s">
        <v>96</v>
      </c>
    </row>
    <row r="28" ht="15.75" customHeight="1">
      <c r="A28" s="455" t="s">
        <v>99</v>
      </c>
    </row>
    <row r="29" ht="15.75" customHeight="1">
      <c r="A29" s="455" t="s">
        <v>293</v>
      </c>
    </row>
    <row r="30" ht="15.75" customHeight="1">
      <c r="A30" s="455" t="s">
        <v>148</v>
      </c>
    </row>
    <row r="31" ht="15.75" customHeight="1">
      <c r="A31" s="455" t="s">
        <v>294</v>
      </c>
    </row>
    <row r="32" ht="15.75" customHeight="1">
      <c r="A32" s="455" t="s">
        <v>295</v>
      </c>
    </row>
    <row r="33" ht="15.75" customHeight="1">
      <c r="A33" s="455" t="s">
        <v>193</v>
      </c>
    </row>
    <row r="34" ht="15.75" customHeight="1">
      <c r="A34" s="455" t="s">
        <v>296</v>
      </c>
    </row>
    <row r="35" ht="15.75" customHeight="1">
      <c r="A35" s="455" t="s">
        <v>297</v>
      </c>
    </row>
    <row r="36" ht="15.75" customHeight="1">
      <c r="A36" s="455" t="s">
        <v>298</v>
      </c>
    </row>
    <row r="37" ht="15.75" customHeight="1">
      <c r="A37" s="456" t="s">
        <v>71</v>
      </c>
    </row>
    <row r="38" ht="15.75" customHeight="1">
      <c r="A38" s="455" t="s">
        <v>68</v>
      </c>
    </row>
    <row r="39" ht="15.75" customHeight="1">
      <c r="A39" s="455" t="s">
        <v>81</v>
      </c>
    </row>
    <row r="40" ht="15.75" customHeight="1">
      <c r="A40" s="455" t="s">
        <v>299</v>
      </c>
    </row>
    <row r="41" ht="15.75" customHeight="1">
      <c r="A41" s="455" t="s">
        <v>97</v>
      </c>
    </row>
    <row r="42" ht="15.75" customHeight="1">
      <c r="A42" s="455" t="s">
        <v>300</v>
      </c>
    </row>
    <row r="43" ht="15.75" customHeight="1">
      <c r="A43" s="455" t="s">
        <v>301</v>
      </c>
    </row>
    <row r="44" ht="15.75" customHeight="1">
      <c r="A44" s="455" t="s">
        <v>105</v>
      </c>
    </row>
    <row r="45" ht="15.75" customHeight="1">
      <c r="A45" s="455" t="s">
        <v>302</v>
      </c>
    </row>
    <row r="46" ht="15.75" customHeight="1">
      <c r="A46" s="455" t="s">
        <v>303</v>
      </c>
    </row>
    <row r="47" ht="15.75" customHeight="1">
      <c r="A47" s="455" t="s">
        <v>304</v>
      </c>
    </row>
    <row r="48" ht="15.75" customHeight="1">
      <c r="A48" s="455" t="s">
        <v>188</v>
      </c>
    </row>
    <row r="49" ht="15.75" customHeight="1">
      <c r="A49" s="455" t="s">
        <v>305</v>
      </c>
    </row>
    <row r="50" ht="15.75" customHeight="1">
      <c r="A50" s="455" t="s">
        <v>306</v>
      </c>
    </row>
    <row r="51" ht="15.75" customHeight="1">
      <c r="A51" s="455" t="s">
        <v>187</v>
      </c>
    </row>
    <row r="52" ht="15.75" customHeight="1">
      <c r="A52" s="455" t="s">
        <v>307</v>
      </c>
    </row>
    <row r="53" ht="15.75" customHeight="1">
      <c r="A53" s="455" t="s">
        <v>308</v>
      </c>
    </row>
    <row r="54" ht="15.75" customHeight="1">
      <c r="A54" s="455" t="s">
        <v>309</v>
      </c>
    </row>
    <row r="55" ht="15.75" customHeight="1">
      <c r="A55" s="455" t="s">
        <v>310</v>
      </c>
    </row>
    <row r="56" ht="15.75" customHeight="1">
      <c r="A56" s="455" t="s">
        <v>311</v>
      </c>
    </row>
    <row r="57" ht="15.75" customHeight="1">
      <c r="A57" s="455" t="s">
        <v>312</v>
      </c>
    </row>
    <row r="58" ht="15.75" customHeight="1">
      <c r="A58" s="455" t="s">
        <v>313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6" width="8.71"/>
  </cols>
  <sheetData>
    <row r="1">
      <c r="A1" s="454" t="s">
        <v>314</v>
      </c>
      <c r="B1" s="457" t="s">
        <v>315</v>
      </c>
    </row>
    <row r="2">
      <c r="A2" s="455" t="s">
        <v>10</v>
      </c>
      <c r="B2" s="456" t="s">
        <v>69</v>
      </c>
    </row>
    <row r="3">
      <c r="A3" s="455" t="s">
        <v>11</v>
      </c>
      <c r="B3" s="456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